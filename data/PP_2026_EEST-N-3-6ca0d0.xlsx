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CIONES" sheetId="1" r:id="rId5"/>
    <sheet state="visible" name="📅 ASISTENCIA" sheetId="2" r:id="rId6"/>
    <sheet state="hidden" name="🏫 TERRITORIO" sheetId="3" r:id="rId7"/>
    <sheet state="visible" name="🔧 OT" sheetId="4" r:id="rId8"/>
    <sheet state="visible" name="💻 EQUIPOS" sheetId="5" r:id="rId9"/>
    <sheet state="visible" name="📊 KANBAN" sheetId="6" r:id="rId10"/>
    <sheet state="visible" name="⚙️ ROLES" sheetId="7" r:id="rId11"/>
    <sheet state="visible" name="🏅 RANKING" sheetId="8" r:id="rId12"/>
    <sheet state="visible" name="🏆 DASHBOARD" sheetId="9" r:id="rId13"/>
    <sheet state="hidden" name="🗂️ DATA_ESCUELAS" sheetId="10" r:id="rId14"/>
  </sheets>
  <definedNames/>
  <calcPr/>
</workbook>
</file>

<file path=xl/sharedStrings.xml><?xml version="1.0" encoding="utf-8"?>
<sst xmlns="http://schemas.openxmlformats.org/spreadsheetml/2006/main" count="5478" uniqueCount="2485">
  <si>
    <t>📋 INSTRUCCIONES DE USO</t>
  </si>
  <si>
    <t>🏫 REGISTRO DE VISITAS A TERRITORIO</t>
  </si>
  <si>
    <t>📅 REGISTRO DE ASISTENCIA</t>
  </si>
  <si>
    <t>🔧 ÓRDENES DE TRABAJO</t>
  </si>
  <si>
    <t>Desbloqueos, cambio de pilas y diagnóstico en escuelas — Región 1</t>
  </si>
  <si>
    <t>Guía rápida del sistema — DTE | Dirección de Tecnología Educativa | 2026</t>
  </si>
  <si>
    <t>Grupo 1 (Lunes y Miércoles) arriba | Grupo 2 (Martes y Jueves) abajo</t>
  </si>
  <si>
    <t>Registro completo de intervenciones | OT-2026-XXX</t>
  </si>
  <si>
    <t>Hoja</t>
  </si>
  <si>
    <t>Función</t>
  </si>
  <si>
    <t>#</t>
  </si>
  <si>
    <t>Uso</t>
  </si>
  <si>
    <t>GRUPO 1 — Lunes y Miércoles</t>
  </si>
  <si>
    <t>Responsable</t>
  </si>
  <si>
    <t>N° OT</t>
  </si>
  <si>
    <t>Fecha</t>
  </si>
  <si>
    <t>👥 ESTUDIANTES</t>
  </si>
  <si>
    <t>Escuela</t>
  </si>
  <si>
    <t>CUE</t>
  </si>
  <si>
    <t>Distrito</t>
  </si>
  <si>
    <t>N° de Serie</t>
  </si>
  <si>
    <t>Estado Inicial</t>
  </si>
  <si>
    <t>Acción</t>
  </si>
  <si>
    <t>Grupo</t>
  </si>
  <si>
    <t>Datos de los 12 alumnos y roles actuales</t>
  </si>
  <si>
    <t>Estado Final</t>
  </si>
  <si>
    <t>Observaciones</t>
  </si>
  <si>
    <t>Configuración inicial + rol semanal</t>
  </si>
  <si>
    <t>FED</t>
  </si>
  <si>
    <t>Sesión N°</t>
  </si>
  <si>
    <t>Kovach, Ludmila</t>
  </si>
  <si>
    <t>Responsables (no borrar)</t>
  </si>
  <si>
    <t>Terraza, Brian</t>
  </si>
  <si>
    <t>Pedrozo, Lorena</t>
  </si>
  <si>
    <t>Cáceres, Santiago</t>
  </si>
  <si>
    <t>📅 ASISTENCIA</t>
  </si>
  <si>
    <t>Aguilera, Thiago</t>
  </si>
  <si>
    <t>Simonetti, Tomás</t>
  </si>
  <si>
    <t>Presentes</t>
  </si>
  <si>
    <t>Ausentes</t>
  </si>
  <si>
    <t>% Asist.</t>
  </si>
  <si>
    <t>Equipo (N° Serie)</t>
  </si>
  <si>
    <t>Registro de presencia por sesión</t>
  </si>
  <si>
    <t>Carga al inicio de cada sesión</t>
  </si>
  <si>
    <t>Formato</t>
  </si>
  <si>
    <t>Líder de Equipo</t>
  </si>
  <si>
    <t>Generación</t>
  </si>
  <si>
    <t>🔧 OT</t>
  </si>
  <si>
    <t>Órdenes de trabajo de cada netbook</t>
  </si>
  <si>
    <t>Carga durante y al cierre</t>
  </si>
  <si>
    <t>Documentador</t>
  </si>
  <si>
    <t>Hs. Est.</t>
  </si>
  <si>
    <t>Hs. Real</t>
  </si>
  <si>
    <t>💻 EQUIPOS</t>
  </si>
  <si>
    <t>Historial de Intervenciones</t>
  </si>
  <si>
    <t>Inventario y estado de cada netbook</t>
  </si>
  <si>
    <t>Actualizar al cambiar de etapa</t>
  </si>
  <si>
    <t>Técnico Principal</t>
  </si>
  <si>
    <t>⚙️ ROLES</t>
  </si>
  <si>
    <t>Rotación semanal de roles</t>
  </si>
  <si>
    <t>Consulta semanal</t>
  </si>
  <si>
    <t>Todos</t>
  </si>
  <si>
    <t>Presente</t>
  </si>
  <si>
    <t>📊 KANBAN</t>
  </si>
  <si>
    <t>Tablero visual de etapas</t>
  </si>
  <si>
    <t>Mover al cambiar estado</t>
  </si>
  <si>
    <t>🏆 DASHBOARD</t>
  </si>
  <si>
    <t>Indicadores globales automáticos</t>
  </si>
  <si>
    <t>Solo lectura</t>
  </si>
  <si>
    <t>🏅 RANKING</t>
  </si>
  <si>
    <t>Ausente</t>
  </si>
  <si>
    <t>Registro de puntos grupales e individuales</t>
  </si>
  <si>
    <t>LA PLATA | ESCUELA DE EDUCACIÓN PRIMARIA N° 2 PROF. ANDRES FERREYRA (CUE: 60881800)</t>
  </si>
  <si>
    <t>AA4163047472</t>
  </si>
  <si>
    <t>📌 FLUJO DE TRABAJO POR SESIÓN</t>
  </si>
  <si>
    <r>
      <rPr>
        <rFont val="Encode Sans"/>
        <color rgb="FF000000"/>
        <sz val="9.0"/>
      </rPr>
      <t xml:space="preserve">1️⃣  Líder registra asistencia en </t>
    </r>
    <r>
      <rPr>
        <rFont val="Encode Sans"/>
        <b/>
        <color rgb="FF000000"/>
        <sz val="9.0"/>
      </rPr>
      <t>ASISTENCIA</t>
    </r>
    <r>
      <rPr>
        <rFont val="Encode Sans"/>
        <color rgb="FF000000"/>
        <sz val="9.0"/>
      </rPr>
      <t xml:space="preserve"> al iniciar la sesión</t>
    </r>
  </si>
  <si>
    <t>SZSES10IS232513800</t>
  </si>
  <si>
    <t>G4</t>
  </si>
  <si>
    <t>Grupo 2</t>
  </si>
  <si>
    <t>Bloqueada</t>
  </si>
  <si>
    <r>
      <rPr>
        <rFont val="Encode Sans"/>
        <color rgb="FF000000"/>
        <sz val="9.0"/>
      </rPr>
      <t xml:space="preserve">2️⃣  Al recibir un equipo: cargarlo en </t>
    </r>
    <r>
      <rPr>
        <rFont val="Encode Sans"/>
        <b/>
        <color rgb="FF000000"/>
        <sz val="9.0"/>
      </rPr>
      <t>EQUIPOS</t>
    </r>
    <r>
      <rPr>
        <rFont val="Encode Sans"/>
        <color rgb="FF000000"/>
        <sz val="9.0"/>
      </rPr>
      <t xml:space="preserve"> y abrir </t>
    </r>
    <r>
      <rPr>
        <rFont val="Encode Sans"/>
        <b/>
        <color rgb="FF000000"/>
        <sz val="9.0"/>
      </rPr>
      <t>OT</t>
    </r>
    <r>
      <rPr>
        <rFont val="Encode Sans"/>
        <color rgb="FF000000"/>
        <sz val="9.0"/>
      </rPr>
      <t xml:space="preserve"> en hoja </t>
    </r>
    <r>
      <rPr>
        <rFont val="Encode Sans"/>
        <b/>
        <color rgb="FF000000"/>
        <sz val="9.0"/>
      </rPr>
      <t>OT</t>
    </r>
  </si>
  <si>
    <t>Desbloqueo + Cambio de Pila, Actualización de SO</t>
  </si>
  <si>
    <t>Lorenzetti, Axel</t>
  </si>
  <si>
    <r>
      <rPr>
        <rFont val="Encode Sans"/>
        <color rgb="FF000000"/>
        <sz val="9.0"/>
      </rPr>
      <t xml:space="preserve">3️⃣  </t>
    </r>
    <r>
      <rPr>
        <rFont val="Encode Sans"/>
        <b/>
        <color rgb="FF000000"/>
        <sz val="9.0"/>
      </rPr>
      <t>Técnico Principal</t>
    </r>
    <r>
      <rPr>
        <rFont val="Encode Sans"/>
        <color rgb="FF000000"/>
        <sz val="9.0"/>
      </rPr>
      <t xml:space="preserve"> ejecuta desbloqueo — </t>
    </r>
    <r>
      <rPr>
        <rFont val="Encode Sans"/>
        <b/>
        <color rgb="FF000000"/>
        <sz val="9.0"/>
      </rPr>
      <t>Documentador</t>
    </r>
    <r>
      <rPr>
        <rFont val="Encode Sans"/>
        <color rgb="FF000000"/>
        <sz val="9.0"/>
      </rPr>
      <t xml:space="preserve"> registra en </t>
    </r>
    <r>
      <rPr>
        <rFont val="Encode Sans"/>
        <b/>
        <color rgb="FF000000"/>
        <sz val="9.0"/>
      </rPr>
      <t>OT</t>
    </r>
    <r>
      <rPr>
        <rFont val="Encode Sans"/>
        <color rgb="FF000000"/>
        <sz val="9.0"/>
      </rPr>
      <t xml:space="preserve"> en tiempo real</t>
    </r>
  </si>
  <si>
    <t>Pinilla, Alexis</t>
  </si>
  <si>
    <t>60m</t>
  </si>
  <si>
    <t>43m</t>
  </si>
  <si>
    <t>se desbloqueo</t>
  </si>
  <si>
    <t>Finalizada OK</t>
  </si>
  <si>
    <t>esta roto el conector del teclado,disco actual es de 160,se cambia por uno de 320,queda para reutilizar un disco de 160,funciona mal la pantalla</t>
  </si>
  <si>
    <r>
      <rPr>
        <rFont val="Encode Sans"/>
        <color rgb="FF000000"/>
        <sz val="9.0"/>
      </rPr>
      <t xml:space="preserve">4️⃣  </t>
    </r>
    <r>
      <rPr>
        <rFont val="Encode Sans"/>
        <b/>
        <color rgb="FF000000"/>
        <sz val="9.0"/>
      </rPr>
      <t>Tester/Instalador</t>
    </r>
    <r>
      <rPr>
        <rFont val="Encode Sans"/>
        <color rgb="FF000000"/>
        <sz val="9.0"/>
      </rPr>
      <t xml:space="preserve"> prepara y ejecuta la instalación de imagen del SO</t>
    </r>
  </si>
  <si>
    <t>tiene roto el boton de encendido y en una esquina tiene oscura la pantalla</t>
  </si>
  <si>
    <t>Tardanza</t>
  </si>
  <si>
    <r>
      <rPr>
        <rFont val="Encode Sans"/>
        <color rgb="FF000000"/>
        <sz val="9.0"/>
      </rPr>
      <t xml:space="preserve">5️⃣  Al cambiar de etapa: </t>
    </r>
    <r>
      <rPr>
        <rFont val="Encode Sans"/>
        <b/>
        <color rgb="FF000000"/>
        <sz val="9.0"/>
      </rPr>
      <t>Documentador</t>
    </r>
    <r>
      <rPr>
        <rFont val="Encode Sans"/>
        <color rgb="FF000000"/>
        <sz val="9.0"/>
      </rPr>
      <t xml:space="preserve"> actualiza </t>
    </r>
    <r>
      <rPr>
        <rFont val="Encode Sans"/>
        <b/>
        <color rgb="FF000000"/>
        <sz val="9.0"/>
      </rPr>
      <t>Estado Final</t>
    </r>
    <r>
      <rPr>
        <rFont val="Encode Sans"/>
        <color rgb="FF000000"/>
        <sz val="9.0"/>
      </rPr>
      <t xml:space="preserve"> en </t>
    </r>
    <r>
      <rPr>
        <rFont val="Encode Sans"/>
        <b/>
        <color rgb="FF000000"/>
        <sz val="9.0"/>
      </rPr>
      <t>OT</t>
    </r>
  </si>
  <si>
    <t>Justificado</t>
  </si>
  <si>
    <r>
      <rPr>
        <rFont val="Encode Sans"/>
        <color rgb="FF000000"/>
        <sz val="9.0"/>
      </rPr>
      <t xml:space="preserve">6️⃣  </t>
    </r>
    <r>
      <rPr>
        <rFont val="Encode Sans"/>
        <b/>
        <color rgb="FF000000"/>
        <sz val="9.0"/>
      </rPr>
      <t>Control de Calidad</t>
    </r>
    <r>
      <rPr>
        <rFont val="Encode Sans"/>
        <color rgb="FF000000"/>
        <sz val="9.0"/>
      </rPr>
      <t xml:space="preserve"> verifica y autoriza cada avance antes de continuar</t>
    </r>
  </si>
  <si>
    <t>AA1183076736</t>
  </si>
  <si>
    <r>
      <rPr>
        <rFont val="Encode Sans"/>
        <color rgb="FF000000"/>
        <sz val="9.0"/>
      </rPr>
      <t xml:space="preserve">7️⃣  Al cierre: </t>
    </r>
    <r>
      <rPr>
        <rFont val="Encode Sans"/>
        <b/>
        <color rgb="FF000000"/>
        <sz val="9.0"/>
      </rPr>
      <t>Documentador</t>
    </r>
    <r>
      <rPr>
        <rFont val="Encode Sans"/>
        <color rgb="FF000000"/>
        <sz val="9.0"/>
      </rPr>
      <t xml:space="preserve"> completa el historial — </t>
    </r>
    <r>
      <rPr>
        <rFont val="Encode Sans"/>
        <b/>
        <color rgb="FF000000"/>
        <sz val="9.0"/>
      </rPr>
      <t>Líder actualiza</t>
    </r>
    <r>
      <rPr>
        <rFont val="Encode Sans"/>
        <color rgb="FF000000"/>
        <sz val="9.0"/>
      </rPr>
      <t xml:space="preserve"> horas en </t>
    </r>
    <r>
      <rPr>
        <rFont val="Encode Sans"/>
        <b/>
        <color rgb="FF000000"/>
        <sz val="9.0"/>
      </rPr>
      <t>OT</t>
    </r>
  </si>
  <si>
    <t>SZSES10IS232301340</t>
  </si>
  <si>
    <r>
      <rPr>
        <rFont val="Encode Sans"/>
        <color rgb="FF000000"/>
        <sz val="9.0"/>
      </rPr>
      <t xml:space="preserve">8️⃣  </t>
    </r>
    <r>
      <rPr>
        <rFont val="Encode Sans"/>
        <b/>
        <color rgb="FF000000"/>
        <sz val="9.0"/>
      </rPr>
      <t>FED</t>
    </r>
    <r>
      <rPr>
        <rFont val="Encode Sans"/>
        <color rgb="FF000000"/>
        <sz val="9.0"/>
      </rPr>
      <t xml:space="preserve"> revisa el </t>
    </r>
    <r>
      <rPr>
        <rFont val="Encode Sans"/>
        <b/>
        <color rgb="FF000000"/>
        <sz val="9.0"/>
      </rPr>
      <t>DASHBOARD</t>
    </r>
    <r>
      <rPr>
        <rFont val="Encode Sans"/>
        <color rgb="FF000000"/>
        <sz val="9.0"/>
      </rPr>
      <t xml:space="preserve"> para ver el estado global del taller</t>
    </r>
  </si>
  <si>
    <t xml:space="preserve">45m </t>
  </si>
  <si>
    <t>55m</t>
  </si>
  <si>
    <t>se desbloqueo,falta testear  ya se instaló el SO, no le andan las teclas X,C y V</t>
  </si>
  <si>
    <t>AA3313139031</t>
  </si>
  <si>
    <t>Grupo 1</t>
  </si>
  <si>
    <t>45m</t>
  </si>
  <si>
    <t xml:space="preserve">se desbloqueo </t>
  </si>
  <si>
    <t xml:space="preserve">se desbloqueo,esta rota la pantalla, </t>
  </si>
  <si>
    <t>SZSES10IS2323024565</t>
  </si>
  <si>
    <t>Diagnosticada</t>
  </si>
  <si>
    <t>Otro</t>
  </si>
  <si>
    <t>Mottin, Francisco</t>
  </si>
  <si>
    <t>Derivada</t>
  </si>
  <si>
    <t>cambiar pantalla</t>
  </si>
  <si>
    <t>AA1313665703</t>
  </si>
  <si>
    <t>40m</t>
  </si>
  <si>
    <t xml:space="preserve">Pulsador de botón encendido está roto, no tiene bateria </t>
  </si>
  <si>
    <t>EDU8126576</t>
  </si>
  <si>
    <t>AA1183077623</t>
  </si>
  <si>
    <t>queda la pantalla en blanco</t>
  </si>
  <si>
    <t>Leal, Benjamín</t>
  </si>
  <si>
    <t>50m</t>
  </si>
  <si>
    <t>se desbloqueo, enciende pero no tiene pila, se le instalo so,</t>
  </si>
  <si>
    <t>AA6053091118</t>
  </si>
  <si>
    <t>SZSES10IS232513444</t>
  </si>
  <si>
    <t>se desbloqueo, se le instalo SO, le falta pila</t>
  </si>
  <si>
    <t>cambiar  pantalla</t>
  </si>
  <si>
    <t>AA1314016444</t>
  </si>
  <si>
    <t>S/N</t>
  </si>
  <si>
    <t>SO Instalado</t>
  </si>
  <si>
    <t>Actualización de SO</t>
  </si>
  <si>
    <t>se desbloqueo, no tiene pila, se instalo SO</t>
  </si>
  <si>
    <t>en la esquina derecha de arriba de la pantalla esta oscuro</t>
  </si>
  <si>
    <t>AA7313123510</t>
  </si>
  <si>
    <t>se desbloqueo, no tiene pila, se le debe instalar so, tiene la pantalla rota. se restauro imagen original de CI</t>
  </si>
  <si>
    <t>SZSES10IS232513687</t>
  </si>
  <si>
    <t>Desbloqueo, Actualización de SO</t>
  </si>
  <si>
    <t>Silvio Ridolfi (FED)</t>
  </si>
  <si>
    <t>AA1053101377</t>
  </si>
  <si>
    <t>pende, se desbloqueo y falta la bateria</t>
  </si>
  <si>
    <t>EDU8125658</t>
  </si>
  <si>
    <t>AA8313127584</t>
  </si>
  <si>
    <t>le falta la tecla f9</t>
  </si>
  <si>
    <t>prende, esta blequeada, pero no prende pantalla</t>
  </si>
  <si>
    <t>AA4313133415</t>
  </si>
  <si>
    <t>SZSES10IS2323301344</t>
  </si>
  <si>
    <t>Desbloqueo</t>
  </si>
  <si>
    <t>Se cambia botón de encendido</t>
  </si>
  <si>
    <t>no tiene teclado, no tiene bateria, se desbloqueo, hace falta sistema operativo y se cambio el disco duro, no le anda la pantalla, se traba en la instalacion de SO</t>
  </si>
  <si>
    <t>Pendiente</t>
  </si>
  <si>
    <t>AA2183061905</t>
  </si>
  <si>
    <t>no tiene teclado, no enciende, tenia un cable suelto, asi que puede ser que por eso no enciende, el touch pad estaba mal conectado</t>
  </si>
  <si>
    <t>EDU8123076</t>
  </si>
  <si>
    <t>AA9313652710</t>
  </si>
  <si>
    <t>enciende, le faltan dos teclas</t>
  </si>
  <si>
    <t>AA5313039059</t>
  </si>
  <si>
    <t>5m</t>
  </si>
  <si>
    <t>enciende, le falta teclado, le falta la pila, hay que cambiar la pantalla, estaba desbloqueada</t>
  </si>
  <si>
    <t>SZSES10IS232513787</t>
  </si>
  <si>
    <t>GRUPO 2 — Martes y Jueves</t>
  </si>
  <si>
    <t>AA6034019513</t>
  </si>
  <si>
    <t>30m</t>
  </si>
  <si>
    <t>enciende, pantalla rota</t>
  </si>
  <si>
    <t>AA0313635369</t>
  </si>
  <si>
    <t>Calascibetta, Felipe</t>
  </si>
  <si>
    <t>Cappelletti, Sofía</t>
  </si>
  <si>
    <t>35m</t>
  </si>
  <si>
    <t>enciende, desbloqueada, le falla el puerto USB de la drechaho</t>
  </si>
  <si>
    <t>AA8164091529</t>
  </si>
  <si>
    <t>enciende, no tiene bateria, estaba desbloqueada, hay que descargarle el drive de wifi, se le tuvo que colocar un teclado</t>
  </si>
  <si>
    <t>Configurando</t>
  </si>
  <si>
    <t>AA5314032042</t>
  </si>
  <si>
    <t>SZSES10IS232513784</t>
  </si>
  <si>
    <t>enciende, tiene la pantalla rota, le falta la tecla bloq mayús, no tiene boton de encendido, no butea</t>
  </si>
  <si>
    <t>AA8313652851</t>
  </si>
  <si>
    <t>Le falta la tecla de ordinales, tiene la pantalla rota, no tiene bateria, no da imagen, no butea. Queda de repuesto</t>
  </si>
  <si>
    <t>AA1053674988</t>
  </si>
  <si>
    <t>EDU8125735</t>
  </si>
  <si>
    <t>tiene la pantalla rota</t>
  </si>
  <si>
    <t>30M</t>
  </si>
  <si>
    <t>esta desbloqueada, tiene la manija rota, no butean. Queda de repuesto</t>
  </si>
  <si>
    <t>AA9313096665</t>
  </si>
  <si>
    <t>Estaba desbloqueado y no tenia bateria. Queda para repuesto</t>
  </si>
  <si>
    <t>AA1313122997</t>
  </si>
  <si>
    <t>No funciona teclado</t>
  </si>
  <si>
    <t>Enciende, no tiene bateria</t>
  </si>
  <si>
    <t>AA8164087864</t>
  </si>
  <si>
    <t>No tiene teclado, y le falta la bateria</t>
  </si>
  <si>
    <t>NET 12</t>
  </si>
  <si>
    <t>Desbloqueada</t>
  </si>
  <si>
    <t>AA1313621268</t>
  </si>
  <si>
    <t>PANTALLA ROTA</t>
  </si>
  <si>
    <t>Tenia problemas en el boton , pantalla oscura, manija rota</t>
  </si>
  <si>
    <t>AA7033016030</t>
  </si>
  <si>
    <t>NET 16</t>
  </si>
  <si>
    <t>enciende, no anda el monitor, cambiar el disco duro</t>
  </si>
  <si>
    <t>AA8164119582</t>
  </si>
  <si>
    <t>Le falta la antena de TDA</t>
  </si>
  <si>
    <t>NET 18</t>
  </si>
  <si>
    <t>AA5313128248</t>
  </si>
  <si>
    <t>47m</t>
  </si>
  <si>
    <t>enciende, desbloqueada</t>
  </si>
  <si>
    <t>AA5313133610</t>
  </si>
  <si>
    <t>42m</t>
  </si>
  <si>
    <t>enciende, le falta la letra supr</t>
  </si>
  <si>
    <t>NET 8</t>
  </si>
  <si>
    <t>AA3313631371</t>
  </si>
  <si>
    <t>enciende, no anda la pantalla, no tiene el teclado</t>
  </si>
  <si>
    <t>AA8164125172</t>
  </si>
  <si>
    <t>48m</t>
  </si>
  <si>
    <t>enciende, desbloqueada, da imagen, anda el wifi, anda el usb, anda el teclado completo, anda el vga, anda el touchpad, anda el audio</t>
  </si>
  <si>
    <t>NET 2</t>
  </si>
  <si>
    <t>AA0326026495</t>
  </si>
  <si>
    <t>Sin botón de encendido</t>
  </si>
  <si>
    <t>G5</t>
  </si>
  <si>
    <t>enciende, pantalla rota, se la lleva el fed de berisso</t>
  </si>
  <si>
    <t>AA8164087878</t>
  </si>
  <si>
    <t>REVISA EL PROFESOR NO TOCAR, la intervino Silvio</t>
  </si>
  <si>
    <t>AA7861001986</t>
  </si>
  <si>
    <t>G8</t>
  </si>
  <si>
    <t>NO TOCAR, SE ENCARGA EL PROFESOR, la intervino Silvio</t>
  </si>
  <si>
    <t>AA1313122485</t>
  </si>
  <si>
    <t>No tiene bateria, tiene el disco dañado y esta bloqueada, se reviso el disco duro y funciona, ya se desbloqueo, da imagen, anda el wifi, anda el audio, anda el touchpad, anda el vga, anda el usb, anda el teclado</t>
  </si>
  <si>
    <t>AA9163603786</t>
  </si>
  <si>
    <t>Se usa como respuestos</t>
  </si>
  <si>
    <t>Esta roto el conector de la placa madre, queda como repuesto, se esta limpiando el disco</t>
  </si>
  <si>
    <t>AA6183076205</t>
  </si>
  <si>
    <t>Esta desbloqueada, tiene el disco dañado, se le cambio el disco, ya se instalo el sistema operativo</t>
  </si>
  <si>
    <t>Esta dañado el grub, anda el wifi, anda el sonido, anda el touchpad, anda el teclado completo</t>
  </si>
  <si>
    <t>AA0313123073</t>
  </si>
  <si>
    <t>Se desbloqueo, se le tiene que instalar sistema operativo</t>
  </si>
  <si>
    <t>Esta bloqueada y tiene la pantalla rota, no tiene bateria, anda el vga, anda el audio, anda el wifi, anda el touchpad, anda el teclado, tira error de escritura del disco</t>
  </si>
  <si>
    <t>AA3313607599</t>
  </si>
  <si>
    <t>Se desbloqueo, queda como repuesto</t>
  </si>
  <si>
    <t>Esta bloqueada, tiene la pantalla rota y no le anda el teclado, no tiene bateria</t>
  </si>
  <si>
    <t>AA3313117793</t>
  </si>
  <si>
    <t>Se desbloqueo</t>
  </si>
  <si>
    <t>No tiene bateria y esta bloqueada, tira un error en la instalacion del sistema operativo y hay que cambiar el disco</t>
  </si>
  <si>
    <t>AA9023626990</t>
  </si>
  <si>
    <t>Esta bloqueada, se apaga apenas se prende, una de las tablas que conecta el teclado a la placa esta dañada, se le instalo SO</t>
  </si>
  <si>
    <t>AA3037034891</t>
  </si>
  <si>
    <t>G6</t>
  </si>
  <si>
    <t>15m</t>
  </si>
  <si>
    <t>se le reinstalo SO</t>
  </si>
  <si>
    <t>enciende, estaba desbloqueada, se le reinstalo SO, tenia cargador</t>
  </si>
  <si>
    <t>AA7037036510</t>
  </si>
  <si>
    <t>AA6037034333</t>
  </si>
  <si>
    <t>25m</t>
  </si>
  <si>
    <t>AA0187071400</t>
  </si>
  <si>
    <t>se desbloqueo, se le reinstalo SO</t>
  </si>
  <si>
    <t>enciende, estaba bloqueada, no tenia cargador</t>
  </si>
  <si>
    <t>AA0187067705</t>
  </si>
  <si>
    <t>se desbloqueo, se reinstalo SO</t>
  </si>
  <si>
    <t>enciende, se desbloqueo, le falta la tecla f11, no tenia cargador</t>
  </si>
  <si>
    <t>AA4187067180</t>
  </si>
  <si>
    <t>27m</t>
  </si>
  <si>
    <t>enciende, se desbloquo, no tenia cargador</t>
  </si>
  <si>
    <t>AA3187094529</t>
  </si>
  <si>
    <t xml:space="preserve">desbloqueada </t>
  </si>
  <si>
    <t>enciende, se desbloqueo, no tenia cargador</t>
  </si>
  <si>
    <t>2023100888</t>
  </si>
  <si>
    <t>---</t>
  </si>
  <si>
    <t>no prende, esta rayada</t>
  </si>
  <si>
    <t>2023100986</t>
  </si>
  <si>
    <t>AA4187054724</t>
  </si>
  <si>
    <t>45M</t>
  </si>
  <si>
    <t>se encontraba bloqueada, se desbloqueo y se le reinstalo SO</t>
  </si>
  <si>
    <t>AA6187091353</t>
  </si>
  <si>
    <t>20m</t>
  </si>
  <si>
    <t>2m</t>
  </si>
  <si>
    <t>enciende, instalando SO, no tenia cargador</t>
  </si>
  <si>
    <t>AA3187094663</t>
  </si>
  <si>
    <t>enciende, le falta la tecla f1, no tenia cargador</t>
  </si>
  <si>
    <t>AA7187079064</t>
  </si>
  <si>
    <t>AA7037036435</t>
  </si>
  <si>
    <t>enciende, estaba bloqueada, tenia cargador</t>
  </si>
  <si>
    <t>EDU8237701</t>
  </si>
  <si>
    <t>Se desbloqueo y se le reinstalo el SO</t>
  </si>
  <si>
    <t>esta bloqueada y tiene el sistema operativo desinstalado, anda todo bien</t>
  </si>
  <si>
    <t>EDU8264762</t>
  </si>
  <si>
    <t>Funciona bien 👌</t>
  </si>
  <si>
    <t>EDU8264080</t>
  </si>
  <si>
    <t>EDU8247404</t>
  </si>
  <si>
    <t>Se rompio una tecla, anda todo pero tira pantalla azul, hay que reinstalarle el SO, anda todo bien</t>
  </si>
  <si>
    <t>EDU8266329</t>
  </si>
  <si>
    <t>1h</t>
  </si>
  <si>
    <t>AA3037034165</t>
  </si>
  <si>
    <t>Funciona todo</t>
  </si>
  <si>
    <t>AA0037034127</t>
  </si>
  <si>
    <t>Anda todo</t>
  </si>
  <si>
    <t>AA2037034893</t>
  </si>
  <si>
    <t>Se intento cambiar el disco pero fallo</t>
  </si>
  <si>
    <t>se pudo cambiar el disco</t>
  </si>
  <si>
    <t>AA9037035289</t>
  </si>
  <si>
    <t>Se le instalo  el SO</t>
  </si>
  <si>
    <t>AA3037036392</t>
  </si>
  <si>
    <t>AA1037035816</t>
  </si>
  <si>
    <t>instalar SO</t>
  </si>
  <si>
    <t>AA8037035907</t>
  </si>
  <si>
    <t>nstalar SO</t>
  </si>
  <si>
    <t>AA2037032010</t>
  </si>
  <si>
    <t>AA4037036441</t>
  </si>
  <si>
    <t>Le anda todo</t>
  </si>
  <si>
    <t>AA4037034120</t>
  </si>
  <si>
    <t>AA1037034892</t>
  </si>
  <si>
    <t>AA4313128459</t>
  </si>
  <si>
    <t>desbloqueada</t>
  </si>
  <si>
    <t>AA1313627610</t>
  </si>
  <si>
    <t>Se desbloqueo, se le cambio el disco</t>
  </si>
  <si>
    <t>La pantalla esta rota, pendiente para instalar el SO, no detecta el disco</t>
  </si>
  <si>
    <t>Probando</t>
  </si>
  <si>
    <t>EDU3140088</t>
  </si>
  <si>
    <t>1h10m</t>
  </si>
  <si>
    <t>Se desbloquea,le falta la pila y instalar SO</t>
  </si>
  <si>
    <t>AA0000000000</t>
  </si>
  <si>
    <t>se desbloquea,hay que cambiarle la pila,le falta una tecla</t>
  </si>
  <si>
    <t>PF4SXF3S</t>
  </si>
  <si>
    <t>10m</t>
  </si>
  <si>
    <t>cambiar el anti virus</t>
  </si>
  <si>
    <t>Se desinstala la versión de prueba del McAfee y se reemplaza por Avast</t>
  </si>
  <si>
    <t>PF4RJARB</t>
  </si>
  <si>
    <t>PF4SXE5N</t>
  </si>
  <si>
    <t>PF4RPDMQ</t>
  </si>
  <si>
    <t>EDU8140097</t>
  </si>
  <si>
    <t>esta bloqueada,hay que cambiarle la pila, se le instalo el SO</t>
  </si>
  <si>
    <t>EDU8140052</t>
  </si>
  <si>
    <t xml:space="preserve">esta bloqueada </t>
  </si>
  <si>
    <t>se desbloqueo,falta instalaerle S0</t>
  </si>
  <si>
    <t>EDU8149393</t>
  </si>
  <si>
    <t>esta bloqueada ,falta tecla f9 y 8 y cmbiarle la pila</t>
  </si>
  <si>
    <t>se desbloqueo,se le cambio la pila, se instaló imagen actualizada y se cambió la pantalla</t>
  </si>
  <si>
    <t>EDU8155813</t>
  </si>
  <si>
    <t>1:30H</t>
  </si>
  <si>
    <t>Se desbloqueo y se le cambio la pila, se le cambio la carcasa</t>
  </si>
  <si>
    <t xml:space="preserve">Esta bloqueada, el flex del mousepad esta roto </t>
  </si>
  <si>
    <t>EDU8140050</t>
  </si>
  <si>
    <t>Se desbloqueo y se le cambio la pila, se le instalo el SO</t>
  </si>
  <si>
    <t>se desbloqueo, FALTA INSTALAR EL SO</t>
  </si>
  <si>
    <t>EDU8148932</t>
  </si>
  <si>
    <t>se desbloqueo, se le cambio la pila, se le instalo el SO</t>
  </si>
  <si>
    <t>EDU8140706</t>
  </si>
  <si>
    <t>Se desbloqueo y  se le cambio la pila, se le instalo el SO</t>
  </si>
  <si>
    <t>LE FALTA UNA TECLA, TIENE LA MANIJA ROJA, HAY QUE CAMBIARLE LA PILA</t>
  </si>
  <si>
    <t>SZSES10IS232301385</t>
  </si>
  <si>
    <t>Se le instalo el SO</t>
  </si>
  <si>
    <t>Tiene la pantalla rota, hay que instalarle el SO, las teclas no responden bien, SE LE CAMBIO LA PILA</t>
  </si>
  <si>
    <t>SZSES10IS232301695</t>
  </si>
  <si>
    <t>Esta bloqueada, no prende</t>
  </si>
  <si>
    <t>EDU8094163</t>
  </si>
  <si>
    <t>2h</t>
  </si>
  <si>
    <t>Esta bloqueada, SE LE CAMBIO LA PLACA MADRE Y LA PLACA DEL ENCENDIDO, PRENDE PERO NO DA IMAGEN</t>
  </si>
  <si>
    <t>AA3313127989</t>
  </si>
  <si>
    <t>SE LE ACTUALIZO EL SO</t>
  </si>
  <si>
    <t>Hay que actualizar el SO</t>
  </si>
  <si>
    <t>AA6055043688</t>
  </si>
  <si>
    <t xml:space="preserve">Hay que actualizar el SO, hay que cambiarle el disco porque no butea </t>
  </si>
  <si>
    <t>SZSES10IS232301433</t>
  </si>
  <si>
    <t>Se arreglo correctamente</t>
  </si>
  <si>
    <t>finalizada</t>
  </si>
  <si>
    <t>SZSES10IS232301033</t>
  </si>
  <si>
    <t>32m</t>
  </si>
  <si>
    <t>Finalizada</t>
  </si>
  <si>
    <t>SZSES10IS232301450</t>
  </si>
  <si>
    <t>120m</t>
  </si>
  <si>
    <t>ESTA BLOQUEADA, hay que cambiarle la pantalla</t>
  </si>
  <si>
    <t>SZSES10IS232301371</t>
  </si>
  <si>
    <t>Esta bloqueada</t>
  </si>
  <si>
    <t>SZSES10IS232301350</t>
  </si>
  <si>
    <t>Intalando SO</t>
  </si>
  <si>
    <t>Esta bloqueada, SE CAMBIO LA PILA</t>
  </si>
  <si>
    <t>SZSES10IS232301233</t>
  </si>
  <si>
    <t>No hace contacto</t>
  </si>
  <si>
    <t>Pantalla suelta, no prende la luz, SE LE CAMBIO LA PILA</t>
  </si>
  <si>
    <t>SZSES10IS232301377</t>
  </si>
  <si>
    <t>El teclado tarda en responder algunas letras, SE CAMBIO LA PILA</t>
  </si>
  <si>
    <t>SZSES10IS232301485</t>
  </si>
  <si>
    <t>Se le esta instalando SO</t>
  </si>
  <si>
    <t>La tecla ctrl esta por salirse</t>
  </si>
  <si>
    <t>EDU8094169</t>
  </si>
  <si>
    <t>No da imagen hay que cambiarle la placa madre</t>
  </si>
  <si>
    <t>Se le cambio la plia</t>
  </si>
  <si>
    <t>EDU8106242</t>
  </si>
  <si>
    <t>Se le cambio la pila</t>
  </si>
  <si>
    <t>La pila se cambio correctamente</t>
  </si>
  <si>
    <t>EDU8101137</t>
  </si>
  <si>
    <t>Se cambio la pila correctamente</t>
  </si>
  <si>
    <t>Hay que cambiarle la pantalla</t>
  </si>
  <si>
    <t>EDU8081186</t>
  </si>
  <si>
    <t>Se desbloqueo correctamente</t>
  </si>
  <si>
    <t>Se desbloqueo y se le cambio la pila</t>
  </si>
  <si>
    <t>EDU8081421</t>
  </si>
  <si>
    <t>20M</t>
  </si>
  <si>
    <t>SE DESBLOQUEO Y SE CAMBIO LA PILA</t>
  </si>
  <si>
    <t xml:space="preserve">cambiar la imagen que tiene </t>
  </si>
  <si>
    <t>EDU8094361</t>
  </si>
  <si>
    <t>SE DESBLQUEO Y SE CAMBIO LA PILA</t>
  </si>
  <si>
    <t xml:space="preserve">no lee el disco </t>
  </si>
  <si>
    <t>EDU8094221</t>
  </si>
  <si>
    <t>EDU8094160</t>
  </si>
  <si>
    <t>AA2027192959</t>
  </si>
  <si>
    <t>G7</t>
  </si>
  <si>
    <t>AA5027230740</t>
  </si>
  <si>
    <t>Se desbloquo pero no prende la pantalla</t>
  </si>
  <si>
    <t>no da imagen</t>
  </si>
  <si>
    <t>EDU8094400</t>
  </si>
  <si>
    <t xml:space="preserve">terminada </t>
  </si>
  <si>
    <t>AA4027102439</t>
  </si>
  <si>
    <t>No prende</t>
  </si>
  <si>
    <t>AA3027219672</t>
  </si>
  <si>
    <t>Se desbloqueo pero no enciende</t>
  </si>
  <si>
    <t>AA7027140121</t>
  </si>
  <si>
    <t>AA3183069136</t>
  </si>
  <si>
    <t>35M</t>
  </si>
  <si>
    <t>Ahi prendio</t>
  </si>
  <si>
    <t>AA1183001549</t>
  </si>
  <si>
    <t>AA6183067068</t>
  </si>
  <si>
    <t>AA5183005793</t>
  </si>
  <si>
    <t>AA8183055857</t>
  </si>
  <si>
    <t>Se le cambio la pila y se desbloqueo</t>
  </si>
  <si>
    <t>AA0183014232</t>
  </si>
  <si>
    <t>AA6183059531</t>
  </si>
  <si>
    <t>AA8183003418</t>
  </si>
  <si>
    <t xml:space="preserve">no prende la pantalla </t>
  </si>
  <si>
    <t>AA1183060907</t>
  </si>
  <si>
    <t>AA0183062594</t>
  </si>
  <si>
    <t>29m</t>
  </si>
  <si>
    <t>AA0183062270</t>
  </si>
  <si>
    <t>28m</t>
  </si>
  <si>
    <t>AA9183080130</t>
  </si>
  <si>
    <t>Pantalla rota</t>
  </si>
  <si>
    <t>AA6163048203</t>
  </si>
  <si>
    <t>Pantalla rota, derivada</t>
  </si>
  <si>
    <t>AA6183075828</t>
  </si>
  <si>
    <t>Se desbloqueo pero no prende</t>
  </si>
  <si>
    <t>AA7313633823</t>
  </si>
  <si>
    <t>No tiene el boton escendido y no se pudo probar,no detecta losnpuertos USB y el pad</t>
  </si>
  <si>
    <t>AA1163050034</t>
  </si>
  <si>
    <t>AA8183056075</t>
  </si>
  <si>
    <t>AA4183006252</t>
  </si>
  <si>
    <t>AA5183006282</t>
  </si>
  <si>
    <t>AA2163046569</t>
  </si>
  <si>
    <t>le falta el teclado</t>
  </si>
  <si>
    <t>AA1313128777</t>
  </si>
  <si>
    <t>AA8163608565</t>
  </si>
  <si>
    <t>Instalando SO</t>
  </si>
  <si>
    <t>AA6053095790</t>
  </si>
  <si>
    <t>30m,</t>
  </si>
  <si>
    <t>AA0163604461</t>
  </si>
  <si>
    <t>💻 INVENTARIO DE EQUIPOS</t>
  </si>
  <si>
    <t>Seguimiento completo por netbook</t>
  </si>
  <si>
    <t>Modelo</t>
  </si>
  <si>
    <t>Marca</t>
  </si>
  <si>
    <t>Fecha Ingreso</t>
  </si>
  <si>
    <t>Estado Actual</t>
  </si>
  <si>
    <t>OT Vinculada</t>
  </si>
  <si>
    <t>Observaciones Técnicas</t>
  </si>
  <si>
    <t>Historial de Estados</t>
  </si>
  <si>
    <t>EXO</t>
  </si>
  <si>
    <t>OT-2026-001</t>
  </si>
  <si>
    <t>esta roto el conector del teclado, disco actual es de 160, se cambia por uno de 320, queda para reutilizar un disco de 160, funciona mal la pantalla</t>
  </si>
  <si>
    <t>NOVATECH</t>
  </si>
  <si>
    <t>OT-2026-002</t>
  </si>
  <si>
    <t>Ya se instaló el SO, No le andan las teclas X, C y V</t>
  </si>
  <si>
    <t>Esta desbloqueada, falta testear e instalar SO - 17-6 se testeo la maquina y ya se instaló el SO, las teclas que no funcionan son las letras X,C y V</t>
  </si>
  <si>
    <t>BGH</t>
  </si>
  <si>
    <t>OT-2026-003</t>
  </si>
  <si>
    <t>Tiene la pantalla rota, le falta una tecla el puerto USB derecho está roto</t>
  </si>
  <si>
    <t>17-06 Se ha hecho el primer diagnostico: se desbloqueo, tiene la pantalla rota, le falta una tecla, el puerto USB derecho está roto, se instaló el SO y falta testear</t>
  </si>
  <si>
    <t>OT-2026-004</t>
  </si>
  <si>
    <t>Ya está desbloqueada,está roto el botón de encendido, está sin bateria, la carcasa está dañada, QUEDA DE REPUESTO</t>
  </si>
  <si>
    <t>Está roto el botón de encendido, está sin bateria, la carcasa está dañada, enciende pero no lee el disco y no da imagen</t>
  </si>
  <si>
    <t>OT-2026-005</t>
  </si>
  <si>
    <t>se desbloqueo, le falta pila</t>
  </si>
  <si>
    <t>se desbloqueo, enciende pero no tiene pila, se le instalo so,no se le conecto el panel tactil</t>
  </si>
  <si>
    <t>EDUNEC</t>
  </si>
  <si>
    <t>OT-2026-006</t>
  </si>
  <si>
    <t>se desbloqueo, se le esta instalando SO, le falta pila</t>
  </si>
  <si>
    <t>OT-2026-007</t>
  </si>
  <si>
    <t xml:space="preserve">se desbloqueo, le falta pila </t>
  </si>
  <si>
    <t>se desbloqueo, no tiene pila, se le va a instalar so</t>
  </si>
  <si>
    <t>OT-2026-008</t>
  </si>
  <si>
    <t>Esta desbloqueada, no tiene bateria, le fallan los puertos USB</t>
  </si>
  <si>
    <t>se desbloqueo, no tiene pila, se le va a instalar so, tiene la pantalla rota, se restauro imagen original de CI</t>
  </si>
  <si>
    <t>OT-2026-009</t>
  </si>
  <si>
    <t>No tiene teclado</t>
  </si>
  <si>
    <t>OT-2026-010</t>
  </si>
  <si>
    <t>No enciende, aun despues del chequeo</t>
  </si>
  <si>
    <t>Se cambio el disco duro</t>
  </si>
  <si>
    <t>OT-2026-011</t>
  </si>
  <si>
    <t>no tiene teclado, no tiene bateria ,se desbloqueo,se cambio disco duro,no anda pantalla,se traba en istalacion SO</t>
  </si>
  <si>
    <t xml:space="preserve">Esta desbloqueada  </t>
  </si>
  <si>
    <t>📊 TABLERO KANBAN</t>
  </si>
  <si>
    <t>Flujo visual de avance por etapa — actualizar al cambiar estado</t>
  </si>
  <si>
    <t>📌 Pendientes</t>
  </si>
  <si>
    <t>OT-2026-012</t>
  </si>
  <si>
    <t>No enciende, no tiene teclado</t>
  </si>
  <si>
    <t>Esta desbloqueada</t>
  </si>
  <si>
    <t>📌 Diagnóstico</t>
  </si>
  <si>
    <t>📌 Desbloqueo</t>
  </si>
  <si>
    <t>📌 Instalación SO</t>
  </si>
  <si>
    <t>📌 Configuración</t>
  </si>
  <si>
    <t>📌 Pruebas</t>
  </si>
  <si>
    <t>📌 Finalizadas</t>
  </si>
  <si>
    <t>📌 Derivar / Sin solución</t>
  </si>
  <si>
    <t>Total →</t>
  </si>
  <si>
    <t>OT-2026-013</t>
  </si>
  <si>
    <t>se desbloqueo y se le va instalar SO</t>
  </si>
  <si>
    <t>OT-2026-014</t>
  </si>
  <si>
    <t>enciende, le falta teclado, pila, cambiar pantalla</t>
  </si>
  <si>
    <t>CORADIR</t>
  </si>
  <si>
    <t>OT-2026-015</t>
  </si>
  <si>
    <t>enciende, paantalla rota</t>
  </si>
  <si>
    <t>OT-2026-016</t>
  </si>
  <si>
    <t>Enciende y le falla el puerto USB de la derecha</t>
  </si>
  <si>
    <t>enciende hay que desbloquearla</t>
  </si>
  <si>
    <t>OT-2026-017</t>
  </si>
  <si>
    <t>Se le coloco el teclado, falta cargar driver de WIFI</t>
  </si>
  <si>
    <t>Enciende correctamente, se desbloqueo a las 11:24 hs</t>
  </si>
  <si>
    <t>OT-2026-018</t>
  </si>
  <si>
    <t>enciende, pantalla rota, le falta tecla Bloq mayus y boton de necendido,REVISA EL PROFE</t>
  </si>
  <si>
    <t>enciende, tiene pantalla rpa y le falta tecla Bloq mayus, se cambio RAM</t>
  </si>
  <si>
    <t>OT-2026-019</t>
  </si>
  <si>
    <t>Le falta la tecla de ordinales, tiene la pantalla rota, no tiene bateria, QUEDA DE REPUESTO</t>
  </si>
  <si>
    <t>Se desbloqueo a las 9:20 hs</t>
  </si>
  <si>
    <t>OT-2026-020</t>
  </si>
  <si>
    <t>La manija esta rota, QUEDA DE REPUESTO</t>
  </si>
  <si>
    <t>Se desbloqueo a las 9:34 hs</t>
  </si>
  <si>
    <t>OT-2026-021</t>
  </si>
  <si>
    <t>Enciende y le falta la bateria. QUEDA DE REPUESTO</t>
  </si>
  <si>
    <t>No tiene arreglo</t>
  </si>
  <si>
    <t>OT-2026-022</t>
  </si>
  <si>
    <t>Enciende y le falta la bateria</t>
  </si>
  <si>
    <t>Se desbloqueo a las 10:41 hs</t>
  </si>
  <si>
    <t>OT-2026-023</t>
  </si>
  <si>
    <t>No tiene teclado, y le falta la bateria, QUEDA DE REPUESTO</t>
  </si>
  <si>
    <t>OT-2026-024</t>
  </si>
  <si>
    <t>Tenia problemas de boton de encendidio, y se cambio por otro</t>
  </si>
  <si>
    <t>Se arreglo el boton</t>
  </si>
  <si>
    <t>OT-2026-025</t>
  </si>
  <si>
    <t>Esta bloqueada, y no tiene teclado,CAMBIAR DISCO DURO</t>
  </si>
  <si>
    <t>Se le coloco el teclado</t>
  </si>
  <si>
    <t>OT-2026-026</t>
  </si>
  <si>
    <t>Se esta arreglando</t>
  </si>
  <si>
    <t>OT-2026-027</t>
  </si>
  <si>
    <t>enciende, desbloqueando</t>
  </si>
  <si>
    <t>desbloqueo</t>
  </si>
  <si>
    <t>OT-2026-028</t>
  </si>
  <si>
    <t>enciende, le falta tecla supr, desbloqueando</t>
  </si>
  <si>
    <t>OT-2026-029</t>
  </si>
  <si>
    <t>enciende, no le anda la pantalla, le falta boton de encendido, desbloqueado</t>
  </si>
  <si>
    <t>OT-2026-030</t>
  </si>
  <si>
    <t>PCBOX</t>
  </si>
  <si>
    <t>OT-2026-031</t>
  </si>
  <si>
    <t xml:space="preserve">enciende, pantalla rota </t>
  </si>
  <si>
    <t>se la lleva el FED de beriso</t>
  </si>
  <si>
    <t>OT-2026-032</t>
  </si>
  <si>
    <t>REVISA EL PROFE</t>
  </si>
  <si>
    <t>OT-2026-033</t>
  </si>
  <si>
    <t>⚙️ ROTACIÓN DE ROLES SEMANALES</t>
  </si>
  <si>
    <t>REVISA EL PROFE, NO TOCAR!</t>
  </si>
  <si>
    <t>Nombres desde ESTUDIANTES — rotación programada para 7 semanas</t>
  </si>
  <si>
    <t>Apellido y Nombre</t>
  </si>
  <si>
    <t>Sesión 1 y 2</t>
  </si>
  <si>
    <t>OT-2026-034</t>
  </si>
  <si>
    <t xml:space="preserve">No tiene batería y está bloqueada. </t>
  </si>
  <si>
    <t>Sesión 3 y 4</t>
  </si>
  <si>
    <t>Sesión 5 y 6</t>
  </si>
  <si>
    <t>Sesión 7 y 8</t>
  </si>
  <si>
    <t>Sesión 9 y 10</t>
  </si>
  <si>
    <t>Sesión 11 y 12</t>
  </si>
  <si>
    <t>Sesión 13 y 14</t>
  </si>
  <si>
    <t>Recibida</t>
  </si>
  <si>
    <t>OT-2026-035</t>
  </si>
  <si>
    <t>No tiene batería y no prende</t>
  </si>
  <si>
    <t>se derivó como repuestos</t>
  </si>
  <si>
    <t>Técnico Secundario</t>
  </si>
  <si>
    <t>Control de Calidad</t>
  </si>
  <si>
    <t>Tester / Instalador</t>
  </si>
  <si>
    <t>OT-2026-036</t>
  </si>
  <si>
    <t>Se encuentra con el grub dañado, el disco no anda bien</t>
  </si>
  <si>
    <t>se desbloqueo, se instaló el so</t>
  </si>
  <si>
    <t>OT-2026-037</t>
  </si>
  <si>
    <t>Bloqueada, tiene la pantalla rota y no tiene batería</t>
  </si>
  <si>
    <t>se desbloqueo, se está instalando so</t>
  </si>
  <si>
    <t>OT-2026-038</t>
  </si>
  <si>
    <t>Bloqueada, no le anda el teclado, tiene la pantalla y no tiene batería</t>
  </si>
  <si>
    <t xml:space="preserve">se desbloqueo, quedó derivada </t>
  </si>
  <si>
    <t>OT-2026-039</t>
  </si>
  <si>
    <t>Bloqueada y no tiene batería</t>
  </si>
  <si>
    <t>se desbloqueo, error en la instalación de so</t>
  </si>
  <si>
    <t>NOBLEX</t>
  </si>
  <si>
    <t>OT-2026-040</t>
  </si>
  <si>
    <t>Bloqueada, una de las trabas que engancha el teclado fue rota por simonetti</t>
  </si>
  <si>
    <t>OT-2026-041</t>
  </si>
  <si>
    <t>estaba desbloqueada, se le debe reinstalara SO</t>
  </si>
  <si>
    <t>estaba desbloqueada, se le reinstalo SO y quedo funcionando perfectamente</t>
  </si>
  <si>
    <t>📌 DESCRIPCIÓN DE ROLES</t>
  </si>
  <si>
    <t>Coordina el equipo, gestiona tiempos, actualiza el Kanban y reporta al FED</t>
  </si>
  <si>
    <t>OT-2026-042</t>
  </si>
  <si>
    <t>Ejecuta el desbloqueo.</t>
  </si>
  <si>
    <t>Asiste al Técnico Principal y prepara los equipos para la siguiente etapa</t>
  </si>
  <si>
    <t>OT-2026-043</t>
  </si>
  <si>
    <t>Registra cada intervención en la OT en tiempo real con fecha y descripción técnica</t>
  </si>
  <si>
    <t>Verifica que cada etapa cumple el procedimiento antes de autorizar el avance</t>
  </si>
  <si>
    <t>OT-2026-044</t>
  </si>
  <si>
    <t>bloqueada, se debe desbloquear y reinstalar SO</t>
  </si>
  <si>
    <t>estaba bloqueada, se desbloqueo y se le reinstalo SO, quedo funcionando perfectamente</t>
  </si>
  <si>
    <t>Instala la imagen del SO y verifica el funcionamiento de todos los componentes</t>
  </si>
  <si>
    <t>OT-2026-045</t>
  </si>
  <si>
    <t>OT-2026-046</t>
  </si>
  <si>
    <t>OT-2026-047</t>
  </si>
  <si>
    <t>TABLET</t>
  </si>
  <si>
    <t>HAITECH</t>
  </si>
  <si>
    <t>No Enciende</t>
  </si>
  <si>
    <t>OT-2026-048</t>
  </si>
  <si>
    <t xml:space="preserve">no prende, rayada </t>
  </si>
  <si>
    <t>no da señales de vida, no se pudo revisar</t>
  </si>
  <si>
    <t>OT-2026-049</t>
  </si>
  <si>
    <t>OT-2026-050</t>
  </si>
  <si>
    <t>OT-2026-051</t>
  </si>
  <si>
    <t>OT-2026-052</t>
  </si>
  <si>
    <t>OT-2026-053</t>
  </si>
  <si>
    <t>OT-2026-054</t>
  </si>
  <si>
    <t>SCHOOLMATE 16ME</t>
  </si>
  <si>
    <t>OT-2026-055</t>
  </si>
  <si>
    <t>bloqueada</t>
  </si>
  <si>
    <t>OT-2026-056</t>
  </si>
  <si>
    <t>estaba bloqueada</t>
  </si>
  <si>
    <t>OT-2026-057</t>
  </si>
  <si>
    <t>bloqueada, el SO funciona un poco lento</t>
  </si>
  <si>
    <t>OT-2026-058</t>
  </si>
  <si>
    <t>OT-2026-059</t>
  </si>
  <si>
    <t>CDR CLASS G6</t>
  </si>
  <si>
    <t>OT-2026-060</t>
  </si>
  <si>
    <t>OT-2026-061</t>
  </si>
  <si>
    <t>OT-2026-062</t>
  </si>
  <si>
    <t>desbloqueada, el disco está dañado y hay que cambiarlo</t>
  </si>
  <si>
    <t>cambiamos duro, instalamos SO</t>
  </si>
  <si>
    <t>OT-2026-063</t>
  </si>
  <si>
    <t>OT-2026-064</t>
  </si>
  <si>
    <t>OT-2026-065</t>
  </si>
  <si>
    <t>OT-2026-066</t>
  </si>
  <si>
    <t>OT-2026-067</t>
  </si>
  <si>
    <t>se instalo SO</t>
  </si>
  <si>
    <t>OT-2026-068</t>
  </si>
  <si>
    <t>OT-2026-069</t>
  </si>
  <si>
    <t>OT-2026-070</t>
  </si>
  <si>
    <t>se desbloqueo y se instalo SO</t>
  </si>
  <si>
    <t>OT-2026-071</t>
  </si>
  <si>
    <t>OT-2026-072</t>
  </si>
  <si>
    <t>bloqueada, no detecta el disco</t>
  </si>
  <si>
    <t>OT-2026-073</t>
  </si>
  <si>
    <t>esta loqueada, le falta una tecla</t>
  </si>
  <si>
    <t>OT-2026-074</t>
  </si>
  <si>
    <t>establoqueada y le falta pila</t>
  </si>
  <si>
    <t>se desbloqueo, se puso pila y se instalo SO</t>
  </si>
  <si>
    <t>THINKPAD</t>
  </si>
  <si>
    <t>LENOVO</t>
  </si>
  <si>
    <t>OT-2026-075</t>
  </si>
  <si>
    <t>Equipo funciona correctamente</t>
  </si>
  <si>
    <t>OT-2026-076</t>
  </si>
  <si>
    <t>OT-2026-077</t>
  </si>
  <si>
    <t>OT-2026-078</t>
  </si>
  <si>
    <t>OT-2026-079</t>
  </si>
  <si>
    <t>esta bloqueada, falta cambiar pila</t>
  </si>
  <si>
    <t>FUNCIONA TODO, SE LE INSTALO SO</t>
  </si>
  <si>
    <t>OT-2026-080</t>
  </si>
  <si>
    <t>esta bloqueada y le falta una tecla</t>
  </si>
  <si>
    <t>funciona todo , se le instalo SO</t>
  </si>
  <si>
    <t>OT-2026-081</t>
  </si>
  <si>
    <t>falta tecla F9 y tecla 8 y pila</t>
  </si>
  <si>
    <t>se desbloqueo y se le cambio pila e instalo SO</t>
  </si>
  <si>
    <t>Schoolmate15c</t>
  </si>
  <si>
    <t>OT-2026-082</t>
  </si>
  <si>
    <t>Esta bloqueada, el flex del mousepad esta roto</t>
  </si>
  <si>
    <t>se desbloqueo , se le cambio la pila, se le cambio la carcasa  y se le instalo SO</t>
  </si>
  <si>
    <t>OT-2026-083</t>
  </si>
  <si>
    <t>esta bloqueada</t>
  </si>
  <si>
    <t>SE DESBLOQUEO, SE LE ISTALO SO, se le cambio la pila, FUNCIONA TODO</t>
  </si>
  <si>
    <t>OT-2026-084</t>
  </si>
  <si>
    <t>SE DESBLOQUEO, SE LE INSTALO SO se le cambio la pila, FUNCIONA TODO</t>
  </si>
  <si>
    <t>OT-2026-085</t>
  </si>
  <si>
    <t>LE FALTA UNA TECLA, TIENE LA MANIJA ROTA, HAY QUE CAMBIARLE LA PILA</t>
  </si>
  <si>
    <t>SE DESBLOQUEO Y SE LE CAMBIO LA PILA, funciona todo, se le instalo el SO</t>
  </si>
  <si>
    <t>ES10IS2</t>
  </si>
  <si>
    <t>HAIER</t>
  </si>
  <si>
    <t>OT-2026-086</t>
  </si>
  <si>
    <t>TIENE LA PANTALLA ROTA, HAY QUE INSTALARLE EL SO, EL TECLADO TARDA EN RESPONDER, SE LE CAMBIO LA PILA</t>
  </si>
  <si>
    <t>se le instalo SO, SE LE CAMBIO LA PILA</t>
  </si>
  <si>
    <t>OT-2026-087</t>
  </si>
  <si>
    <t>ESTA BLOQUEADA</t>
  </si>
  <si>
    <t>OT-2026-088</t>
  </si>
  <si>
    <t xml:space="preserve">se desbloqueo, SE LE CAMBIO LA PLACA MADRE Y LA PLACA DEL ENCENDIDO, PRENDE PERO NO DA IMAGEN </t>
  </si>
  <si>
    <t>OT-2026-089</t>
  </si>
  <si>
    <t>ACTUALIZAR EL SISTEMA OPERATIVO</t>
  </si>
  <si>
    <t xml:space="preserve">SE LE ACTUALIZO EL SO, FUNCIONA TODO </t>
  </si>
  <si>
    <t>OT-2026-090</t>
  </si>
  <si>
    <t>hay que cambiarle el disco porque no butea</t>
  </si>
  <si>
    <t>OT-2026-091</t>
  </si>
  <si>
    <t xml:space="preserve">ESTA BLOQUEADA, </t>
  </si>
  <si>
    <t>se desbloqueo, se le instalo el sistma so</t>
  </si>
  <si>
    <t>OT-2026-092</t>
  </si>
  <si>
    <t>ESTA DESBLOQUEADA, HAY QUE CAMBIARLE LA PANTALLA</t>
  </si>
  <si>
    <t>SE DESBLOQUEO, INSTALO EL SO</t>
  </si>
  <si>
    <t>OT-2026-093</t>
  </si>
  <si>
    <t>ESTA BLOQUEADA, HAY QUE CAMBIARLE LA PANTALLA</t>
  </si>
  <si>
    <t>SE DESBLOQUEO, FALTA INSTALAR EL SO</t>
  </si>
  <si>
    <t>OT-2026-094</t>
  </si>
  <si>
    <t>se desbloqueo, SE LE INSTALO EL SO</t>
  </si>
  <si>
    <t>OT-2026-095</t>
  </si>
  <si>
    <t>ESTA BLOQIEADA, SE LE CAMBIO LA PILA</t>
  </si>
  <si>
    <t>SE DESBLOQUEO, SE LE INSTALO EL SO, SE LE CAMBIO LA PILA</t>
  </si>
  <si>
    <t>OT-2026-096</t>
  </si>
  <si>
    <t>TIENE LA PANTALLA SUELTA, EL BOTON DE ENCENDIDO NO DA CONTACTO</t>
  </si>
  <si>
    <t>se la deja en pendientes por falta de imagen en la pantalla y falta de contacto en el boton de encendido, SE LE CAMBIO LA PILA</t>
  </si>
  <si>
    <t>OT-2026-097</t>
  </si>
  <si>
    <t>SE NECESITA DESBLOQUEAR PERNANENTEMENTE</t>
  </si>
  <si>
    <t>SE HA DESBLOQUEADO, SE LE INSTALO EL SO</t>
  </si>
  <si>
    <t>OT-2026-098</t>
  </si>
  <si>
    <t>ESTABA BLOQUEADA</t>
  </si>
  <si>
    <t xml:space="preserve">SE HA DESBLOQUEADO, FALTA INSTALAR EL SO Y HAY QUE CAMBIAR EL DISCO </t>
  </si>
  <si>
    <t>Schoolmate 15 c</t>
  </si>
  <si>
    <t>OT-2026-099</t>
  </si>
  <si>
    <t>SE LE CAMBIO LA PILA, SE DESBLOQUEO, ENCIENDE LA LUZ DE POWER PERO NO DA IMAGEN Y NO PRENDE LA PANTALLA, HAY QUE CAMBIARLE LA PLACA MADRE</t>
  </si>
  <si>
    <t>OT-2026-100</t>
  </si>
  <si>
    <t>SE LE CAMBIO LA PILA, SE DESBLOQUEO, SE LE IALTA INSTALAR EL SO, SE LE INSTALO SO</t>
  </si>
  <si>
    <t>OT-2026-101</t>
  </si>
  <si>
    <t>ESTABA BLOQUEADA, HAY QUE CAMBIARLE EL DISCO</t>
  </si>
  <si>
    <t>SE LE CAMBIO LA PILA, SE DESBLOQUEO, SE LE FALTA INSTALAR EL SO</t>
  </si>
  <si>
    <t>OT-2026-102</t>
  </si>
  <si>
    <t>OT-2026-103</t>
  </si>
  <si>
    <t>OT-2026-104</t>
  </si>
  <si>
    <t>DESBLOQUEAR Y CAMBIAR PILA</t>
  </si>
  <si>
    <t>se le cambio la pila</t>
  </si>
  <si>
    <t>OT-2026-105</t>
  </si>
  <si>
    <t>OT-2026-106</t>
  </si>
  <si>
    <t>SF20BA</t>
  </si>
  <si>
    <t>OT-2026-107</t>
  </si>
  <si>
    <t>OT-2026-108</t>
  </si>
  <si>
    <t>Queda la pantalla en negro y no da imagen</t>
  </si>
  <si>
    <t>OT-2026-109</t>
  </si>
  <si>
    <t>bloqueada y se requiere cambio de pila</t>
  </si>
  <si>
    <t>OT-2026-110</t>
  </si>
  <si>
    <t>SE DESBLOQUEO PERO NO ENCIENDE</t>
  </si>
  <si>
    <t>OT-2026-111</t>
  </si>
  <si>
    <t>OT-2026-112</t>
  </si>
  <si>
    <t>NVTES10IS5</t>
  </si>
  <si>
    <t>OT-2026-113</t>
  </si>
  <si>
    <t>SE LE HA CAMBIADO LA PILA</t>
  </si>
  <si>
    <t>OT-2026-114</t>
  </si>
  <si>
    <t xml:space="preserve">muestra imagen pero no detecta los colores negros  </t>
  </si>
  <si>
    <t>OT-2026-115</t>
  </si>
  <si>
    <t>OT-2026-116</t>
  </si>
  <si>
    <t xml:space="preserve">se desbloqueo cambio pila </t>
  </si>
  <si>
    <t>OT-2026-117</t>
  </si>
  <si>
    <t>se desbloqueo cambio pila</t>
  </si>
  <si>
    <t>OT-2026-118</t>
  </si>
  <si>
    <t>OT-2026-119</t>
  </si>
  <si>
    <t>OT-2026-120</t>
  </si>
  <si>
    <t>OT-2026-121</t>
  </si>
  <si>
    <t>OT-2026-122</t>
  </si>
  <si>
    <t>OT-2026-123</t>
  </si>
  <si>
    <t>OT-2026-124</t>
  </si>
  <si>
    <t>JOYA</t>
  </si>
  <si>
    <t>OT-2026-125</t>
  </si>
  <si>
    <t>PANTALLA ROTA. MANIJA ROTA, VENTILADOR HACE SONIDO, YA NO PRENDE</t>
  </si>
  <si>
    <t>OT-2026-126</t>
  </si>
  <si>
    <t>ESTA DESBLOQUEADA PERO TIENE PRBLEMAS PAA PRENDER</t>
  </si>
  <si>
    <t>OT-2026-127</t>
  </si>
  <si>
    <t>FALTA DE BOTON DE ENCENDIO ASI QUE NO PRENDE</t>
  </si>
  <si>
    <t>OT-2026-128</t>
  </si>
  <si>
    <t>esta para instalar sistema operatio</t>
  </si>
  <si>
    <t>OT-2026-129</t>
  </si>
  <si>
    <t>OT-2026-130</t>
  </si>
  <si>
    <t>OT-2026-131</t>
  </si>
  <si>
    <t>OT-2026-132</t>
  </si>
  <si>
    <t>OT-2026-133</t>
  </si>
  <si>
    <t>OT-2026-134</t>
  </si>
  <si>
    <t>OT-2026-135</t>
  </si>
  <si>
    <t>OT-2026-136</t>
  </si>
  <si>
    <t>📌 INDICADORES CLAVE</t>
  </si>
  <si>
    <t>💻 Recibidos</t>
  </si>
  <si>
    <t>🔍 Diagnosticados</t>
  </si>
  <si>
    <t>🔓 Desbloqueados</t>
  </si>
  <si>
    <t>🖥️ Con SO</t>
  </si>
  <si>
    <t>✅ Finalizados</t>
  </si>
  <si>
    <t>❌ Irreparables</t>
  </si>
  <si>
    <t>📊 % Avance</t>
  </si>
  <si>
    <t>📋 OTs Activas</t>
  </si>
  <si>
    <t>📊 COMPARATIVA DE GRUPOS</t>
  </si>
  <si>
    <t>Días</t>
  </si>
  <si>
    <t>Alumnos</t>
  </si>
  <si>
    <t>Equipos Asignados</t>
  </si>
  <si>
    <t>Equipos Finalizados</t>
  </si>
  <si>
    <t>% Eficiencia</t>
  </si>
  <si>
    <t>Lunes y Miércoles</t>
  </si>
  <si>
    <t>Martes y Jueves</t>
  </si>
  <si>
    <t>📅 RESUMEN DE ASISTENCIA</t>
  </si>
  <si>
    <t>Total Registros</t>
  </si>
  <si>
    <t>Tardanzas</t>
  </si>
  <si>
    <t>Justificados</t>
  </si>
  <si>
    <t>% Asistencia</t>
  </si>
  <si>
    <t>🏫 TERRITORIO</t>
  </si>
  <si>
    <t>🔧 Equipos Revisados</t>
  </si>
  <si>
    <t>🏫 Escuelas Visitadas</t>
  </si>
  <si>
    <t>✅ Finalizadas OK</t>
  </si>
  <si>
    <t>❌ Derivadas</t>
  </si>
  <si>
    <t>📊 COMPARATIVA DE GRUPOS — TERRITORIO</t>
  </si>
  <si>
    <t>Equipos Atendidos</t>
  </si>
  <si>
    <t>Nombre</t>
  </si>
  <si>
    <t>BERISSO | ANEXO A CENTRO DE EDUCACIÓN AGRARIA N° 14 (CUE: 61672701)</t>
  </si>
  <si>
    <t>BERISSO</t>
  </si>
  <si>
    <t>ANEXO A CENTRO DE EDUCACIÓN AGRARIA N° 14</t>
  </si>
  <si>
    <t>BERISSO | C.E.C. MANUEL NICOLAS SAVIO (CUE: 61660800)</t>
  </si>
  <si>
    <t>C.E.C. MANUEL NICOLAS SAVIO</t>
  </si>
  <si>
    <t>BERISSO | CENTRO DE ADULTOS N° 704/01 (CUE: 61371201)</t>
  </si>
  <si>
    <t>CENTRO DE ADULTOS N° 704/01</t>
  </si>
  <si>
    <t>BERISSO | CENTRO DE ADULTOS N° 706 (CUE: 60298600)</t>
  </si>
  <si>
    <t>CENTRO DE ADULTOS N° 706</t>
  </si>
  <si>
    <t>BERISSO | CENTRO DE ADULTOS N° 707/03 MARTÍN MIGUEL DE GÜEMES (CUE: 60283801)</t>
  </si>
  <si>
    <t>CENTRO DE ADULTOS N° 707/03 MARTÍN MIGUEL DE GÜEMES</t>
  </si>
  <si>
    <t>BERISSO | CENTRO DE ADULTOS N° 708/03 DARDO ROCHA (CUE: 60283802)</t>
  </si>
  <si>
    <t>CENTRO DE ADULTOS N° 708/03 DARDO ROCHA</t>
  </si>
  <si>
    <t>BERISSO | CENTRO DE ADULTOS N° 710/03 (CUE: 60283803)</t>
  </si>
  <si>
    <t>CENTRO DE ADULTOS N° 710/03</t>
  </si>
  <si>
    <t>BERISSO | CENTRO DE ADULTOS N° 711 (CUE: 60281000)</t>
  </si>
  <si>
    <t>CENTRO DE ADULTOS N° 711</t>
  </si>
  <si>
    <t>BERISSO | CENTRO DE ADULTOS N° 712 (CUE: 60284200)</t>
  </si>
  <si>
    <t>CENTRO DE ADULTOS N° 712</t>
  </si>
  <si>
    <t>BERISSO | CENTRO DE EDUCACIÓN AGRARIA N° 14 (CUE: 61672700)</t>
  </si>
  <si>
    <t>CENTRO DE EDUCACIÓN AGRARIA N° 14</t>
  </si>
  <si>
    <t>BERISSO | CENTRO DE EDUCACIÓN FÍSICA N° 67 (CUE: 61641200)</t>
  </si>
  <si>
    <t>CENTRO DE EDUCACIÓN FÍSICA N° 67</t>
  </si>
  <si>
    <t>BERISSO | CENTRO DE FORMACIÓN PROFESIONAL (CUE: 62320600)</t>
  </si>
  <si>
    <t>CENTRO DE FORMACIÓN PROFESIONAL</t>
  </si>
  <si>
    <t>BERISSO | CENTRO DE FORMACIÓN PROFESIONAL N° 401 (CUE: 61520200)</t>
  </si>
  <si>
    <t>CENTRO DE FORMACIÓN PROFESIONAL N° 401</t>
  </si>
  <si>
    <t>BERISSO | CENTRO DE FORMACIÓN PROFESIONAL N° 402 (CUE: 61520300)</t>
  </si>
  <si>
    <t>CENTRO DE FORMACIÓN PROFESIONAL N° 402</t>
  </si>
  <si>
    <t>BERISSO | CENTRO DE FORMACIÓN PROFESIONAL N° 403 (CUE: 62121500)</t>
  </si>
  <si>
    <t>CENTRO DE FORMACIÓN PROFESIONAL N° 403</t>
  </si>
  <si>
    <t>BERISSO | CENTRO DE FORMACIÓN PROFESIONAL N° 404 (CUE: 62308500)</t>
  </si>
  <si>
    <t>CENTRO DE FORMACIÓN PROFESIONAL N° 404</t>
  </si>
  <si>
    <t>BERISSO | CENTRO EDUCATIVO COMPLEMENTARIO N° 2 (CUE: 61660900)</t>
  </si>
  <si>
    <t>CENTRO EDUCATIVO COMPLEMENTARIO N° 2</t>
  </si>
  <si>
    <t>BERISSO | CENTRO EDUCATIVO COMPLEMENTARIO N° 3 (CUE: 61661000)</t>
  </si>
  <si>
    <t>CENTRO EDUCATIVO COMPLEMENTARIO N° 3</t>
  </si>
  <si>
    <t>BERISSO | CENTRO EDUCATIVO DE NIVEL SECUNDARIO N° 452 (CUE: 62358300)</t>
  </si>
  <si>
    <t>CENTRO EDUCATIVO DE NIVEL SECUNDARIO N° 452</t>
  </si>
  <si>
    <t>BERISSO | CENTRO EDUCATIVO DE NIVEL SECUNDARIO N° 453 (CUE: 62393700)</t>
  </si>
  <si>
    <t>CENTRO EDUCATIVO DE NIVEL SECUNDARIO N° 453</t>
  </si>
  <si>
    <t>BERISSO | CENTRO EDUCATIVO NIVEL SECUNDARIO N° 451 (CUE: 60488000)</t>
  </si>
  <si>
    <t>CENTRO EDUCATIVO NIVEL SECUNDARIO N° 451</t>
  </si>
  <si>
    <t>BERISSO | CENTRO EDUCATIVO NIVEL SECUNDARIO PARA ADULTOS N° 476 EXTENSIÓN I - BERISSO (CUE: 62440701)</t>
  </si>
  <si>
    <t>CENTRO EDUCATIVO NIVEL SECUNDARIO PARA ADULTOS N° 476 EXTENSIÓN I - BERISSO</t>
  </si>
  <si>
    <t>BERISSO | CENTRO INVESTIGACIÓN EDUCATIVA (CUE: 62263600)</t>
  </si>
  <si>
    <t>CENTRO INVESTIGACIÓN EDUCATIVA</t>
  </si>
  <si>
    <t>BERISSO | ESCUELA DE ADULTOS N° 701 MARRUECOS (CUE: 61371200)</t>
  </si>
  <si>
    <t>ESCUELA DE ADULTOS N° 701 MARRUECOS</t>
  </si>
  <si>
    <t>BERISSO | ESCUELA DE ADULTOS N° 703 JUAN BERISSO (CUE: 60283800)</t>
  </si>
  <si>
    <t>ESCUELA DE ADULTOS N° 703 JUAN BERISSO</t>
  </si>
  <si>
    <t>BERISSO | ESCUELA DE ARTE DE BERISSO (CUE: 61457700)</t>
  </si>
  <si>
    <t>ESCUELA DE ARTE DE BERISSO</t>
  </si>
  <si>
    <t>BERISSO | ESCUELA DE EDUCACIÓN ESTÉTICA (CUE: 61520100)</t>
  </si>
  <si>
    <t>ESCUELA DE EDUCACIÓN ESTÉTICA</t>
  </si>
  <si>
    <t>BERISSO | ESCUELA DE EDUCACIÓN PRIMARIA N° 1 MARIANO MORENO (CUE: 61137200)</t>
  </si>
  <si>
    <t>ESCUELA DE EDUCACIÓN PRIMARIA N° 1 MARIANO MORENO</t>
  </si>
  <si>
    <t>BERISSO | ESCUELA DE EDUCACIÓN PRIMARIA N° 10 GRAL JOSÉ DE SAN MARTÍN (CUE: 61138000)</t>
  </si>
  <si>
    <t>ESCUELA DE EDUCACIÓN PRIMARIA N° 10 GRAL JOSÉ DE SAN MARTÍN</t>
  </si>
  <si>
    <t>BERISSO | ESCUELA DE EDUCACIÓN PRIMARIA N° 14 20 DE JUNIO (CUE: 60882900)</t>
  </si>
  <si>
    <t>ESCUELA DE EDUCACIÓN PRIMARIA N° 14 20 DE JUNIO</t>
  </si>
  <si>
    <t>BERISSO | ESCUELA DE EDUCACIÓN PRIMARIA N° 15 PAULA ALBARRACÍN DE SARMIENTO (CUE: 60489400)</t>
  </si>
  <si>
    <t>ESCUELA DE EDUCACIÓN PRIMARIA N° 15 PAULA ALBARRACÍN DE SARMIENTO</t>
  </si>
  <si>
    <t>BERISSO | ESCUELA DE EDUCACIÓN PRIMARIA N° 17 IGANCIO GORRITI (CUE: 60284300)</t>
  </si>
  <si>
    <t>ESCUELA DE EDUCACIÓN PRIMARIA N° 17 IGANCIO GORRITI</t>
  </si>
  <si>
    <t>BERISSO | ESCUELA DE EDUCACIÓN PRIMARIA N° 18 DOMINGO FAUSTINO SARMIENTO (CUE: 60901500)</t>
  </si>
  <si>
    <t>ESCUELA DE EDUCACIÓN PRIMARIA N° 18 DOMINGO FAUSTINO SARMIENTO</t>
  </si>
  <si>
    <t>BERISSO | ESCUELA DE EDUCACIÓN PRIMARIA N° 19 SANTIAGO DEL ESTERO (CUE: 61136900)</t>
  </si>
  <si>
    <t>ESCUELA DE EDUCACIÓN PRIMARIA N° 19 SANTIAGO DEL ESTERO</t>
  </si>
  <si>
    <t>BERISSO | ESCUELA DE EDUCACIÓN PRIMARIA N° 2 JUAN BAUTISTA ALBERDI (CUE: 60488100)</t>
  </si>
  <si>
    <t>ESCUELA DE EDUCACIÓN PRIMARIA N° 2 JUAN BAUTISTA ALBERDI</t>
  </si>
  <si>
    <t>BERISSO | ESCUELA DE EDUCACIÓN PRIMARIA N° 20 REPÚBLICA DE INDONESIA (CUE: 60882800)</t>
  </si>
  <si>
    <t>ESCUELA DE EDUCACIÓN PRIMARIA N° 20 REPÚBLICA DE INDONESIA</t>
  </si>
  <si>
    <t>BERISSO | ESCUELA DE EDUCACIÓN PRIMARIA N° 21 ROSARIO VERA PEÑALOZA (CUE: 60879200)</t>
  </si>
  <si>
    <t>ESCUELA DE EDUCACIÓN PRIMARIA N° 21 ROSARIO VERA PEÑALOZA</t>
  </si>
  <si>
    <t>BERISSO | ESCUELA DE EDUCACIÓN PRIMARIA N° 22 INDEPENDENCIA DEL PERÚ (CUE: 60282400)</t>
  </si>
  <si>
    <t>ESCUELA DE EDUCACIÓN PRIMARIA N° 22 INDEPENDENCIA DEL PERÚ</t>
  </si>
  <si>
    <t>BERISSO | ESCUELA DE EDUCACIÓN PRIMARIA N° 23 CORONEL HIPÓLITO BOUCHARD (CUE: 60283700)</t>
  </si>
  <si>
    <t>ESCUELA DE EDUCACIÓN PRIMARIA N° 23 CORONEL HIPÓLITO BOUCHARD</t>
  </si>
  <si>
    <t>BERISSO | ESCUELA DE EDUCACIÓN PRIMARIA N° 24 DOCTOR DARDO ROCHA (CUE: 61136700)</t>
  </si>
  <si>
    <t>ESCUELA DE EDUCACIÓN PRIMARIA N° 24 DOCTOR DARDO ROCHA</t>
  </si>
  <si>
    <t>BERISSO | ESCUELA DE EDUCACIÓN PRIMARIA N° 25 CRUCERO GRAL. BELGRANO (CUE: 61318800)</t>
  </si>
  <si>
    <t>ESCUELA DE EDUCACIÓN PRIMARIA N° 25 CRUCERO GRAL. BELGRANO</t>
  </si>
  <si>
    <t>BERISSO | ESCUELA DE EDUCACIÓN PRIMARIA N° 3 HIPÓLITO YRIGOYEN (CUE: 60901400)</t>
  </si>
  <si>
    <t>ESCUELA DE EDUCACIÓN PRIMARIA N° 3 HIPÓLITO YRIGOYEN</t>
  </si>
  <si>
    <t>BERISSO | ESCUELA DE EDUCACIÓN PRIMARIA N° 4 MANUEL BELGRANO (CUE: 60488500)</t>
  </si>
  <si>
    <t>ESCUELA DE EDUCACIÓN PRIMARIA N° 4 MANUEL BELGRANO</t>
  </si>
  <si>
    <t>BERISSO | ESCUELA DE EDUCACIÓN PRIMARIA N° 5 REPÚBLICA ARABE SIRIA (CUE: 60282500)</t>
  </si>
  <si>
    <t>ESCUELA DE EDUCACIÓN PRIMARIA N° 5 REPÚBLICA ARABE SIRIA</t>
  </si>
  <si>
    <t>BERISSO | ESCUELA DE EDUCACIÓN PRIMARIA N° 6 GABRIELA MISTRAL (CUE: 60879000)</t>
  </si>
  <si>
    <t>ESCUELA DE EDUCACIÓN PRIMARIA N° 6 GABRIELA MISTRAL</t>
  </si>
  <si>
    <t>BERISSO | ESCUELA DE EDUCACIÓN PRIMARIA N° 7 GENERAL ENRIQUE MOSCONI (CUE: 60878600)</t>
  </si>
  <si>
    <t>ESCUELA DE EDUCACIÓN PRIMARIA N° 7 GENERAL ENRIQUE MOSCONI</t>
  </si>
  <si>
    <t>BERISSO | ESCUELA DE EDUCACIÓN PRIMARIA N° 8 GENERAL MARTÍN MIGUEL DE GÜEMES (CUE: 61137300)</t>
  </si>
  <si>
    <t>ESCUELA DE EDUCACIÓN PRIMARIA N° 8 GENERAL MARTÍN MIGUEL DE GÜEMES</t>
  </si>
  <si>
    <t>BERISSO | ESCUELA DE EDUCACIÓN PRIMARIA N° 9 AMÉRICA (CUE: 60885600)</t>
  </si>
  <si>
    <t>ESCUELA DE EDUCACIÓN PRIMARIA N° 9 AMÉRICA</t>
  </si>
  <si>
    <t>BERISSO | ESCUELA DE EDUCACIÓN SECUNDARIA AGRARIA N° 1 (CUE: 61844900)</t>
  </si>
  <si>
    <t>ESCUELA DE EDUCACIÓN SECUNDARIA AGRARIA N° 1</t>
  </si>
  <si>
    <t>BERISSO | ESCUELA DE EDUCACIÓN SECUNDARIA N° 1 - EXTENSIÓN N° 1 (CUE: 60487901)</t>
  </si>
  <si>
    <t>ESCUELA DE EDUCACIÓN SECUNDARIA N° 1 - EXTENSIÓN N° 1</t>
  </si>
  <si>
    <t>BERISSO | ESCUELA DE EDUCACIÓN SECUNDARIA N° 1 RAUL SCALABRINI ORTIZ (CUE: 60487900)</t>
  </si>
  <si>
    <t>ESCUELA DE EDUCACIÓN SECUNDARIA N° 1 RAUL SCALABRINI ORTIZ</t>
  </si>
  <si>
    <t>BERISSO | ESCUELA DE EDUCACIÓN SECUNDARIA N° 10 (CUE: 61782900)</t>
  </si>
  <si>
    <t>ESCUELA DE EDUCACIÓN SECUNDARIA N° 10</t>
  </si>
  <si>
    <t>BERISSO | ESCUELA DE EDUCACIÓN SECUNDARIA N° 11 (CUE: 61783200)</t>
  </si>
  <si>
    <t>ESCUELA DE EDUCACIÓN SECUNDARIA N° 11</t>
  </si>
  <si>
    <t>BERISSO | ESCUELA DE EDUCACIÓN SECUNDARIA N° 12 (CUE: 61782800)</t>
  </si>
  <si>
    <t>ESCUELA DE EDUCACIÓN SECUNDARIA N° 12</t>
  </si>
  <si>
    <t>BERISSO | ESCUELA DE EDUCACIÓN SECUNDARIA N° 13 (CUE: 61763000)</t>
  </si>
  <si>
    <t>ESCUELA DE EDUCACIÓN SECUNDARIA N° 13</t>
  </si>
  <si>
    <t>BERISSO | ESCUELA DE EDUCACIÓN SECUNDARIA N° 14 (CUE: 61783400)</t>
  </si>
  <si>
    <t>ESCUELA DE EDUCACIÓN SECUNDARIA N° 14</t>
  </si>
  <si>
    <t>BERISSO | ESCUELA DE EDUCACIÓN SECUNDARIA N° 2 PERITO FRANCISCO P. MORENO (CUE: 60901600)</t>
  </si>
  <si>
    <t>ESCUELA DE EDUCACIÓN SECUNDARIA N° 2 PERITO FRANCISCO P. MORENO</t>
  </si>
  <si>
    <t>BERISSO | ESCUELA DE EDUCACIÓN SECUNDARIA N° 3 (CUE: 61496200)</t>
  </si>
  <si>
    <t>ESCUELA DE EDUCACIÓN SECUNDARIA N° 3</t>
  </si>
  <si>
    <t>BERISSO | ESCUELA DE EDUCACIÓN SECUNDARIA N° 4 (CUE: 61784500)</t>
  </si>
  <si>
    <t>ESCUELA DE EDUCACIÓN SECUNDARIA N° 4</t>
  </si>
  <si>
    <t>BERISSO | ESCUELA DE EDUCACIÓN SECUNDARIA N° 5 - EXTENSIÓN N° 1 (CUE: 61783601)</t>
  </si>
  <si>
    <t>ESCUELA DE EDUCACIÓN SECUNDARIA N° 5 - EXTENSIÓN N° 1</t>
  </si>
  <si>
    <t>BERISSO | ESCUELA DE EDUCACIÓN SECUNDARIA N° 5 (CUE: 61783600)</t>
  </si>
  <si>
    <t>ESCUELA DE EDUCACIÓN SECUNDARIA N° 5</t>
  </si>
  <si>
    <t>BERISSO | ESCUELA DE EDUCACIÓN SECUNDARIA N° 6 MONSEÑOR ENRIQUE ANGELELLI (CUE: 61783300)</t>
  </si>
  <si>
    <t>ESCUELA DE EDUCACIÓN SECUNDARIA N° 6 MONSEÑOR ENRIQUE ANGELELLI</t>
  </si>
  <si>
    <t>BERISSO | ESCUELA DE EDUCACIÓN SECUNDARIA N° 7 (CUE: 62054700)</t>
  </si>
  <si>
    <t>ESCUELA DE EDUCACIÓN SECUNDARIA N° 7</t>
  </si>
  <si>
    <t>BERISSO | ESCUELA DE EDUCACIÓN SECUNDARIA N° 9 (CUE: 61726800)</t>
  </si>
  <si>
    <t>ESCUELA DE EDUCACIÓN SECUNDARIA N° 9</t>
  </si>
  <si>
    <t>BERISSO | ESCUELA DE EDUCACIÓN SECUNDARIA TÉCNICA N° 1 LIBERTADOR GENERAL JOSÉ DE SAN MARTÍN (CUE: 60883100)</t>
  </si>
  <si>
    <t>ESCUELA DE EDUCACIÓN SECUNDARIA TÉCNICA N° 1 LIBERTADOR GENERAL JOSÉ DE SAN MARTÍN</t>
  </si>
  <si>
    <t>BERISSO | ESCUELA DE EDUCACIÓN SECUNDARIA TÉCNICA N° 2 INGENIERO EMILIO REBUELTO (CUE: 61135100)</t>
  </si>
  <si>
    <t>ESCUELA DE EDUCACIÓN SECUNDARIA TÉCNICA N° 2 INGENIERO EMILIO REBUELTO</t>
  </si>
  <si>
    <t>BERISSO | ESCUELA ESPECIAL N° 501 COMBATIENTES DE MALVINAS (CUE: 60299000)</t>
  </si>
  <si>
    <t>ESCUELA ESPECIAL N° 501 COMBATIENTES DE MALVINAS</t>
  </si>
  <si>
    <t>BERISSO | ESCUELA ESPECIAL N° 502 PADRE CARLOS CAJADE (CUE: 60883000)</t>
  </si>
  <si>
    <t>ESCUELA ESPECIAL N° 502 PADRE CARLOS CAJADE</t>
  </si>
  <si>
    <t>BERISSO | ESCUELA SECUNDARIA N° 8 (CUE: 61783000)</t>
  </si>
  <si>
    <t>ESCUELA SECUNDARIA N° 8</t>
  </si>
  <si>
    <t>BERISSO | INSTITUTO SUPERIOR DE FORMACIÓN TÉCNICA N° 202 (CUE: 62233900)</t>
  </si>
  <si>
    <t>INSTITUTO SUPERIOR DE FORMACIÓN TÉCNICA N° 202</t>
  </si>
  <si>
    <t>BERISSO | JARDÍN DE INFANTES N° 901 HUMBERTO E D'AMELIO (CUE: 61135000)</t>
  </si>
  <si>
    <t>JARDÍN DE INFANTES N° 901 HUMBERTO E D'AMELIO</t>
  </si>
  <si>
    <t>BERISSO | JARDÍN DE INFANTES N° 902 MERCEDITAS DE SAN MARTÍN (CUE: 60488800)</t>
  </si>
  <si>
    <t>JARDÍN DE INFANTES N° 902 MERCEDITAS DE SAN MARTÍN</t>
  </si>
  <si>
    <t>BERISSO | JARDÍN DE INFANTES N° 903 FEDERICO FROEBEL (CUE: 60882700)</t>
  </si>
  <si>
    <t>JARDÍN DE INFANTES N° 903 FEDERICO FROEBEL</t>
  </si>
  <si>
    <t>BERISSO | JARDÍN DE INFANTES N° 904 D'AMELIO (CUE: 60488900)</t>
  </si>
  <si>
    <t>JARDÍN DE INFANTES N° 904 D'AMELIO</t>
  </si>
  <si>
    <t>BERISSO | JARDÍN DE INFANTES N° 905 CRISOL DE RAZAS (CUE: 60282200)</t>
  </si>
  <si>
    <t>JARDÍN DE INFANTES N° 905 CRISOL DE RAZAS</t>
  </si>
  <si>
    <t>BERISSO | JARDÍN DE INFANTES N° 906 BERISSO TIERRA DE INMIGRANTES (CUE: 60488700)</t>
  </si>
  <si>
    <t>JARDÍN DE INFANTES N° 906 BERISSO TIERRA DE INMIGRANTES</t>
  </si>
  <si>
    <t>BERISSO | JARDÍN DE INFANTES N° 907 DR. RENÉ FAVALORO (CUE: 60281200)</t>
  </si>
  <si>
    <t>JARDÍN DE INFANTES N° 907 DR. RENÉ FAVALORO</t>
  </si>
  <si>
    <t>BERISSO | JARDÍN DE INFANTES N° 908 EL OMBÚ (CUE: 60285500)</t>
  </si>
  <si>
    <t>JARDÍN DE INFANTES N° 908 EL OMBÚ</t>
  </si>
  <si>
    <t>BERISSO | JARDÍN DE INFANTES N° 909 GRAL. JOSÉ DE SAN MARTÍN (CUE: 61137000)</t>
  </si>
  <si>
    <t>JARDÍN DE INFANTES N° 909 GRAL. JOSÉ DE SAN MARTÍN</t>
  </si>
  <si>
    <t>BERISSO | JARDÍN DE INFANTES N° 910 MANUEL BELGRANO (CUE: 60879100)</t>
  </si>
  <si>
    <t>JARDÍN DE INFANTES N° 910 MANUEL BELGRANO</t>
  </si>
  <si>
    <t>BERISSO | JARDÍN DE INFANTES N° 911 ROBERTO THOMAS SPERÓNI (CUE: 61137100)</t>
  </si>
  <si>
    <t>JARDÍN DE INFANTES N° 911 ROBERTO THOMAS SPERÓNI</t>
  </si>
  <si>
    <t>BERISSO | JARDÍN DE INFANTES N° 912 (CUE: 60298900)</t>
  </si>
  <si>
    <t>JARDÍN DE INFANTES N° 912</t>
  </si>
  <si>
    <t>BERISSO | JARDÍN DE INFANTES N° 913 ALFONSINA STORNI (CUE: 60281100)</t>
  </si>
  <si>
    <t>JARDÍN DE INFANTES N° 913 ALFONSINA STORNI</t>
  </si>
  <si>
    <t>BERISSO | JARDÍN DE INFANTES N° 914 GOLONDRINAS (CUE: 61485500)</t>
  </si>
  <si>
    <t>JARDÍN DE INFANTES N° 914 GOLONDRINAS</t>
  </si>
  <si>
    <t>BERISSO | JARDÍN DE INFANTES N° 915 (CUE: 62154800)</t>
  </si>
  <si>
    <t>JARDÍN DE INFANTES N° 915</t>
  </si>
  <si>
    <t>BERISSO | JARDÍN DE INFANTES N° 916 (CUE: 62342200)</t>
  </si>
  <si>
    <t>JARDÍN DE INFANTES N° 916</t>
  </si>
  <si>
    <t>BERISSO | JARDÍN DE INFANTES N° 917 (CUE: 62445300)</t>
  </si>
  <si>
    <t>JARDÍN DE INFANTES N° 917</t>
  </si>
  <si>
    <t>BERISSO | JARDÍN DE INFANTES RURAL N° 1 PAULA ALBARRACÍN DE SARMIENTO (CUE: 62129500)</t>
  </si>
  <si>
    <t>JARDÍN DE INFANTES RURAL N° 1 PAULA ALBARRACÍN DE SARMIENTO</t>
  </si>
  <si>
    <t>BRANDSEN | C. E. C. N° 2 UN RINCÓN PARA LOS NIÑOS (CUE: 61657800)</t>
  </si>
  <si>
    <t>BRANDSEN</t>
  </si>
  <si>
    <t>C. E. C. N° 2 UN RINCÓN PARA LOS NIÑOS</t>
  </si>
  <si>
    <t>BRANDSEN | CENTRO DE ADULTOS N° 702 TOMAS ESPORA (CUE: 60837700)</t>
  </si>
  <si>
    <t>CENTRO DE ADULTOS N° 702 TOMAS ESPORA</t>
  </si>
  <si>
    <t>BRANDSEN | CENTRO DE ADULTOS N° 704/01 (CUE: 61101801)</t>
  </si>
  <si>
    <t>BRANDSEN | CENTRO DE EDUCACIÓN AGRÍCOLA BRANDSEN (CUE: 61531500)</t>
  </si>
  <si>
    <t>CENTRO DE EDUCACIÓN AGRÍCOLA BRANDSEN</t>
  </si>
  <si>
    <t>BRANDSEN | CENTRO DE EDUCACIÓN FÍSICA N° 144 (CUE: 62299200)</t>
  </si>
  <si>
    <t>CENTRO DE EDUCACIÓN FÍSICA N° 144</t>
  </si>
  <si>
    <t>BRANDSEN | CENTRO DE FORMACIÓN PROFESIONAL N° 401 (CUE: 62234700)</t>
  </si>
  <si>
    <t>BRANDSEN | CENTRO EDUCATIVO COMPLEMENTARIO N° 1 (CUE: 61657700)</t>
  </si>
  <si>
    <t>CENTRO EDUCATIVO COMPLEMENTARIO N° 1</t>
  </si>
  <si>
    <t>BRANDSEN | CENTRO EDUCATIVO DE NIVEL SECUNDARIO N° 452 (CUE: 60786700)</t>
  </si>
  <si>
    <t>BRANDSEN | CENTRO EDUCATIVO DE NIVEL SECUNDARIO N° 453 (CUE: 62358400)</t>
  </si>
  <si>
    <t>BRANDSEN | CENTRO EDUCATIVO NIVEL SECUNDARIO N° 451 (CUE: 60841200)</t>
  </si>
  <si>
    <t>BRANDSEN | CENTRO EDUCATIVO PARA LA PRODUCCIÓN TOTAL N° 18 (CUE: 61566900)</t>
  </si>
  <si>
    <t>CENTRO EDUCATIVO PARA LA PRODUCCIÓN TOTAL N° 18</t>
  </si>
  <si>
    <t>BRANDSEN | CENTRO INVESTIGACIÓN EDUCATIVA (CUE: 62253900)</t>
  </si>
  <si>
    <t>BRANDSEN | ESCUELA DE ADULTOS N° 701 TORIBIO DE LUZURIAGA (CUE: 61101800)</t>
  </si>
  <si>
    <t>ESCUELA DE ADULTOS N° 701 TORIBIO DE LUZURIAGA</t>
  </si>
  <si>
    <t>BRANDSEN | ESCUELA DE EDUCACIÓN ESTÉTICA (CUE: 61502700)</t>
  </si>
  <si>
    <t>BRANDSEN | ESCUELA DE EDUCACIÓN PRIMARIA N° 1 BARTOLOMÉ MITRE (CUE: 60787000)</t>
  </si>
  <si>
    <t>ESCUELA DE EDUCACIÓN PRIMARIA N° 1 BARTOLOMÉ MITRE</t>
  </si>
  <si>
    <t>BRANDSEN | ESCUELA DE EDUCACIÓN PRIMARIA N° 10 DOMINGO FAUSTINO SARMIENTO (CUE: 60532500)</t>
  </si>
  <si>
    <t>ESCUELA DE EDUCACIÓN PRIMARIA N° 10 DOMINGO FAUSTINO SARMIENTO</t>
  </si>
  <si>
    <t>BRANDSEN | ESCUELA DE EDUCACIÓN PRIMARIA N° 13 JOSÉ MANUEL ESTRADA (CUE: 60493700)</t>
  </si>
  <si>
    <t>ESCUELA DE EDUCACIÓN PRIMARIA N° 13 JOSÉ MANUEL ESTRADA</t>
  </si>
  <si>
    <t>BRANDSEN | ESCUELA DE EDUCACIÓN PRIMARIA N° 14 ARMADA ARGENTINA (CUE: 60493800)</t>
  </si>
  <si>
    <t>ESCUELA DE EDUCACIÓN PRIMARIA N° 14 ARMADA ARGENTINA</t>
  </si>
  <si>
    <t>BRANDSEN | ESCUELA DE EDUCACIÓN PRIMARIA N° 16 HIPÓLITO YRIGOYEN (CUE: 60494000)</t>
  </si>
  <si>
    <t>ESCUELA DE EDUCACIÓN PRIMARIA N° 16 HIPÓLITO YRIGOYEN</t>
  </si>
  <si>
    <t>BRANDSEN | ESCUELA DE EDUCACIÓN PRIMARIA N° 17 CARLOS FEDERICO BRANDSEN (CUE: 60257700)</t>
  </si>
  <si>
    <t>ESCUELA DE EDUCACIÓN PRIMARIA N° 17 CARLOS FEDERICO BRANDSEN</t>
  </si>
  <si>
    <t>BRANDSEN | ESCUELA DE EDUCACIÓN PRIMARIA N° 18 INDEPENDENCIA NACIONAL (CUE: 60256300)</t>
  </si>
  <si>
    <t>ESCUELA DE EDUCACIÓN PRIMARIA N° 18 INDEPENDENCIA NACIONAL</t>
  </si>
  <si>
    <t>BRANDSEN | ESCUELA DE EDUCACIÓN PRIMARIA N° 19 MAESTROS RURALES ARGENTINOS (CUE: 60491800)</t>
  </si>
  <si>
    <t>ESCUELA DE EDUCACIÓN PRIMARIA N° 19 MAESTROS RURALES ARGENTINOS</t>
  </si>
  <si>
    <t>BRANDSEN | ESCUELA DE EDUCACIÓN PRIMARIA N° 20 LAS ACACIAS (CUE: 61550200)</t>
  </si>
  <si>
    <t>ESCUELA DE EDUCACIÓN PRIMARIA N° 20 LAS ACACIAS</t>
  </si>
  <si>
    <t>BRANDSEN | ESCUELA DE EDUCACIÓN PRIMARIA N° 3 JUAN BAUTISTA ALBERDI (CUE: 61178500)</t>
  </si>
  <si>
    <t>ESCUELA DE EDUCACIÓN PRIMARIA N° 3 JUAN BAUTISTA ALBERDI</t>
  </si>
  <si>
    <t>BRANDSEN | ESCUELA DE EDUCACIÓN PRIMARIA N° 4 JOSÉ DE SAN MARTÍN (CUE: 60838100)</t>
  </si>
  <si>
    <t>ESCUELA DE EDUCACIÓN PRIMARIA N° 4 JOSÉ DE SAN MARTÍN</t>
  </si>
  <si>
    <t>BRANDSEN | ESCUELA DE EDUCACIÓN PRIMARIA N° 6 RICARDO GUTIERREZ (CUE: 60648500)</t>
  </si>
  <si>
    <t>ESCUELA DE EDUCACIÓN PRIMARIA N° 6 RICARDO GUTIERREZ</t>
  </si>
  <si>
    <t>BRANDSEN | ESCUELA DE EDUCACIÓN PRIMARIA N° 7 GENERAL MANUEL BELGRANO (CUE: 60838000)</t>
  </si>
  <si>
    <t>ESCUELA DE EDUCACIÓN PRIMARIA N° 7 GENERAL MANUEL BELGRANO</t>
  </si>
  <si>
    <t>BRANDSEN | ESCUELA DE EDUCACIÓN PRIMARIA N° 8 PESIDENTE LUIS SAENZ PEÑA (CUE: 60786900)</t>
  </si>
  <si>
    <t>ESCUELA DE EDUCACIÓN PRIMARIA N° 8 PESIDENTE LUIS SAENZ PEÑA</t>
  </si>
  <si>
    <t>BRANDSEN | ESCUELA DE EDUCACIÓN PRIMARIA N° 9 PROFESOR VÍCTOR MERCANTE (CUE: 60079200)</t>
  </si>
  <si>
    <t>ESCUELA DE EDUCACIÓN PRIMARIA N° 9 PROFESOR VÍCTOR MERCANTE</t>
  </si>
  <si>
    <t>BRANDSEN | ESCUELA DE EDUCACIÓN SECUNDARIA N° 1 DR. GUSTAVO MARTINEZ ZUVIRIA (CUE: 60497600)</t>
  </si>
  <si>
    <t>ESCUELA DE EDUCACIÓN SECUNDARIA N° 1 DR. GUSTAVO MARTINEZ ZUVIRIA</t>
  </si>
  <si>
    <t>BRANDSEN | ESCUELA DE EDUCACIÓN SECUNDARIA N° 10 (CUE: 62417200)</t>
  </si>
  <si>
    <t>BRANDSEN | ESCUELA DE EDUCACIÓN SECUNDARIA N° 11 (CUE: 62442200)</t>
  </si>
  <si>
    <t>BRANDSEN | ESCUELA DE EDUCACIÓN SECUNDARIA N° 12 (CUE: 62441000)</t>
  </si>
  <si>
    <t>BRANDSEN | ESCUELA DE EDUCACIÓN SECUNDARIA N° 3 JORGE MACRI (CUE: 61178400)</t>
  </si>
  <si>
    <t>ESCUELA DE EDUCACIÓN SECUNDARIA N° 3 JORGE MACRI</t>
  </si>
  <si>
    <t>BRANDSEN | ESCUELA DE EDUCACIÓN SECUNDARIA N° 5 (CUE: 61776300)</t>
  </si>
  <si>
    <t>BRANDSEN | ESCUELA DE EDUCACIÓN SECUNDARIA N° 6 (CUE: 62272200)</t>
  </si>
  <si>
    <t>ESCUELA DE EDUCACIÓN SECUNDARIA N° 6</t>
  </si>
  <si>
    <t>BRANDSEN | ESCUELA DE EDUCACIÓN SECUNDARIA N° 7 - ANEXO 1 (CUE: 62286501)</t>
  </si>
  <si>
    <t>ESCUELA DE EDUCACIÓN SECUNDARIA N° 7 - ANEXO 1</t>
  </si>
  <si>
    <t>BRANDSEN | ESCUELA DE EDUCACIÓN SECUNDARIA N° 7 (CUE: 62286500)</t>
  </si>
  <si>
    <t>BRANDSEN | ESCUELA DE EDUCACIÓN SECUNDARIA N° 8 (CUE: 62040600)</t>
  </si>
  <si>
    <t>ESCUELA DE EDUCACIÓN SECUNDARIA N° 8</t>
  </si>
  <si>
    <t>BRANDSEN | ESCUELA DE EDUCACIÓN SECUNDARIA N° 9 (CUE: 61861000)</t>
  </si>
  <si>
    <t>BRANDSEN | ESCUELA DE EDUCACIÓN SECUNDARIA TÉCNICA N° 1 INGENIERO JOSÉ RAFAEL CANTÓN (CUE: 60842400)</t>
  </si>
  <si>
    <t>ESCUELA DE EDUCACIÓN SECUNDARIA TÉCNICA N° 1 INGENIERO JOSÉ RAFAEL CANTÓN</t>
  </si>
  <si>
    <t>BRANDSEN | ESCUELA ESPECIAL N° 501 MARIA JOSÉ LUIS LÓPEZ SECO (CUE: 60531900)</t>
  </si>
  <si>
    <t>ESCUELA ESPECIAL N° 501 MARIA JOSÉ LUIS LÓPEZ SECO</t>
  </si>
  <si>
    <t>BRANDSEN | ESCUELA PRIMARIA N° 11 GABRIELA MISTRAL (CUE: 60494100)</t>
  </si>
  <si>
    <t>ESCUELA PRIMARIA N° 11 GABRIELA MISTRAL</t>
  </si>
  <si>
    <t>BRANDSEN | ESCUELA PRIMARIA N° 2 MARIANO MORENO (CUE: 60493600)</t>
  </si>
  <si>
    <t>ESCUELA PRIMARIA N° 2 MARIANO MORENO</t>
  </si>
  <si>
    <t>BRANDSEN | ESCUELA PRIMARIA N° 5 JOSÉ HERNÁNDEZ (CUE: 60079300)</t>
  </si>
  <si>
    <t>ESCUELA PRIMARIA N° 5 JOSÉ HERNÁNDEZ</t>
  </si>
  <si>
    <t>BRANDSEN | EXTENSIÓN DEL C.E.C. N° 1 (CUE: 61657701)</t>
  </si>
  <si>
    <t>EXTENSIÓN DEL C.E.C. N° 1</t>
  </si>
  <si>
    <t>BRANDSEN | INSTITUTO SUPERIOR DE FORMACIÓN DOCENTE N° 49 (CUE: 60786800)</t>
  </si>
  <si>
    <t>INSTITUTO SUPERIOR DE FORMACIÓN DOCENTE N° 49</t>
  </si>
  <si>
    <t>BRANDSEN | JARDÍN DE INFANTES N° 901 MARIA ELISA FIGUEROA (CUE: 61101500)</t>
  </si>
  <si>
    <t>JARDÍN DE INFANTES N° 901 MARIA ELISA FIGUEROA</t>
  </si>
  <si>
    <t>BRANDSEN | JARDÍN DE INFANTES N° 902 DR. RICARDO GUTIERREZ (CUE: 60256200)</t>
  </si>
  <si>
    <t>JARDÍN DE INFANTES N° 902 DR. RICARDO GUTIERREZ</t>
  </si>
  <si>
    <t>BRANDSEN | JARDÍN DE INFANTES N° 903 (CUE: 61142200)</t>
  </si>
  <si>
    <t>JARDÍN DE INFANTES N° 903</t>
  </si>
  <si>
    <t>BRANDSEN | JARDÍN DE INFANTES N° 904 ARTURO ALVARADO (CUE: 61101700)</t>
  </si>
  <si>
    <t>JARDÍN DE INFANTES N° 904 ARTURO ALVARADO</t>
  </si>
  <si>
    <t>BRANDSEN | JARDÍN DE INFANTES N° 905 JUAN BAUTISTA CHABAGNO (CUE: 60837900)</t>
  </si>
  <si>
    <t>JARDÍN DE INFANTES N° 905 JUAN BAUTISTA CHABAGNO</t>
  </si>
  <si>
    <t>BRANDSEN | JARDÍN DE INFANTES N° 906 CLOTILDE GOTI DE CASELLA (CUE: 60493900)</t>
  </si>
  <si>
    <t>JARDÍN DE INFANTES N° 906 CLOTILDE GOTI DE CASELLA</t>
  </si>
  <si>
    <t>BRANDSEN | JARDÍN DE INFANTES N° 907 (CUE: 60493500)</t>
  </si>
  <si>
    <t>JARDÍN DE INFANTES N° 907</t>
  </si>
  <si>
    <t>BRANDSEN | JARDÍN DE INFANTES N° 908 (CUE: 60257600)</t>
  </si>
  <si>
    <t>JARDÍN DE INFANTES N° 908</t>
  </si>
  <si>
    <t>BRANDSEN | JARDÍN DE INFANTES N° 909 JUANA MANSO (CUE: 61258100)</t>
  </si>
  <si>
    <t>JARDÍN DE INFANTES N° 909 JUANA MANSO</t>
  </si>
  <si>
    <t>BRANDSEN | JARDÍN DE INFANTES N° 910 (CUE: 61696100)</t>
  </si>
  <si>
    <t>JARDÍN DE INFANTES N° 910</t>
  </si>
  <si>
    <t>BRANDSEN | JARDÍN DE INFANTES N° 911 MONSERRAT FONOLLOSA CATALAN (CUE: 62052000)</t>
  </si>
  <si>
    <t>JARDÍN DE INFANTES N° 911 MONSERRAT FONOLLOSA CATALAN</t>
  </si>
  <si>
    <t>BRANDSEN | JARDÍN DE INFANTES N° 912 (CUE: 62017300)</t>
  </si>
  <si>
    <t>BRANDSEN | JARDÍN DE INFANTES RURAL N° 1 (CUE: 62162400)</t>
  </si>
  <si>
    <t>JARDÍN DE INFANTES RURAL N° 1</t>
  </si>
  <si>
    <t>BRANDSEN | JARDÍN DE INFANTES RURAL N° 2 (CUE: 61718100)</t>
  </si>
  <si>
    <t>JARDÍN DE INFANTES RURAL N° 2</t>
  </si>
  <si>
    <t>BRANDSEN | JARDÍN DE INFANTES RURAL N° 3 (CUE: 62170400)</t>
  </si>
  <si>
    <t>JARDÍN DE INFANTES RURAL N° 3</t>
  </si>
  <si>
    <t>BRANDSEN | JARDÍN DE INFANTES RURAL N° 4 (CUE: 62181900)</t>
  </si>
  <si>
    <t>JARDÍN DE INFANTES RURAL N° 4</t>
  </si>
  <si>
    <t>BRANDSEN | JARDÍN DE INFANTES RURAL N° 5 (CUE: 62181800)</t>
  </si>
  <si>
    <t>JARDÍN DE INFANTES RURAL N° 5</t>
  </si>
  <si>
    <t>ENSENADA | CENTRO DE ADULTOS N° 703 (CUE: 60142900)</t>
  </si>
  <si>
    <t>ENSENADA</t>
  </si>
  <si>
    <t>CENTRO DE ADULTOS N° 703</t>
  </si>
  <si>
    <t>ENSENADA | CENTRO DE ADULTOS N° 704 (CUE: 60712800)</t>
  </si>
  <si>
    <t>CENTRO DE ADULTOS N° 704</t>
  </si>
  <si>
    <t>ENSENADA | CENTRO DE ADULTOS N° 707/01 (CUE: 60711501)</t>
  </si>
  <si>
    <t>CENTRO DE ADULTOS N° 707/01</t>
  </si>
  <si>
    <t>ENSENADA | CENTRO DE ADULTOS N° 708/01 (CUE: 60711502)</t>
  </si>
  <si>
    <t>CENTRO DE ADULTOS N° 708/01</t>
  </si>
  <si>
    <t>ENSENADA | CENTRO DE EDUCACIÓN FÍSICA N° 62 (CUE: 61641300)</t>
  </si>
  <si>
    <t>CENTRO DE EDUCACIÓN FÍSICA N° 62</t>
  </si>
  <si>
    <t>ENSENADA | CENTRO DE FORMACIÓN LABORAL N° 407 (CUE: 62464900)</t>
  </si>
  <si>
    <t>CENTRO DE FORMACIÓN LABORAL N° 407</t>
  </si>
  <si>
    <t>ENSENADA | CENTRO DE FORMACIÓN PROFESIONAL N° 401 (CUE: 61520500)</t>
  </si>
  <si>
    <t>ENSENADA | CENTRO DE FORMACIÓN PROFESIONAL N° 402 (CUE: 62086100)</t>
  </si>
  <si>
    <t>ENSENADA | CENTRO DE FORMACIÓN PROFESIONAL N° 403 (CUE: 62081500)</t>
  </si>
  <si>
    <t>ENSENADA | CENTRO DE FORMACIÓN PROFESIONAL N° 404 (CUE: 62289400)</t>
  </si>
  <si>
    <t>ENSENADA | CENTRO DE FORMACIÓN PROFESIONAL N° 405 (CUE: 62353300)</t>
  </si>
  <si>
    <t>CENTRO DE FORMACIÓN PROFESIONAL N° 405</t>
  </si>
  <si>
    <t>ENSENADA | CENTRO DE FORMACIÓN PROFESIONAL N° 406 (CUE: 62463000)</t>
  </si>
  <si>
    <t>CENTRO DE FORMACIÓN PROFESIONAL N° 406</t>
  </si>
  <si>
    <t>ENSENADA | CENTRO EDUCATIVO COMPLEMENTARIO N° 801 (CUE: 61661100)</t>
  </si>
  <si>
    <t>CENTRO EDUCATIVO COMPLEMENTARIO N° 801</t>
  </si>
  <si>
    <t>ENSENADA | CENTRO EDUCATIVO COMPLEMENTARIO N° 802 (CUE: 61661200)</t>
  </si>
  <si>
    <t>CENTRO EDUCATIVO COMPLEMENTARIO N° 802</t>
  </si>
  <si>
    <t>ENSENADA | CENTRO EDUCATIVO COMPLEMENTARIO N° 803 EVA PERÓN (CUE: 61661300)</t>
  </si>
  <si>
    <t>CENTRO EDUCATIVO COMPLEMENTARIO N° 803 EVA PERÓN</t>
  </si>
  <si>
    <t>ENSENADA | CENTRO EDUCATIVO DE NIVEL SECUNDARIO N° 451 (CUE: 62358500)</t>
  </si>
  <si>
    <t>CENTRO EDUCATIVO DE NIVEL SECUNDARIO N° 451</t>
  </si>
  <si>
    <t>ENSENADA | CENTRO EDUCATIVO DE NIVEL SECUNDARIO N° 452 (CUE: 62358600)</t>
  </si>
  <si>
    <t>ENSENADA | CENTRO EDUCATIVO DE NIVEL SECUNDARIO N° 453 (CUE: 62405100)</t>
  </si>
  <si>
    <t>ENSENADA | CENTRO INVESTIGACIÓN EDUCATIVA (CUE: 62263700)</t>
  </si>
  <si>
    <t>ENSENADA | ESCUELA DE ADULTOS N° 701 HIPÓLITO BOUCHARD (CUE: 60711500)</t>
  </si>
  <si>
    <t>ESCUELA DE ADULTOS N° 701 HIPÓLITO BOUCHARD</t>
  </si>
  <si>
    <t>ENSENADA | ESCUELA DE EDUCACIÓN ESTÉTICA (CUE: 61520400)</t>
  </si>
  <si>
    <t>ENSENADA | ESCUELA DE EDUCACIÓN PRIMARIA N° 1 BERNARDINO RIVADAVIA (CUE: 60712300)</t>
  </si>
  <si>
    <t>ESCUELA DE EDUCACIÓN PRIMARIA N° 1 BERNARDINO RIVADAVIA</t>
  </si>
  <si>
    <t>ENSENADA | ESCUELA DE EDUCACIÓN PRIMARIA N° 10 DOMINGO FAUSTINO SARMIENTO (CUE: 60711700)</t>
  </si>
  <si>
    <t>ENSENADA | ESCUELA DE EDUCACIÓN PRIMARIA N° 11 TERESA TELLECHEA DE TUNESSI (CUE: 60712900)</t>
  </si>
  <si>
    <t>ESCUELA DE EDUCACIÓN PRIMARIA N° 11 TERESA TELLECHEA DE TUNESSI</t>
  </si>
  <si>
    <t>ENSENADA | ESCUELA DE EDUCACIÓN PRIMARIA N° 14 JOSÉ HERNÁNDEZ (CUE: 61026300)</t>
  </si>
  <si>
    <t>ESCUELA DE EDUCACIÓN PRIMARIA N° 14 JOSÉ HERNÁNDEZ</t>
  </si>
  <si>
    <t>ENSENADA | ESCUELA DE EDUCACIÓN PRIMARIA N° 15 GRAL.MANUEL BELGRANO (CUE: 60711900)</t>
  </si>
  <si>
    <t>ESCUELA DE EDUCACIÓN PRIMARIA N° 15 GRAL.MANUEL BELGRANO</t>
  </si>
  <si>
    <t>ENSENADA | ESCUELA DE EDUCACIÓN PRIMARIA N° 16 NACIONES UNIDAS (CUE: 60393300)</t>
  </si>
  <si>
    <t>ESCUELA DE EDUCACIÓN PRIMARIA N° 16 NACIONES UNIDAS</t>
  </si>
  <si>
    <t>ENSENADA | ESCUELA DE EDUCACIÓN PRIMARIA N° 2 HIPÓLITO BOUCHARD (CUE: 60142500)</t>
  </si>
  <si>
    <t>ESCUELA DE EDUCACIÓN PRIMARIA N° 2 HIPÓLITO BOUCHARD</t>
  </si>
  <si>
    <t>ENSENADA | ESCUELA DE EDUCACIÓN PRIMARIA N° 3 GUILLERMO GRANVILLE (CUE: 60712100)</t>
  </si>
  <si>
    <t>ESCUELA DE EDUCACIÓN PRIMARIA N° 3 GUILLERMO GRANVILLE</t>
  </si>
  <si>
    <t>ENSENADA | ESCUELA DE EDUCACIÓN PRIMARIA N° 4 NUESTRA SEÑORA DE LAS MERCEDES (CUE: 61192100)</t>
  </si>
  <si>
    <t>ESCUELA DE EDUCACIÓN PRIMARIA N° 4 NUESTRA SEÑORA DE LAS MERCEDES</t>
  </si>
  <si>
    <t>ENSENADA | ESCUELA DE EDUCACIÓN PRIMARIA N° 5 JORGE A. SUSINI (CUE: 61026200)</t>
  </si>
  <si>
    <t>ESCUELA DE EDUCACIÓN PRIMARIA N° 5 JORGE A. SUSINI</t>
  </si>
  <si>
    <t>ENSENADA | ESCUELA DE EDUCACIÓN PRIMARIA N° 6 HERNANDO ARIAS DE SAAVEDRA (CUE: 61025900)</t>
  </si>
  <si>
    <t>ESCUELA DE EDUCACIÓN PRIMARIA N° 6 HERNANDO ARIAS DE SAAVEDRA</t>
  </si>
  <si>
    <t>ENSENADA | ESCUELA DE EDUCACIÓN PRIMARIA N° 7 JOSÉFA ARRONDO (CUE: 60345700)</t>
  </si>
  <si>
    <t>ESCUELA DE EDUCACIÓN PRIMARIA N° 7 JOSÉFA ARRONDO</t>
  </si>
  <si>
    <t>ENSENADA | ESCUELA DE EDUCACIÓN PRIMARIA N° 8 CORONEL DE MARINA NICOLAS JORGE (CUE: 60143100)</t>
  </si>
  <si>
    <t>ESCUELA DE EDUCACIÓN PRIMARIA N° 8 CORONEL DE MARINA NICOLAS JORGE</t>
  </si>
  <si>
    <t>ENSENADA | ESCUELA DE EDUCACIÓN PRIMARIA N° 9 COMANDANTE LUIS PIEDRABUENA (CUE: 60711800)</t>
  </si>
  <si>
    <t>ESCUELA DE EDUCACIÓN PRIMARIA N° 9 COMANDANTE LUIS PIEDRABUENA</t>
  </si>
  <si>
    <t>ENSENADA | ESCUELA DE EDUCACIÓN SECUNDARIA N° 1 GENERAL ENRIQUE MOSCONI (CUE: 61026800)</t>
  </si>
  <si>
    <t>ESCUELA DE EDUCACIÓN SECUNDARIA N° 1 GENERAL ENRIQUE MOSCONI</t>
  </si>
  <si>
    <t>ENSENADA | ESCUELA DE EDUCACIÓN SECUNDARIA N° 10 (CUE: 62397300)</t>
  </si>
  <si>
    <t>ENSENADA | ESCUELA DE EDUCACIÓN SECUNDARIA N° 2 SANTIAGO DE LINIERS (CUE: 61025800)</t>
  </si>
  <si>
    <t>ESCUELA DE EDUCACIÓN SECUNDARIA N° 2 SANTIAGO DE LINIERS</t>
  </si>
  <si>
    <t>ENSENADA | ESCUELA DE EDUCACIÓN SECUNDARIA N° 4 (CUE: 61849300)</t>
  </si>
  <si>
    <t>ENSENADA | ESCUELA DE EDUCACIÓN SECUNDARIA N° 5 (CUE: 61784200)</t>
  </si>
  <si>
    <t>ENSENADA | ESCUELA DE EDUCACIÓN SECUNDARIA N° 6 (CUE: 61784100)</t>
  </si>
  <si>
    <t>ENSENADA | ESCUELA DE EDUCACIÓN SECUNDARIA N° 7 (CUE: 61784000)</t>
  </si>
  <si>
    <t>ENSENADA | ESCUELA DE EDUCACIÓN SECUNDARIA N° 8 (CUE: 61729700)</t>
  </si>
  <si>
    <t>ENSENADA | ESCUELA DE EDUCACIÓN SECUNDARIA N° 9 (CUE: 61726100)</t>
  </si>
  <si>
    <t>ENSENADA | ESCUELA DE EDUCACIÓN SECUNDARIA TÉCNICA N° 1 ALMIRANTE GUILLERMO BROWN (CUE: 60712200)</t>
  </si>
  <si>
    <t>ESCUELA DE EDUCACIÓN SECUNDARIA TÉCNICA N° 1 ALMIRANTE GUILLERMO BROWN</t>
  </si>
  <si>
    <t>ENSENADA | ESCUELA DE EDUCACIÓN SECUNDARIA TÉCNICA N° 2 SANTIAGO DE LINIERS (CUE: 61027200)</t>
  </si>
  <si>
    <t>ESCUELA DE EDUCACIÓN SECUNDARIA TÉCNICA N° 2 SANTIAGO DE LINIERS</t>
  </si>
  <si>
    <t>ENSENADA | ESCUELA ESPECIAL N° 501 D'AMELIO (CUE: 60712400)</t>
  </si>
  <si>
    <t>ESCUELA ESPECIAL N° 501 D'AMELIO</t>
  </si>
  <si>
    <t>ENSENADA | ESCUELA PRIMARIA N° 13 ENRIQUE MOSCONI (CUE: 60546800)</t>
  </si>
  <si>
    <t>ESCUELA PRIMARIA N° 13 ENRIQUE MOSCONI</t>
  </si>
  <si>
    <t>ENSENADA | ESCUELA SECUNDARIA N° 3 (CUE: 61784300)</t>
  </si>
  <si>
    <t>ESCUELA SECUNDARIA N° 3</t>
  </si>
  <si>
    <t>ENSENADA | INSTITUTO SUPERIOR ASTILLERO RIO SANTIAGO (CUE: 62018700)</t>
  </si>
  <si>
    <t>INSTITUTO SUPERIOR ASTILLERO RIO SANTIAGO</t>
  </si>
  <si>
    <t>ENSENADA | INSTITUTO SUPERIOR DE FORMACIÓN DOCENTE Y TÉCNICA N° 136 (CUE: 60143200)</t>
  </si>
  <si>
    <t>INSTITUTO SUPERIOR DE FORMACIÓN DOCENTE Y TÉCNICA N° 136</t>
  </si>
  <si>
    <t>ENSENADA | INSTITUTO SUPERIOR DE FORMACIÓN DOCENTE Y TÉCNICA N° 213 (CUE: 62320200)</t>
  </si>
  <si>
    <t>INSTITUTO SUPERIOR DE FORMACIÓN DOCENTE Y TÉCNICA N° 213</t>
  </si>
  <si>
    <t>ENSENADA | JARDÍN DE INFANTES N° 901 JONAS SALK (CUE: 60143400)</t>
  </si>
  <si>
    <t>JARDÍN DE INFANTES N° 901 JONAS SALK</t>
  </si>
  <si>
    <t>ENSENADA | JARDÍN DE INFANTES N° 902 JUANA MANSO (CUE: 60142700)</t>
  </si>
  <si>
    <t>JARDÍN DE INFANTES N° 902 JUANA MANSO</t>
  </si>
  <si>
    <t>ENSENADA | JARDÍN DE INFANTES N° 903 ALFONSINA STORNI (CUE: 61026100)</t>
  </si>
  <si>
    <t>JARDÍN DE INFANTES N° 903 ALFONSINA STORNI</t>
  </si>
  <si>
    <t>ENSENADA | JARDÍN DE INFANTES N° 904 NESTOR MIGUEL GONZALEZ HÉROE DE MALVINAS (CUE: 61026000)</t>
  </si>
  <si>
    <t>JARDÍN DE INFANTES N° 904 NESTOR MIGUEL GONZALEZ HÉROE DE MALVINAS</t>
  </si>
  <si>
    <t>ENSENADA | JARDÍN DE INFANTES N° 905 MANUEL BELGRANO (CUE: 60393200)</t>
  </si>
  <si>
    <t>JARDÍN DE INFANTES N° 905 MANUEL BELGRANO</t>
  </si>
  <si>
    <t>ENSENADA | JARDÍN DE INFANTES N° 906 MARIA LUISA ROQUES (CUE: 60142800)</t>
  </si>
  <si>
    <t>JARDÍN DE INFANTES N° 906 MARIA LUISA ROQUES</t>
  </si>
  <si>
    <t>ENSENADA | JARDÍN DE INFANTES N° 907 INGENIERO AGUSTIN ROCCA (CUE: 60713000)</t>
  </si>
  <si>
    <t>JARDÍN DE INFANTES N° 907 INGENIERO AGUSTIN ROCCA</t>
  </si>
  <si>
    <t>ENSENADA | JARDÍN DE INFANTES N° 908 GRACIANA LANDONI DE LIZARRALDE (CUE: 60711600)</t>
  </si>
  <si>
    <t>JARDÍN DE INFANTES N° 908 GRACIANA LANDONI DE LIZARRALDE</t>
  </si>
  <si>
    <t>ENSENADA | JARDÍN DE INFANTES N° 909 HERMINIA MORBIDELLI DE MORBIDELLI (CUE: 60712500)</t>
  </si>
  <si>
    <t>JARDÍN DE INFANTES N° 909 HERMINIA MORBIDELLI DE MORBIDELLI</t>
  </si>
  <si>
    <t>ENSENADA | JARDÍN DE INFANTES N° 910 SARA S. BISCHOFF (CUE: 60712700)</t>
  </si>
  <si>
    <t>JARDÍN DE INFANTES N° 910 SARA S. BISCHOFF</t>
  </si>
  <si>
    <t>ENSENADA | JARDÍN DE INFANTES N° 911 RUGGERO COZZANI (CUE: 60143300)</t>
  </si>
  <si>
    <t>JARDÍN DE INFANTES N° 911 RUGGERO COZZANI</t>
  </si>
  <si>
    <t>ENSENADA | JARDÍN DE INFANTES N° 912 PADRE CARLOS CAJADE (CUE: 61707600)</t>
  </si>
  <si>
    <t>JARDÍN DE INFANTES N° 912 PADRE CARLOS CAJADE</t>
  </si>
  <si>
    <t>ENSENADA | JARDÍN DE INFANTES N° 913 (CUE: 62430600)</t>
  </si>
  <si>
    <t>JARDÍN DE INFANTES N° 913</t>
  </si>
  <si>
    <t>ENSENADA | JARDÍN DE INFANTES RURAL N° 1 (CUE: 62150900)</t>
  </si>
  <si>
    <t>LA PLATA | ANEXO A ESCUELA POLIMODAL N° 35 ROBERTO T. SPERÓNI (CUE: 61203301)</t>
  </si>
  <si>
    <t>LA PLATA</t>
  </si>
  <si>
    <t>ANEXO A ESCUELA POLIMODAL N° 35 ROBERTO T. SPERÓNI</t>
  </si>
  <si>
    <t>LA PLATA | ANEXO DE ESCUELA DE EDUCACIÓN SECUNDARIA N° 92 (CUE: 62045901)</t>
  </si>
  <si>
    <t>ANEXO DE ESCUELA DE EDUCACIÓN SECUNDARIA N° 92</t>
  </si>
  <si>
    <t>LA PLATA | ANEXO DEL INSTITUTO SUPERIOR DE FORMACIÓN DOCENTE Y TÉCNICA N° 8 (CUE: 60923701)</t>
  </si>
  <si>
    <t>ANEXO DEL INSTITUTO SUPERIOR DE FORMACIÓN DOCENTE Y TÉCNICA N° 8</t>
  </si>
  <si>
    <t>LA PLATA | ANEXO I DE ESCUELA DE EDUCACIÓN SECUNDARIA N° 11 (CUE: 60784201)</t>
  </si>
  <si>
    <t>ANEXO I DE ESCUELA DE EDUCACIÓN SECUNDARIA N° 11</t>
  </si>
  <si>
    <t>LA PLATA | ANEXO I DE ESCUELA DE EDUCACIÓN SECUNDARIA N° 4 (CUE: 60891001)</t>
  </si>
  <si>
    <t>ANEXO I DE ESCUELA DE EDUCACIÓN SECUNDARIA N° 4</t>
  </si>
  <si>
    <t>LA PLATA | ANEXO I DE ESCUELA DE EDUCACIÓN SECUNDARIA N° 77 (CUE: 61771701)</t>
  </si>
  <si>
    <t>ANEXO I DE ESCUELA DE EDUCACIÓN SECUNDARIA N° 77</t>
  </si>
  <si>
    <t>LA PLATA | ANEXO I DE ESCUELA SECUNDARIA N° 9 (CUE: 60622201)</t>
  </si>
  <si>
    <t>ANEXO I DE ESCUELA SECUNDARIA N° 9</t>
  </si>
  <si>
    <t>LA PLATA | ANEXO I DEL CENTRO DE FORMACIÓN PROFESIONAL N° 440 (CUE: 62251205)</t>
  </si>
  <si>
    <t>ANEXO I DEL CENTRO DE FORMACIÓN PROFESIONAL N° 440</t>
  </si>
  <si>
    <t>LA PLATA | ANEXO II DE ESCUELA DE EDUCACIÓN SECUNDARIA N° 11 (CUE: 60784202)</t>
  </si>
  <si>
    <t>ANEXO II DE ESCUELA DE EDUCACIÓN SECUNDARIA N° 11</t>
  </si>
  <si>
    <t>LA PLATA | ANEXO II DEL CENTRO DE FORMACIÓN PROFESIONAL N° 440 DE LA PLATA (CUE: 62251206)</t>
  </si>
  <si>
    <t>ANEXO II DEL CENTRO DE FORMACIÓN PROFESIONAL N° 440 DE LA PLATA</t>
  </si>
  <si>
    <t>LA PLATA | ANEXO III DEL CENTRO DE FORMACIÓN PROFESIONAL N° 440 DE LA PLATA (CUE: 62251207)</t>
  </si>
  <si>
    <t>ANEXO III DEL CENTRO DE FORMACIÓN PROFESIONAL N° 440 DE LA PLATA</t>
  </si>
  <si>
    <t>LA PLATA | ANEXO N° 1 DEL CENTRO EDUCATIVO NIVEL SECUNDARIO PARA ADULTOS N° 456 (CUE: 62052901)</t>
  </si>
  <si>
    <t>ANEXO N° 1 DEL CENTRO EDUCATIVO NIVEL SECUNDARIO PARA ADULTOS N° 456</t>
  </si>
  <si>
    <t>LA PLATA | ANEXO N° 10 - CENTRO DE FORMACIÓN EN ADMINISTRACIÓN PÚBLICA N° 440 DE LA PLATA (CUE: 62251214)</t>
  </si>
  <si>
    <t>ANEXO N° 10 - CENTRO DE FORMACIÓN EN ADMINISTRACIÓN PÚBLICA N° 440 DE LA PLATA</t>
  </si>
  <si>
    <t>LA PLATA | ANEXO N° 11 - CENTRO DE FORMACIÓN EN ADMINISTRACIÓN PÚBLICA N° 440 DE LA PLATA (CUE: 62251215)</t>
  </si>
  <si>
    <t>ANEXO N° 11 - CENTRO DE FORMACIÓN EN ADMINISTRACIÓN PÚBLICA N° 440 DE LA PLATA</t>
  </si>
  <si>
    <t>LA PLATA | ANEXO N° 12 - CENTRO DE FORMACIÓN EN ADMINISTRACIÓN PÚBLICA N° 440 DE LA PLATA (CUE: 62251216)</t>
  </si>
  <si>
    <t>ANEXO N° 12 - CENTRO DE FORMACIÓN EN ADMINISTRACIÓN PÚBLICA N° 440 DE LA PLATA</t>
  </si>
  <si>
    <t>LA PLATA | ANEXO N° 13 - CENTRO DE FORMACIÓN EN ADMINISTRACIÓN PÚBLICA N° 440 DE LA PLATA (CUE: 62251217)</t>
  </si>
  <si>
    <t>ANEXO N° 13 - CENTRO DE FORMACIÓN EN ADMINISTRACIÓN PÚBLICA N° 440 DE LA PLATA</t>
  </si>
  <si>
    <t>LA PLATA | ANEXO N° 14 - CENTRO DE FORMACIÓN EN ADMINISTRACIÓN PÚBLICA N° 440 DE LA PLATA (CUE: 62251218)</t>
  </si>
  <si>
    <t>ANEXO N° 14 - CENTRO DE FORMACIÓN EN ADMINISTRACIÓN PÚBLICA N° 440 DE LA PLATA</t>
  </si>
  <si>
    <t>LA PLATA | ANEXO N° 4 - CENTRO DE FORMACIÓN EN ADMINISTRACIÓN PÚBLICA N° 440 (CUE: 62251208)</t>
  </si>
  <si>
    <t>ANEXO N° 4 - CENTRO DE FORMACIÓN EN ADMINISTRACIÓN PÚBLICA N° 440</t>
  </si>
  <si>
    <t>LA PLATA | ANEXO N° 5 - CENTRO DE FORMACIÓN EN ADMINISTRACIÓN PÚBLICA N° 440 (CUE: 62251209)</t>
  </si>
  <si>
    <t>ANEXO N° 5 - CENTRO DE FORMACIÓN EN ADMINISTRACIÓN PÚBLICA N° 440</t>
  </si>
  <si>
    <t>LA PLATA | ANEXO N° 6 - CENTRO DE FORMACIÓN EN ADMINISTRACIÓN PÚBLICA N° 440 (CUE: 62251210)</t>
  </si>
  <si>
    <t>ANEXO N° 6 - CENTRO DE FORMACIÓN EN ADMINISTRACIÓN PÚBLICA N° 440</t>
  </si>
  <si>
    <t>LA PLATA | ANEXO N° 7 - CENTRO DE FORMACIÓN EN ADMINISTRACIÓN PÚBLICA N° 440 (CUE: 62251211)</t>
  </si>
  <si>
    <t>ANEXO N° 7 - CENTRO DE FORMACIÓN EN ADMINISTRACIÓN PÚBLICA N° 440</t>
  </si>
  <si>
    <t>LA PLATA | ANEXO N° 8 - CENTRO DE FORMACIÓN EN ADMINISTRACIÓN PÚBLICA N° 440 DE LA PLATA (CUE: 62251212)</t>
  </si>
  <si>
    <t>ANEXO N° 8 - CENTRO DE FORMACIÓN EN ADMINISTRACIÓN PÚBLICA N° 440 DE LA PLATA</t>
  </si>
  <si>
    <t>LA PLATA | ANEXO N° 9  - CENTRO DE FORMACIÓN EN ADMINISTRACIÓN PÚBLICA N° 440 DE LA PLATA (CUE: 62251213)</t>
  </si>
  <si>
    <t>ANEXO N° 9  - CENTRO DE FORMACIÓN EN ADMINISTRACIÓN PÚBLICA N° 440 DE LA PLATA</t>
  </si>
  <si>
    <t>LA PLATA | BACHILLERATO DE BELLAS ARTES FRANCISCO A.DE SANTO (CUE: 69002100)</t>
  </si>
  <si>
    <t>BACHILLERATO DE BELLAS ARTES FRANCISCO A.DE SANTO</t>
  </si>
  <si>
    <t>LA PLATA | BALTAZAR ARMANDO IRAMAIN (CUE: 62199600)</t>
  </si>
  <si>
    <t>BALTAZAR ARMANDO IRAMAIN</t>
  </si>
  <si>
    <t>LA PLATA | C.E.A.T. N° 1 (CUE: 61565500)</t>
  </si>
  <si>
    <t>C.E.A.T. N° 1</t>
  </si>
  <si>
    <t>LA PLATA | C.E.A.T. N° 1 (CUE: 61565501)</t>
  </si>
  <si>
    <t>LA PLATA | C.E.B.A.S. N° 1 (CUE: 60900600)</t>
  </si>
  <si>
    <t>C.E.B.A.S. N° 1</t>
  </si>
  <si>
    <t>LA PLATA | C.E.B.A.S. N° 48 (CUE: 62050800)</t>
  </si>
  <si>
    <t>C.E.B.A.S. N° 48</t>
  </si>
  <si>
    <t>LA PLATA | CARLOS VERGARA (CUE: 60889001)</t>
  </si>
  <si>
    <t>CARLOS VERGARA</t>
  </si>
  <si>
    <t>LA PLATA | CENTRO DE ADULTOS N° 705/12 CORONEL MANUEL DORREGO (CUE: 60897901)</t>
  </si>
  <si>
    <t>CENTRO DE ADULTOS N° 705/12 CORONEL MANUEL DORREGO</t>
  </si>
  <si>
    <t>LA PLATA | CENTRO DE ADULTOS N° 707/10 ADOLFO SENEL (CUE: 60291402)</t>
  </si>
  <si>
    <t>CENTRO DE ADULTOS N° 707/10 ADOLFO SENEL</t>
  </si>
  <si>
    <t>LA PLATA | CENTRO DE ADULTOS N° 711/10 SOLDADO DE LA INDEPENDENCIA (CUE: 60291401)</t>
  </si>
  <si>
    <t>CENTRO DE ADULTOS N° 711/10 SOLDADO DE LA INDEPENDENCIA</t>
  </si>
  <si>
    <t>LA PLATA | CENTRO DE ADULTOS N° 714 FRANCISCO BRUNET (CUE: 61206000)</t>
  </si>
  <si>
    <t>CENTRO DE ADULTOS N° 714 FRANCISCO BRUNET</t>
  </si>
  <si>
    <t>LA PLATA | CENTRO DE ADULTOS N° 715/03 (CUE: 61138901)</t>
  </si>
  <si>
    <t>CENTRO DE ADULTOS N° 715/03</t>
  </si>
  <si>
    <t>LA PLATA | CENTRO DE ADULTOS N° 716/13 (CUE: 60911501)</t>
  </si>
  <si>
    <t>CENTRO DE ADULTOS N° 716/13</t>
  </si>
  <si>
    <t>LA PLATA | CENTRO DE ADULTOS N° 720/13 (CUE: 60911502)</t>
  </si>
  <si>
    <t>CENTRO DE ADULTOS N° 720/13</t>
  </si>
  <si>
    <t>LA PLATA | CENTRO DE ADULTOS N° 722/06 (CUE: 61313801)</t>
  </si>
  <si>
    <t>CENTRO DE ADULTOS N° 722/06</t>
  </si>
  <si>
    <t>LA PLATA | CENTRO DE ADULTOS N° 723/06 (CUE: 61313802)</t>
  </si>
  <si>
    <t>CENTRO DE ADULTOS N° 723/06</t>
  </si>
  <si>
    <t>LA PLATA | CENTRO DE ADULTOS N° 725 (CUE: 60288400)</t>
  </si>
  <si>
    <t>CENTRO DE ADULTOS N° 725</t>
  </si>
  <si>
    <t>LA PLATA | CENTRO DE ADULTOS N° 726 (CUE: 60051200)</t>
  </si>
  <si>
    <t>CENTRO DE ADULTOS N° 726</t>
  </si>
  <si>
    <t>LA PLATA | CENTRO DE ADULTOS N° 727/18 (CUE: 60073501)</t>
  </si>
  <si>
    <t>CENTRO DE ADULTOS N° 727/18</t>
  </si>
  <si>
    <t>LA PLATA | CENTRO DE ADULTOS N° 728/04 (CUE: 60317201)</t>
  </si>
  <si>
    <t>CENTRO DE ADULTOS N° 728/04</t>
  </si>
  <si>
    <t>LA PLATA | CENTRO DE ADULTOS N° 733/12 JUANA ZORILLA DE SAN MARTÍN (CUE: 60897902)</t>
  </si>
  <si>
    <t>CENTRO DE ADULTOS N° 733/12 JUANA ZORILLA DE SAN MARTÍN</t>
  </si>
  <si>
    <t>LA PLATA | CENTRO DE ADULTOS N° 735/09 (CUE: 61563801)</t>
  </si>
  <si>
    <t>CENTRO DE ADULTOS N° 735/09</t>
  </si>
  <si>
    <t>LA PLATA | CENTRO DE ADULTOS N° 736 (CUE: 60890200)</t>
  </si>
  <si>
    <t>CENTRO DE ADULTOS N° 736</t>
  </si>
  <si>
    <t>LA PLATA | CENTRO DE ADULTOS N° 737/09 (CUE: 61563802)</t>
  </si>
  <si>
    <t>CENTRO DE ADULTOS N° 737/09</t>
  </si>
  <si>
    <t>LA PLATA | CENTRO DE ADULTOS N° 738/06 (CUE: 61313803)</t>
  </si>
  <si>
    <t>CENTRO DE ADULTOS N° 738/06</t>
  </si>
  <si>
    <t>LA PLATA | CENTRO DE ADULTOS N° 739/04 (CUE: 60317203)</t>
  </si>
  <si>
    <t>CENTRO DE ADULTOS N° 739/04</t>
  </si>
  <si>
    <t>LA PLATA | CENTRO DE ADULTOS N° 740/04 (CUE: 60317202)</t>
  </si>
  <si>
    <t>CENTRO DE ADULTOS N° 740/04</t>
  </si>
  <si>
    <t>LA PLATA | CENTRO DE ADULTOS N° 741/03 (CUE: 61138902)</t>
  </si>
  <si>
    <t>CENTRO DE ADULTOS N° 741/03</t>
  </si>
  <si>
    <t>LA PLATA | CENTRO DE ADULTOS N° 742/12 PEDRO BENOIT (CUE: 60897903)</t>
  </si>
  <si>
    <t>CENTRO DE ADULTOS N° 742/12 PEDRO BENOIT</t>
  </si>
  <si>
    <t>LA PLATA | CENTRO DE ADULTOS N° 743 (CUE: 61327200)</t>
  </si>
  <si>
    <t>CENTRO DE ADULTOS N° 743</t>
  </si>
  <si>
    <t>LA PLATA | CENTRO DE ADULTOS N° 744/13 (CUE: 60911503)</t>
  </si>
  <si>
    <t>CENTRO DE ADULTOS N° 744/13</t>
  </si>
  <si>
    <t>LA PLATA | CENTRO DE ADULTOS N° 749/10 (CUE: 60291403)</t>
  </si>
  <si>
    <t>CENTRO DE ADULTOS N° 749/10</t>
  </si>
  <si>
    <t>LA PLATA | CENTRO DE ALFABETIZACIÓN N° 10 (CUE: 61590300)</t>
  </si>
  <si>
    <t>CENTRO DE ALFABETIZACIÓN N° 10</t>
  </si>
  <si>
    <t>LA PLATA | CENTRO DE ALFABETIZACIÓN N° 168 (CUE: 61614000)</t>
  </si>
  <si>
    <t>CENTRO DE ALFABETIZACIÓN N° 168</t>
  </si>
  <si>
    <t>LA PLATA | CENTRO DE ALFABETIZACIÓN N° 169 (CUE: 61614100)</t>
  </si>
  <si>
    <t>CENTRO DE ALFABETIZACIÓN N° 169</t>
  </si>
  <si>
    <t>LA PLATA | CENTRO DE ALFABETIZACIÓN N° 173 (CUE: 61445500)</t>
  </si>
  <si>
    <t>CENTRO DE ALFABETIZACIÓN N° 173</t>
  </si>
  <si>
    <t>LA PLATA | CENTRO DE ALFABETIZACIÓN N° 176 (CUE: 61445700)</t>
  </si>
  <si>
    <t>CENTRO DE ALFABETIZACIÓN N° 176</t>
  </si>
  <si>
    <t>LA PLATA | CENTRO DE ALFABETIZACIÓN N° 188 (CUE: 61614200)</t>
  </si>
  <si>
    <t>CENTRO DE ALFABETIZACIÓN N° 188</t>
  </si>
  <si>
    <t>LA PLATA | CENTRO DE ALFABETIZACIÓN N° 21 (CUE: 61590400)</t>
  </si>
  <si>
    <t>CENTRO DE ALFABETIZACIÓN N° 21</t>
  </si>
  <si>
    <t>LA PLATA | CENTRO DE ALFABETIZACIÓN N° 3 (CUE: 61590100)</t>
  </si>
  <si>
    <t>CENTRO DE ALFABETIZACIÓN N° 3</t>
  </si>
  <si>
    <t>LA PLATA | CENTRO DE ALFABETIZACIÓN N° 4 (CUE: 61590200)</t>
  </si>
  <si>
    <t>CENTRO DE ALFABETIZACIÓN N° 4</t>
  </si>
  <si>
    <t>LA PLATA | CENTRO DE ALFABETIZACIÓN N° 45 (CUE: 61611600)</t>
  </si>
  <si>
    <t>CENTRO DE ALFABETIZACIÓN N° 45</t>
  </si>
  <si>
    <t>LA PLATA | CENTRO DE ALFABETIZACIÓN N° 46 (CUE: 61611700)</t>
  </si>
  <si>
    <t>CENTRO DE ALFABETIZACIÓN N° 46</t>
  </si>
  <si>
    <t>LA PLATA | CENTRO DE ALFABETIZACIÓN N° 799/174 (CUE: 61445900)</t>
  </si>
  <si>
    <t>CENTRO DE ALFABETIZACIÓN N° 799/174</t>
  </si>
  <si>
    <t>LA PLATA | CENTRO DE ALFABETIZACIÓN N° 799/175 RESIDENTES SANTIAGUEÑOS (CUE: 61446100)</t>
  </si>
  <si>
    <t>CENTRO DE ALFABETIZACIÓN N° 799/175 RESIDENTES SANTIAGUEÑOS</t>
  </si>
  <si>
    <t>LA PLATA | CENTRO DE ALTOS ESTUDIOS EN ESPECIALIDADES POLICIALES (CUE: 62194600)</t>
  </si>
  <si>
    <t>CENTRO DE ALTOS ESTUDIOS EN ESPECIALIDADES POLICIALES</t>
  </si>
  <si>
    <t>LA PLATA | CENTRO DE EDUCACIÓN AGRARIA (CUE: 62237200)</t>
  </si>
  <si>
    <t>CENTRO DE EDUCACIÓN AGRARIA</t>
  </si>
  <si>
    <t>LA PLATA | CENTRO DE EDUCACIÓN FÍSICA N° 2 MAESTRO ISAURO ARANCIBIA (CUE: 61623100)</t>
  </si>
  <si>
    <t>CENTRO DE EDUCACIÓN FÍSICA N° 2 MAESTRO ISAURO ARANCIBIA</t>
  </si>
  <si>
    <t>LA PLATA | CENTRO DE FORMACIÓN EN ADMINISTRACIÓN PÚBLICA N° 440 (CUE: 62251200)</t>
  </si>
  <si>
    <t>CENTRO DE FORMACIÓN EN ADMINISTRACIÓN PÚBLICA N° 440</t>
  </si>
  <si>
    <t>LA PLATA | CENTRO DE FORMACIÓN LABORAL N° 2 (CUE: 61498600)</t>
  </si>
  <si>
    <t>CENTRO DE FORMACIÓN LABORAL N° 2</t>
  </si>
  <si>
    <t>LA PLATA | CENTRO DE FORMACIÓN LABORAL N° 3 RODOLFO J. WALSH (CUE: 61498700)</t>
  </si>
  <si>
    <t>CENTRO DE FORMACIÓN LABORAL N° 3 RODOLFO J. WALSH</t>
  </si>
  <si>
    <t>LA PLATA | CENTRO DE FORMACIÓN PROFESIONAL N° 401 (CUE: 61499000)</t>
  </si>
  <si>
    <t>LA PLATA | CENTRO DE FORMACIÓN PROFESIONAL N° 402 (CUE: 61499100)</t>
  </si>
  <si>
    <t>LA PLATA | CENTRO DE FORMACIÓN PROFESIONAL N° 403 INST. PERF.AERONÁUTICO (CUE: 61499200)</t>
  </si>
  <si>
    <t>CENTRO DE FORMACIÓN PROFESIONAL N° 403 INST. PERF.AERONÁUTICO</t>
  </si>
  <si>
    <t>LA PLATA | CENTRO DE FORMACIÓN PROFESIONAL N° 404 (CUE: 61499300)</t>
  </si>
  <si>
    <t>LA PLATA | CENTRO DE FORMACIÓN PROFESIONAL N° 406 HERMANAS CANOSSIANAS (CUE: 61582500)</t>
  </si>
  <si>
    <t>CENTRO DE FORMACIÓN PROFESIONAL N° 406 HERMANAS CANOSSIANAS</t>
  </si>
  <si>
    <t>LA PLATA | CENTRO DE FORMACIÓN PROFESIONAL N° 407 (CUE: 61840500)</t>
  </si>
  <si>
    <t>CENTRO DE FORMACIÓN PROFESIONAL N° 407</t>
  </si>
  <si>
    <t>LA PLATA | CENTRO DE FORMACIÓN PROFESIONAL N° 408 (CUE: 62011300)</t>
  </si>
  <si>
    <t>CENTRO DE FORMACIÓN PROFESIONAL N° 408</t>
  </si>
  <si>
    <t>LA PLATA | CENTRO DE FORMACIÓN PROFESIONAL N° 410 (CUE: 62008200)</t>
  </si>
  <si>
    <t>CENTRO DE FORMACIÓN PROFESIONAL N° 410</t>
  </si>
  <si>
    <t>LA PLATA | CENTRO DE FORMACIÓN PROFESIONAL N° 411 (CUE: 62007400)</t>
  </si>
  <si>
    <t>CENTRO DE FORMACIÓN PROFESIONAL N° 411</t>
  </si>
  <si>
    <t>LA PLATA | CENTRO DE FORMACIÓN PROFESIONAL N° 413 (CUE: 62019100)</t>
  </si>
  <si>
    <t>CENTRO DE FORMACIÓN PROFESIONAL N° 413</t>
  </si>
  <si>
    <t>LA PLATA | CENTRO DE FORMACIÓN PROFESIONAL N° 414 (CUE: 62171900)</t>
  </si>
  <si>
    <t>CENTRO DE FORMACIÓN PROFESIONAL N° 414</t>
  </si>
  <si>
    <t>LA PLATA | CENTRO DE FORMACIÓN PROFESIONAL N° 415 (CUE: 62090600)</t>
  </si>
  <si>
    <t>CENTRO DE FORMACIÓN PROFESIONAL N° 415</t>
  </si>
  <si>
    <t>LA PLATA | CENTRO DE FORMACIÓN PROFESIONAL N° 416 (CUE: 62200600)</t>
  </si>
  <si>
    <t>CENTRO DE FORMACIÓN PROFESIONAL N° 416</t>
  </si>
  <si>
    <t>LA PLATA | CENTRO DE FORMACIÓN PROFESIONAL N° 417 (CUE: 62121600)</t>
  </si>
  <si>
    <t>CENTRO DE FORMACIÓN PROFESIONAL N° 417</t>
  </si>
  <si>
    <t>LA PLATA | CENTRO DE FORMACIÓN PROFESIONAL N° 418 (CUE: 62190000)</t>
  </si>
  <si>
    <t>CENTRO DE FORMACIÓN PROFESIONAL N° 418</t>
  </si>
  <si>
    <t>LA PLATA | CENTRO DE FORMACIÓN PROFESIONAL N° 419 (CUE: 62120000)</t>
  </si>
  <si>
    <t>CENTRO DE FORMACIÓN PROFESIONAL N° 419</t>
  </si>
  <si>
    <t>LA PLATA | CENTRO DE FORMACIÓN PROFESIONAL N° 420 (CUE: 62176000)</t>
  </si>
  <si>
    <t>CENTRO DE FORMACIÓN PROFESIONAL N° 420</t>
  </si>
  <si>
    <t>LA PLATA | CENTRO DE FORMACIÓN PROFESIONAL N° 421 (CUE: 62180600)</t>
  </si>
  <si>
    <t>CENTRO DE FORMACIÓN PROFESIONAL N° 421</t>
  </si>
  <si>
    <t>LA PLATA | CENTRO DE FORMACIÓN PROFESIONAL N° 422 (CUE: 62198600)</t>
  </si>
  <si>
    <t>CENTRO DE FORMACIÓN PROFESIONAL N° 422</t>
  </si>
  <si>
    <t>LA PLATA | CENTRO DE FORMACIÓN PROFESIONAL N° 423 (CUE: 62196900)</t>
  </si>
  <si>
    <t>CENTRO DE FORMACIÓN PROFESIONAL N° 423</t>
  </si>
  <si>
    <t>LA PLATA | CENTRO DE FORMACIÓN PROFESIONAL N° 424 (CUE: 62273300)</t>
  </si>
  <si>
    <t>CENTRO DE FORMACIÓN PROFESIONAL N° 424</t>
  </si>
  <si>
    <t>LA PLATA | CENTRO DE FORMACIÓN PROFESIONAL N° 425 (CUE: 62241600)</t>
  </si>
  <si>
    <t>CENTRO DE FORMACIÓN PROFESIONAL N° 425</t>
  </si>
  <si>
    <t>LA PLATA | CENTRO DE FORMACIÓN PROFESIONAL N° 426 (CUE: 62296500)</t>
  </si>
  <si>
    <t>CENTRO DE FORMACIÓN PROFESIONAL N° 426</t>
  </si>
  <si>
    <t>LA PLATA | CENTRO DE FORMACIÓN PROFESIONAL N° 427 (CUE: 62318400)</t>
  </si>
  <si>
    <t>CENTRO DE FORMACIÓN PROFESIONAL N° 427</t>
  </si>
  <si>
    <t>LA PLATA | CENTRO DE FORMACIÓN PROFESIONAL N° 428 (CUE: 62322800)</t>
  </si>
  <si>
    <t>CENTRO DE FORMACIÓN PROFESIONAL N° 428</t>
  </si>
  <si>
    <t>LA PLATA | CENTRO DE FORMACIÓN PROFESIONAL N° 429 (CUE: 62322900)</t>
  </si>
  <si>
    <t>CENTRO DE FORMACIÓN PROFESIONAL N° 429</t>
  </si>
  <si>
    <t>LA PLATA | CENTRO DE FORMACIÓN PROFESIONAL N° 430 (CUE: 62324400)</t>
  </si>
  <si>
    <t>CENTRO DE FORMACIÓN PROFESIONAL N° 430</t>
  </si>
  <si>
    <t>LA PLATA | CENTRO DE FORMACIÓN PROFESIONAL N° 431 (CUE: 62330000)</t>
  </si>
  <si>
    <t>CENTRO DE FORMACIÓN PROFESIONAL N° 431</t>
  </si>
  <si>
    <t>LA PLATA | CENTRO DE FORMACIÓN PROFESIONAL N° 432 (CUE: 62325900)</t>
  </si>
  <si>
    <t>CENTRO DE FORMACIÓN PROFESIONAL N° 432</t>
  </si>
  <si>
    <t>LA PLATA | CENTRO DE FORMACIÓN PROFESIONAL N° 433 (CUE: 62337200)</t>
  </si>
  <si>
    <t>CENTRO DE FORMACIÓN PROFESIONAL N° 433</t>
  </si>
  <si>
    <t>LA PLATA | CENTRO DE FORMACIÓN PROFESIONAL N° 435 (CUE: 62338800)</t>
  </si>
  <si>
    <t>CENTRO DE FORMACIÓN PROFESIONAL N° 435</t>
  </si>
  <si>
    <t>LA PLATA | CENTRO DE FORMACIÓN PROFESIONAL N° 436 (CUE: 62460800)</t>
  </si>
  <si>
    <t>CENTRO DE FORMACIÓN PROFESIONAL N° 436</t>
  </si>
  <si>
    <t>LA PLATA | CENTRO DE FORMACIÓN PROFESIONAL N° 437 (CUE: 62462900)</t>
  </si>
  <si>
    <t>CENTRO DE FORMACIÓN PROFESIONAL N° 437</t>
  </si>
  <si>
    <t>LA PLATA | CENTRO DE INVESTIGACIÓN EDUCATIVA (CUE: 62252600)</t>
  </si>
  <si>
    <t>CENTRO DE INVESTIGACIÓN EDUCATIVA</t>
  </si>
  <si>
    <t>LA PLATA | CENTRO DE PRODUCCIÓN Y EDUCACIÓN ARTÍSTICO CULTURAL N° 1 (CUE: 62319600)</t>
  </si>
  <si>
    <t>CENTRO DE PRODUCCIÓN Y EDUCACIÓN ARTÍSTICO CULTURAL N° 1</t>
  </si>
  <si>
    <t>LA PLATA | CENTRO EDUCATIVO DE NIVEL SECUNDARIO N° 457 (CUE: 62358700)</t>
  </si>
  <si>
    <t>CENTRO EDUCATIVO DE NIVEL SECUNDARIO N° 457</t>
  </si>
  <si>
    <t>LA PLATA | CENTRO EDUCATIVO DE NIVEL SECUNDARIO N° 458 (CUE: 60286700)</t>
  </si>
  <si>
    <t>CENTRO EDUCATIVO DE NIVEL SECUNDARIO N° 458</t>
  </si>
  <si>
    <t>LA PLATA | CENTRO EDUCATIVO DE NIVEL SECUNDARIO N° 459 (CUE: 62358800)</t>
  </si>
  <si>
    <t>CENTRO EDUCATIVO DE NIVEL SECUNDARIO N° 459</t>
  </si>
  <si>
    <t>LA PLATA | CENTRO EDUCATIVO DE NIVEL SECUNDARIO N° 460 (CUE: 62358900)</t>
  </si>
  <si>
    <t>CENTRO EDUCATIVO DE NIVEL SECUNDARIO N° 460</t>
  </si>
  <si>
    <t>LA PLATA | CENTRO EDUCATIVO DE NIVEL SECUNDARIO N° 461 (CUE: 62359000)</t>
  </si>
  <si>
    <t>CENTRO EDUCATIVO DE NIVEL SECUNDARIO N° 461</t>
  </si>
  <si>
    <t>LA PLATA | CENTRO EDUCATIVO DE NIVEL SECUNDARIO N° 462 (CUE: 60883800)</t>
  </si>
  <si>
    <t>CENTRO EDUCATIVO DE NIVEL SECUNDARIO N° 462</t>
  </si>
  <si>
    <t>LA PLATA | CENTRO EDUCATIVO DE NIVEL SECUNDARIO N° 463 (CUE: 60286500)</t>
  </si>
  <si>
    <t>CENTRO EDUCATIVO DE NIVEL SECUNDARIO N° 463</t>
  </si>
  <si>
    <t>LA PLATA | CENTRO EDUCATIVO DE NIVEL SECUNDARIO N° 464 (CUE: 60885200)</t>
  </si>
  <si>
    <t>CENTRO EDUCATIVO DE NIVEL SECUNDARIO N° 464</t>
  </si>
  <si>
    <t>LA PLATA | CENTRO EDUCATIVO DE NIVEL SECUNDARIO N° 465 (CUE: 62359100)</t>
  </si>
  <si>
    <t>CENTRO EDUCATIVO DE NIVEL SECUNDARIO N° 465</t>
  </si>
  <si>
    <t>LA PLATA | CENTRO EDUCATIVO DE NIVEL SECUNDARIO N° 466 (CUE: 62359200)</t>
  </si>
  <si>
    <t>CENTRO EDUCATIVO DE NIVEL SECUNDARIO N° 466</t>
  </si>
  <si>
    <t>LA PLATA | CENTRO EDUCATIVO DE NIVEL SECUNDARIO N° 467 (CUE: 62359300)</t>
  </si>
  <si>
    <t>CENTRO EDUCATIVO DE NIVEL SECUNDARIO N° 467</t>
  </si>
  <si>
    <t>LA PLATA | CENTRO EDUCATIVO DE NIVEL SECUNDARIO N° 468 (CUE: 60882300)</t>
  </si>
  <si>
    <t>CENTRO EDUCATIVO DE NIVEL SECUNDARIO N° 468</t>
  </si>
  <si>
    <t>LA PLATA | CENTRO EDUCATIVO DE NIVEL SECUNDARIO N° 469 (CUE: 60640700)</t>
  </si>
  <si>
    <t>CENTRO EDUCATIVO DE NIVEL SECUNDARIO N° 469</t>
  </si>
  <si>
    <t>LA PLATA | CENTRO EDUCATIVO DE NIVEL SECUNDARIO N° 470 (CUE: 60073200)</t>
  </si>
  <si>
    <t>CENTRO EDUCATIVO DE NIVEL SECUNDARIO N° 470</t>
  </si>
  <si>
    <t>LA PLATA | CENTRO EDUCATIVO DE NIVEL SECUNDARIO N° 472 (CUE: 60288700)</t>
  </si>
  <si>
    <t>CENTRO EDUCATIVO DE NIVEL SECUNDARIO N° 472</t>
  </si>
  <si>
    <t>LA PLATA | CENTRO EDUCATIVO DE NIVEL SECUNDARIO N° 473 (CUE: 61713500)</t>
  </si>
  <si>
    <t>CENTRO EDUCATIVO DE NIVEL SECUNDARIO N° 473</t>
  </si>
  <si>
    <t>LA PLATA | CENTRO EDUCATIVO DE NIVEL SECUNDARIO N° 474 (CUE: 62401900)</t>
  </si>
  <si>
    <t>CENTRO EDUCATIVO DE NIVEL SECUNDARIO N° 474</t>
  </si>
  <si>
    <t>LA PLATA | CENTRO EDUCATIVO DE NIVEL SECUNDARIO N° 475 (CUE: 62405500)</t>
  </si>
  <si>
    <t>CENTRO EDUCATIVO DE NIVEL SECUNDARIO N° 475</t>
  </si>
  <si>
    <t>LA PLATA | CENTRO EDUCATIVO DE NIVEL SECUNDARIO N° 476 (CUE: 62440700)</t>
  </si>
  <si>
    <t>CENTRO EDUCATIVO DE NIVEL SECUNDARIO N° 476</t>
  </si>
  <si>
    <t>LA PLATA | CENTRO EDUCATIVO NIVEL SECUNDARIO N° 452 (CUE: 61822700)</t>
  </si>
  <si>
    <t>CENTRO EDUCATIVO NIVEL SECUNDARIO N° 452</t>
  </si>
  <si>
    <t>LA PLATA | CENTRO EDUCATIVO NIVEL SECUNDARIO N° 453 (CUE: 62039100)</t>
  </si>
  <si>
    <t>CENTRO EDUCATIVO NIVEL SECUNDARIO N° 453</t>
  </si>
  <si>
    <t>LA PLATA | CENTRO EDUCATIVO NIVEL SECUNDARIO N° 454 (CUE: 62039200)</t>
  </si>
  <si>
    <t>CENTRO EDUCATIVO NIVEL SECUNDARIO N° 454</t>
  </si>
  <si>
    <t>LA PLATA | CENTRO EDUCATIVO NIVEL SECUNDARIO N° 456 (CUE: 62052900)</t>
  </si>
  <si>
    <t>CENTRO EDUCATIVO NIVEL SECUNDARIO N° 456</t>
  </si>
  <si>
    <t>LA PLATA | COLEGIO NACIONAL RAFAEL HERNÁNDEZ (CUE: 69001900)</t>
  </si>
  <si>
    <t>COLEGIO NACIONAL RAFAEL HERNÁNDEZ</t>
  </si>
  <si>
    <t>LA PLATA | CONSERVATORIO DE MÚSICA GILARDO-GILARDI (CUE: 60794600)</t>
  </si>
  <si>
    <t>CONSERVATORIO DE MÚSICA GILARDO-GILARDI</t>
  </si>
  <si>
    <t>LA PLATA | DIRECCIÓN DE TECNOLOGÍA EDUCATIVA (CUE: 60000000)</t>
  </si>
  <si>
    <t>DIRECCIÓN DE TECNOLOGÍA EDUCATIVA</t>
  </si>
  <si>
    <t>LA PLATA | ESC. TÉCNICA DE VIALIDAD PROV. N° 1 C.RUIZ (CUE: 62198000)</t>
  </si>
  <si>
    <t>ESC. TÉCNICA DE VIALIDAD PROV. N° 1 C.RUIZ</t>
  </si>
  <si>
    <t>LA PLATA | ESCUELA DE ADULTOS N° 701 (CUE: 60072400)</t>
  </si>
  <si>
    <t>ESCUELA DE ADULTOS N° 701</t>
  </si>
  <si>
    <t>LA PLATA | ESCUELA DE ADULTOS N° 702 (CUE: 60288800)</t>
  </si>
  <si>
    <t>ESCUELA DE ADULTOS N° 702</t>
  </si>
  <si>
    <t>LA PLATA | ESCUELA DE ADULTOS N° 703 VICENTE RASCIO (CUE: 61138900)</t>
  </si>
  <si>
    <t>ESCUELA DE ADULTOS N° 703 VICENTE RASCIO</t>
  </si>
  <si>
    <t>LA PLATA | ESCUELA DE ADULTOS N° 704 ING. LUIS MONTEVERDE (CUE: 60317200)</t>
  </si>
  <si>
    <t>ESCUELA DE ADULTOS N° 704 ING. LUIS MONTEVERDE</t>
  </si>
  <si>
    <t>LA PLATA | ESCUELA DE ADULTOS N° 706 CARLOS TOMAS SOURIGUES (CUE: 61313800)</t>
  </si>
  <si>
    <t>ESCUELA DE ADULTOS N° 706 CARLOS TOMAS SOURIGUES</t>
  </si>
  <si>
    <t>LA PLATA | ESCUELA DE ADULTOS N° 709 BENITO LYNCH (CUE: 61563800)</t>
  </si>
  <si>
    <t>ESCUELA DE ADULTOS N° 709 BENITO LYNCH</t>
  </si>
  <si>
    <t>LA PLATA | ESCUELA DE ADULTOS N° 710 DR. MARIANO MORENO (CUE: 60291400)</t>
  </si>
  <si>
    <t>ESCUELA DE ADULTOS N° 710 DR. MARIANO MORENO</t>
  </si>
  <si>
    <t>LA PLATA | ESCUELA DE ADULTOS N° 712 REPÚBLICA DE HAITÍ (CUE: 60897900)</t>
  </si>
  <si>
    <t>ESCUELA DE ADULTOS N° 712 REPÚBLICA DE HAITÍ</t>
  </si>
  <si>
    <t>LA PLATA | ESCUELA DE ADULTOS N° 713 DR. CAMILO SALINAS (CUE: 60911500)</t>
  </si>
  <si>
    <t>ESCUELA DE ADULTOS N° 713 DR. CAMILO SALINAS</t>
  </si>
  <si>
    <t>LA PLATA | ESCUELA DE ADULTOS N° 718 (CUE: 60073500)</t>
  </si>
  <si>
    <t>ESCUELA DE ADULTOS N° 718</t>
  </si>
  <si>
    <t>LA PLATA | ESCUELA DE ADULTOS N° 721 (CUE: 60288200)</t>
  </si>
  <si>
    <t>ESCUELA DE ADULTOS N° 721</t>
  </si>
  <si>
    <t>LA PLATA | ESCUELA DE ADULTOS N° 724 (CUE: 60489900)</t>
  </si>
  <si>
    <t>ESCUELA DE ADULTOS N° 724</t>
  </si>
  <si>
    <t>LA PLATA | ESCUELA DE ADULTOS N° 731 (CUE: 60317900)</t>
  </si>
  <si>
    <t>ESCUELA DE ADULTOS N° 731</t>
  </si>
  <si>
    <t>LA PLATA | ESCUELA DE ADULTOS N° 746 (CUE: 60072900)</t>
  </si>
  <si>
    <t>ESCUELA DE ADULTOS N° 746</t>
  </si>
  <si>
    <t>LA PLATA | ESCUELA DE DANZAS CLÁSICAS N° 3 (CUE: 61060000)</t>
  </si>
  <si>
    <t>ESCUELA DE DANZAS CLÁSICAS N° 3</t>
  </si>
  <si>
    <t>LA PLATA | ESCUELA DE DANZAS TRADICIONALES ARGENTINAS JOSÉ HERNÁNDEZ (CUE: 61455400)</t>
  </si>
  <si>
    <t>ESCUELA DE DANZAS TRADICIONALES ARGENTINAS JOSÉ HERNÁNDEZ</t>
  </si>
  <si>
    <t>LA PLATA | ESCUELA DE EDUCACIÓN DE ADULTOS N° 750 (CUE: 61568600)</t>
  </si>
  <si>
    <t>ESCUELA DE EDUCACIÓN DE ADULTOS N° 750</t>
  </si>
  <si>
    <t>LA PLATA | ESCUELA DE EDUCACIÓN ESTÉTICA N° 2 (CUE: 61498500)</t>
  </si>
  <si>
    <t>ESCUELA DE EDUCACIÓN ESTÉTICA N° 2</t>
  </si>
  <si>
    <t>LA PLATA | ESCUELA DE EDUCACIÓN ESTÉTICA N°1 (CUE: 61498400)</t>
  </si>
  <si>
    <t>ESCUELA DE EDUCACIÓN ESTÉTICA N°1</t>
  </si>
  <si>
    <t>LA PLATA | ESCUELA DE EDUCACIÓN MEDIA N° 18 (CUE: 60072700)</t>
  </si>
  <si>
    <t>ESCUELA DE EDUCACIÓN MEDIA N° 18</t>
  </si>
  <si>
    <t>LA PLATA | ESCUELA DE EDUCACIÓN MEDIA N° 40 (CUE: 62087000)</t>
  </si>
  <si>
    <t>ESCUELA DE EDUCACIÓN MEDIA N° 40</t>
  </si>
  <si>
    <t>LA PLATA | ESCUELA DE EDUCACIÓN PRIMARIA DE ADULTOS N° 717 (CUE: 62401800)</t>
  </si>
  <si>
    <t>ESCUELA DE EDUCACIÓN PRIMARIA DE ADULTOS N° 717</t>
  </si>
  <si>
    <t>LA PLATA | ESCUELA DE EDUCACIÓN PRIMARIA N° 1 FRANCISCO A. BERRA (CUE: 60882200)</t>
  </si>
  <si>
    <t>ESCUELA DE EDUCACIÓN PRIMARIA N° 1 FRANCISCO A. BERRA</t>
  </si>
  <si>
    <t>LA PLATA | ESCUELA DE EDUCACIÓN PRIMARIA N° 10 DR. RICARDO GUTIERREZ (CUE: 60623300)</t>
  </si>
  <si>
    <t>ESCUELA DE EDUCACIÓN PRIMARIA N° 10 DR. RICARDO GUTIERREZ</t>
  </si>
  <si>
    <t>LA PLATA | ESCUELA DE EDUCACIÓN PRIMARIA N° 102 DR. DARDO ROCHA (CUE: 60286600)</t>
  </si>
  <si>
    <t>ESCUELA DE EDUCACIÓN PRIMARIA N° 102 DR. DARDO ROCHA</t>
  </si>
  <si>
    <t>LA PLATA | ESCUELA DE EDUCACIÓN PRIMARIA N° 107 GENERAL ENRIQUE MOSCONI (CUE: 60889700)</t>
  </si>
  <si>
    <t>ESCUELA DE EDUCACIÓN PRIMARIA N° 107 GENERAL ENRIQUE MOSCONI</t>
  </si>
  <si>
    <t>LA PLATA | ESCUELA DE EDUCACIÓN PRIMARIA N° 108 JUAN MARTÍN DE PUEYRREDON (CUE: 60315000)</t>
  </si>
  <si>
    <t>ESCUELA DE EDUCACIÓN PRIMARIA N° 108 JUAN MARTÍN DE PUEYRREDON</t>
  </si>
  <si>
    <t>LA PLATA | ESCUELA DE EDUCACIÓN PRIMARIA N° 11 FLORENTINO AMEGHINO (CUE: 60898400)</t>
  </si>
  <si>
    <t>ESCUELA DE EDUCACIÓN PRIMARIA N° 11 FLORENTINO AMEGHINO</t>
  </si>
  <si>
    <t>LA PLATA | ESCUELA DE EDUCACIÓN PRIMARIA N° 117 LUIS PIEDRABUENA (CUE: 60306800)</t>
  </si>
  <si>
    <t>ESCUELA DE EDUCACIÓN PRIMARIA N° 117 LUIS PIEDRABUENA</t>
  </si>
  <si>
    <t>LA PLATA | ESCUELA DE EDUCACIÓN PRIMARIA N° 12 DR. VÍCTORIANO E. MONTES (CUE: 60291900)</t>
  </si>
  <si>
    <t>ESCUELA DE EDUCACIÓN PRIMARIA N° 12 DR. VÍCTORIANO E. MONTES</t>
  </si>
  <si>
    <t>LA PLATA | ESCUELA DE EDUCACIÓN PRIMARIA N° 120 HERMINIA L. BRUMANA (CUE: 60285700)</t>
  </si>
  <si>
    <t>ESCUELA DE EDUCACIÓN PRIMARIA N° 120 HERMINIA L. BRUMANA</t>
  </si>
  <si>
    <t>LA PLATA | ESCUELA DE EDUCACIÓN PRIMARIA N° 121 JUAN BAUTISTA AZOPARDO (CUE: 60926400)</t>
  </si>
  <si>
    <t>ESCUELA DE EDUCACIÓN PRIMARIA N° 121 JUAN BAUTISTA AZOPARDO</t>
  </si>
  <si>
    <t>LA PLATA | ESCUELA DE EDUCACIÓN PRIMARIA N° 123 ESTADOS UNIDOS DEL BRASIL (CUE: 60287400)</t>
  </si>
  <si>
    <t>ESCUELA DE EDUCACIÓN PRIMARIA N° 123 ESTADOS UNIDOS DEL BRASIL</t>
  </si>
  <si>
    <t>LA PLATA | ESCUELA DE EDUCACIÓN PRIMARIA N° 124 PAULA ALBARRACÍN DE SARMIENTO (CUE: 60880000)</t>
  </si>
  <si>
    <t>ESCUELA DE EDUCACIÓN PRIMARIA N° 124 PAULA ALBARRACÍN DE SARMIENTO</t>
  </si>
  <si>
    <t>LA PLATA | ESCUELA DE EDUCACIÓN PRIMARIA N° 125 MARCOS SASTRE (CUE: 60931300)</t>
  </si>
  <si>
    <t>ESCUELA DE EDUCACIÓN PRIMARIA N° 125 MARCOS SASTRE</t>
  </si>
  <si>
    <t>LA PLATA | ESCUELA DE EDUCACIÓN PRIMARIA N° 126 DR. FRANCISCO LATRUBESSE (CUE: 60052300)</t>
  </si>
  <si>
    <t>ESCUELA DE EDUCACIÓN PRIMARIA N° 126 DR. FRANCISCO LATRUBESSE</t>
  </si>
  <si>
    <t>LA PLATA | ESCUELA DE EDUCACIÓN PRIMARIA N° 127 MARY O'GRAHAM (CUE: 60623200)</t>
  </si>
  <si>
    <t>ESCUELA DE EDUCACIÓN PRIMARIA N° 127 MARY O'GRAHAM</t>
  </si>
  <si>
    <t>LA PLATA | ESCUELA DE EDUCACIÓN PRIMARIA N° 129 EN LENGUAS VIVAS (CUE: 60882400)</t>
  </si>
  <si>
    <t>ESCUELA DE EDUCACIÓN PRIMARIA N° 129 EN LENGUAS VIVAS</t>
  </si>
  <si>
    <t>LA PLATA | ESCUELA DE EDUCACIÓN PRIMARIA N° 13 MARTÍN FIERRO (CUE: 60288600)</t>
  </si>
  <si>
    <t>ESCUELA DE EDUCACIÓN PRIMARIA N° 13 MARTÍN FIERRO</t>
  </si>
  <si>
    <t>LA PLATA | ESCUELA DE EDUCACIÓN PRIMARIA N° 130 ROBERTO THOMAS SPERÓNI (INST. SUP.) (CUE: 61203500)</t>
  </si>
  <si>
    <t>ESCUELA DE EDUCACIÓN PRIMARIA N° 130 ROBERTO THOMAS SPERÓNI (INST. SUP.)</t>
  </si>
  <si>
    <t>LA PLATA | ESCUELA DE EDUCACIÓN PRIMARIA N° 15 JOSÉ MANUEL ESTRADA (CUE: 60290300)</t>
  </si>
  <si>
    <t>ESCUELA DE EDUCACIÓN PRIMARIA N° 15 JOSÉ MANUEL ESTRADA</t>
  </si>
  <si>
    <t>LA PLATA | ESCUELA DE EDUCACIÓN PRIMARIA N° 16 VICENTE LÓPEZ Y PLANES (CUE: 60888600)</t>
  </si>
  <si>
    <t>ESCUELA DE EDUCACIÓN PRIMARIA N° 16 VICENTE LÓPEZ Y PLANES</t>
  </si>
  <si>
    <t>LA PLATA | ESCUELA DE EDUCACIÓN PRIMARIA N° 17 LUIS CASTELLS (CUE: 60642100)</t>
  </si>
  <si>
    <t>ESCUELA DE EDUCACIÓN PRIMARIA N° 17 LUIS CASTELLS</t>
  </si>
  <si>
    <t>LA PLATA | ESCUELA DE EDUCACIÓN PRIMARIA N° 18 JULIAN AGUIRRE (CUE: 60290900)</t>
  </si>
  <si>
    <t>ESCUELA DE EDUCACIÓN PRIMARIA N° 18 JULIAN AGUIRRE</t>
  </si>
  <si>
    <t>LA PLATA | ESCUELA DE EDUCACIÓN PRIMARIA N° 19 GENERAL JOSÉ DE SAN MARTÍN (CUE: 61135600)</t>
  </si>
  <si>
    <t>ESCUELA DE EDUCACIÓN PRIMARIA N° 19 GENERAL JOSÉ DE SAN MARTÍN</t>
  </si>
  <si>
    <t>ESCUELA DE EDUCACIÓN PRIMARIA N° 2 PROF. ANDRES FERREYRA</t>
  </si>
  <si>
    <t>LA PLATA | ESCUELA DE EDUCACIÓN PRIMARIA N° 20 SARGENTO JUAN B. CABRAL (CUE: 60922600)</t>
  </si>
  <si>
    <t>ESCUELA DE EDUCACIÓN PRIMARIA N° 20 SARGENTO JUAN B. CABRAL</t>
  </si>
  <si>
    <t>LA PLATA | ESCUELA DE EDUCACIÓN PRIMARIA N° 22 HIPÓLITO YRIGOYEN (CUE: 61140100)</t>
  </si>
  <si>
    <t>ESCUELA DE EDUCACIÓN PRIMARIA N° 22 HIPÓLITO YRIGOYEN</t>
  </si>
  <si>
    <t>LA PLATA | ESCUELA DE EDUCACIÓN PRIMARIA N° 25 CORONEL MANUEL DORREGO (CUE: 60898900)</t>
  </si>
  <si>
    <t>ESCUELA DE EDUCACIÓN PRIMARIA N° 25 CORONEL MANUEL DORREGO</t>
  </si>
  <si>
    <t>LA PLATA | ESCUELA DE EDUCACIÓN PRIMARIA N° 26 MAGDALENA GÜEMES DE TEJADA (CUE: 60287800)</t>
  </si>
  <si>
    <t>ESCUELA DE EDUCACIÓN PRIMARIA N° 26 MAGDALENA GÜEMES DE TEJADA</t>
  </si>
  <si>
    <t>LA PLATA | ESCUELA DE EDUCACIÓN PRIMARIA N° 27 CRUCERO GENERAL BELGRANO (CUE: 60922700)</t>
  </si>
  <si>
    <t>ESCUELA DE EDUCACIÓN PRIMARIA N° 27 CRUCERO GENERAL BELGRANO</t>
  </si>
  <si>
    <t>LA PLATA | ESCUELA DE EDUCACIÓN PRIMARIA N° 28 REPÚBLICA DEL PERÚ (CUE: 60923200)</t>
  </si>
  <si>
    <t>ESCUELA DE EDUCACIÓN PRIMARIA N° 28 REPÚBLICA DEL PERÚ</t>
  </si>
  <si>
    <t>LA PLATA | ESCUELA DE EDUCACIÓN PRIMARIA N° 29 JOAQUIN CASTELLANOS (CUE: 60285200)</t>
  </si>
  <si>
    <t>ESCUELA DE EDUCACIÓN PRIMARIA N° 29 JOAQUIN CASTELLANOS</t>
  </si>
  <si>
    <t>LA PLATA | ESCUELA DE EDUCACIÓN PRIMARIA N° 3 HILARIA O. DE CORREBO (CUE: 60886200)</t>
  </si>
  <si>
    <t>ESCUELA DE EDUCACIÓN PRIMARIA N° 3 HILARIA O. DE CORREBO</t>
  </si>
  <si>
    <t>LA PLATA | ESCUELA DE EDUCACIÓN PRIMARIA N° 30 TERESA PUCCIARELLI (CUE: 60285100)</t>
  </si>
  <si>
    <t>ESCUELA DE EDUCACIÓN PRIMARIA N° 30 TERESA PUCCIARELLI</t>
  </si>
  <si>
    <t>LA PLATA | ESCUELA DE EDUCACIÓN PRIMARIA N° 31 NUESTRA SEÑORA DEL CARMEN DE CUYO (CUE: 60285300)</t>
  </si>
  <si>
    <t>ESCUELA DE EDUCACIÓN PRIMARIA N° 31 NUESTRA SEÑORA DEL CARMEN DE CUYO</t>
  </si>
  <si>
    <t>LA PLATA | ESCUELA DE EDUCACIÓN PRIMARIA N° 32 ARTURO SEGUI (CUE: 60887000)</t>
  </si>
  <si>
    <t>ESCUELA DE EDUCACIÓN PRIMARIA N° 32 ARTURO SEGUI</t>
  </si>
  <si>
    <t>LA PLATA | ESCUELA DE EDUCACIÓN PRIMARIA N° 33 JUAN MANUEL ORTIZ DE ROZAS (CUE: 60286000)</t>
  </si>
  <si>
    <t>ESCUELA DE EDUCACIÓN PRIMARIA N° 33 JUAN MANUEL ORTIZ DE ROZAS</t>
  </si>
  <si>
    <t>LA PLATA | ESCUELA DE EDUCACIÓN PRIMARIA N° 34 CELIA ZEBALLOS DE HEREDIA (CUE: 60416600)</t>
  </si>
  <si>
    <t>ESCUELA DE EDUCACIÓN PRIMARIA N° 34 CELIA ZEBALLOS DE HEREDIA</t>
  </si>
  <si>
    <t>LA PLATA | ESCUELA DE EDUCACIÓN PRIMARIA N° 36 DR. CARLOS LUIS SPEGAZZINI (CUE: 60298300)</t>
  </si>
  <si>
    <t>ESCUELA DE EDUCACIÓN PRIMARIA N° 36 DR. CARLOS LUIS SPEGAZZINI</t>
  </si>
  <si>
    <t>LA PLATA | ESCUELA DE EDUCACIÓN PRIMARIA N° 37 REMEDIOS DE ESCALADA (CUE: 60887600)</t>
  </si>
  <si>
    <t>ESCUELA DE EDUCACIÓN PRIMARIA N° 37 REMEDIOS DE ESCALADA</t>
  </si>
  <si>
    <t>LA PLATA | ESCUELA DE EDUCACIÓN PRIMARIA N° 38 JOAQUIN V. GONZALEZ (CUE: 60298200)</t>
  </si>
  <si>
    <t>ESCUELA DE EDUCACIÓN PRIMARIA N° 38 JOAQUIN V. GONZALEZ</t>
  </si>
  <si>
    <t>LA PLATA | ESCUELA DE EDUCACIÓN PRIMARIA N° 39 JUSTO JOSÉ DE URQUIZA (CUE: 60288100)</t>
  </si>
  <si>
    <t>ESCUELA DE EDUCACIÓN PRIMARIA N° 39 JUSTO JOSÉ DE URQUIZA</t>
  </si>
  <si>
    <t>LA PLATA | ESCUELA DE EDUCACIÓN PRIMARIA N° 40 MARTÍNIANO LEGUIZAMÓN (CUE: 60922900)</t>
  </si>
  <si>
    <t>ESCUELA DE EDUCACIÓN PRIMARIA N° 40 MARTÍNIANO LEGUIZAMÓN</t>
  </si>
  <si>
    <t>LA PLATA | ESCUELA DE EDUCACIÓN PRIMARIA N° 41 PROFESOR FRANCISCO GUERRINI (CUE: 60304400)</t>
  </si>
  <si>
    <t>ESCUELA DE EDUCACIÓN PRIMARIA N° 41 PROFESOR FRANCISCO GUERRINI</t>
  </si>
  <si>
    <t>LA PLATA | ESCUELA DE EDUCACIÓN PRIMARIA N° 42 LEOPOLDO HERRERA (CUE: 60900500)</t>
  </si>
  <si>
    <t>ESCUELA DE EDUCACIÓN PRIMARIA N° 42 LEOPOLDO HERRERA</t>
  </si>
  <si>
    <t>LA PLATA | ESCUELA DE EDUCACIÓN PRIMARIA N° 44 ELVIRA GONZALEZ GOIZUETA (CUE: 60306700)</t>
  </si>
  <si>
    <t>ESCUELA DE EDUCACIÓN PRIMARIA N° 44 ELVIRA GONZALEZ GOIZUETA</t>
  </si>
  <si>
    <t>LA PLATA | ESCUELA DE EDUCACIÓN PRIMARIA N° 46 VALENTIN VERGARA (CUE: 60923400)</t>
  </si>
  <si>
    <t>ESCUELA DE EDUCACIÓN PRIMARIA N° 46 VALENTIN VERGARA</t>
  </si>
  <si>
    <t>LA PLATA | ESCUELA DE EDUCACIÓN PRIMARIA N° 48 MARIQUITA SANCHEZ DE THOMPSON (CUE: 61336200)</t>
  </si>
  <si>
    <t>ESCUELA DE EDUCACIÓN PRIMARIA N° 48 MARIQUITA SANCHEZ DE THOMPSON</t>
  </si>
  <si>
    <t>LA PLATA | ESCUELA DE EDUCACIÓN PRIMARIA N° 49 JOSÉ HERNÁNDEZ (CUE: 60289300)</t>
  </si>
  <si>
    <t>ESCUELA DE EDUCACIÓN PRIMARIA N° 49 JOSÉ HERNÁNDEZ</t>
  </si>
  <si>
    <t>LA PLATA | ESCUELA DE EDUCACIÓN PRIMARIA N° 5 CORONEL DE MARINA TOMAS ESPORA (CUE: 60286400)</t>
  </si>
  <si>
    <t>ESCUELA DE EDUCACIÓN PRIMARIA N° 5 CORONEL DE MARINA TOMAS ESPORA</t>
  </si>
  <si>
    <t>LA PLATA | ESCUELA DE EDUCACIÓN PRIMARIA N° 52 ISLAS MALVINAS (CUE: 60926300)</t>
  </si>
  <si>
    <t>ESCUELA DE EDUCACIÓN PRIMARIA N° 52 ISLAS MALVINAS</t>
  </si>
  <si>
    <t>LA PLATA | ESCUELA DE EDUCACIÓN PRIMARIA N° 55 JUAN VUCETICH (CUE: 60911300)</t>
  </si>
  <si>
    <t>ESCUELA DE EDUCACIÓN PRIMARIA N° 55 JUAN VUCETICH</t>
  </si>
  <si>
    <t>LA PLATA | ESCUELA DE EDUCACIÓN PRIMARIA N° 56 ALMAFUERTE (CUE: 60888700)</t>
  </si>
  <si>
    <t>ESCUELA DE EDUCACIÓN PRIMARIA N° 56 ALMAFUERTE</t>
  </si>
  <si>
    <t>LA PLATA | ESCUELA DE EDUCACIÓN PRIMARIA N° 57 JUAN BAUTISTA AMBROSETTI (CUE: 60288500)</t>
  </si>
  <si>
    <t>ESCUELA DE EDUCACIÓN PRIMARIA N° 57 JUAN BAUTISTA AMBROSETTI</t>
  </si>
  <si>
    <t>LA PLATA | ESCUELA DE EDUCACIÓN PRIMARIA N° 58 VICE-ALMIRANTE VICENTE ESTANISLAO MON (CUE: 60901200)</t>
  </si>
  <si>
    <t>ESCUELA DE EDUCACIÓN PRIMARIA N° 58 VICE-ALMIRANTE VICENTE ESTANISLAO MON</t>
  </si>
  <si>
    <t>LA PLATA | ESCUELA DE EDUCACIÓN PRIMARIA N° 59 PROF. VÍCTOR MERCANTE (CUE: 60641600)</t>
  </si>
  <si>
    <t>ESCUELA DE EDUCACIÓN PRIMARIA N° 59 PROF. VÍCTOR MERCANTE</t>
  </si>
  <si>
    <t>LA PLATA | ESCUELA DE EDUCACIÓN PRIMARIA N° 6 A. BLASCO DE SELVA (CUE: 60924000)</t>
  </si>
  <si>
    <t>ESCUELA DE EDUCACIÓN PRIMARIA N° 6 A. BLASCO DE SELVA</t>
  </si>
  <si>
    <t>LA PLATA | ESCUELA DE EDUCACIÓN PRIMARIA N° 60 HUGO STUNZ (CUE: 60879800)</t>
  </si>
  <si>
    <t>ESCUELA DE EDUCACIÓN PRIMARIA N° 60 HUGO STUNZ</t>
  </si>
  <si>
    <t>LA PLATA | ESCUELA DE EDUCACIÓN PRIMARIA N° 61 BERNARDINO RIVADAVIA (CUE: 60886300)</t>
  </si>
  <si>
    <t>ESCUELA DE EDUCACIÓN PRIMARIA N° 61 BERNARDINO RIVADAVIA</t>
  </si>
  <si>
    <t>LA PLATA | ESCUELA DE EDUCACIÓN PRIMARIA N° 62 REPÚBLICA DE CHILE (CUE: 60898700)</t>
  </si>
  <si>
    <t>ESCUELA DE EDUCACIÓN PRIMARIA N° 62 REPÚBLICA DE CHILE</t>
  </si>
  <si>
    <t>LA PLATA | ESCUELA DE EDUCACIÓN PRIMARIA N° 63 REPÚBLICA DE COLOMBIA (CUE: 60317600)</t>
  </si>
  <si>
    <t>ESCUELA DE EDUCACIÓN PRIMARIA N° 63 REPÚBLICA DE COLOMBIA</t>
  </si>
  <si>
    <t>LA PLATA | ESCUELA DE EDUCACIÓN PRIMARIA N° 64 GENERAL MANUEL BELGRANO (CUE: 60890400)</t>
  </si>
  <si>
    <t>ESCUELA DE EDUCACIÓN PRIMARIA N° 64 GENERAL MANUEL BELGRANO</t>
  </si>
  <si>
    <t>LA PLATA | ESCUELA DE EDUCACIÓN PRIMARIA N° 66 ALMIRANTE GUILLERMO BROWN (CUE: 60643200)</t>
  </si>
  <si>
    <t>ESCUELA DE EDUCACIÓN PRIMARIA N° 66 ALMIRANTE GUILLERMO BROWN</t>
  </si>
  <si>
    <t>LA PLATA | ESCUELA DE EDUCACIÓN PRIMARIA N° 67 DR. ENRIGUE V. GALLI (CUE: 60416500)</t>
  </si>
  <si>
    <t>ESCUELA DE EDUCACIÓN PRIMARIA N° 67 DR. ENRIGUE V. GALLI</t>
  </si>
  <si>
    <t>LA PLATA | ESCUELA DE EDUCACIÓN PRIMARIA N° 68 JUAN HIPÓLITO VIEYTES (CUE: 60416400)</t>
  </si>
  <si>
    <t>ESCUELA DE EDUCACIÓN PRIMARIA N° 68 JUAN HIPÓLITO VIEYTES</t>
  </si>
  <si>
    <t>LA PLATA | ESCUELA DE EDUCACIÓN PRIMARIA N° 69 HUMBERTO D'AMELIO (CUE: 60305800)</t>
  </si>
  <si>
    <t>ESCUELA DE EDUCACIÓN PRIMARIA N° 69 HUMBERTO D'AMELIO</t>
  </si>
  <si>
    <t>LA PLATA | ESCUELA DE EDUCACIÓN PRIMARIA N° 7 FRAGATA LA ARGENTINA (CUE: 60931700)</t>
  </si>
  <si>
    <t>ESCUELA DE EDUCACIÓN PRIMARIA N° 7 FRAGATA LA ARGENTINA</t>
  </si>
  <si>
    <t>LA PLATA | ESCUELA DE EDUCACIÓN PRIMARIA N° 70 19 DE NOVIEMBRE (CUE: 60315200)</t>
  </si>
  <si>
    <t>ESCUELA DE EDUCACIÓN PRIMARIA N° 70 19 DE NOVIEMBRE</t>
  </si>
  <si>
    <t>LA PLATA | ESCUELA DE EDUCACIÓN PRIMARIA N° 71 13 DE DICIEMBRE (CUE: 60304600)</t>
  </si>
  <si>
    <t>ESCUELA DE EDUCACIÓN PRIMARIA N° 71 13 DE DICIEMBRE</t>
  </si>
  <si>
    <t>LA PLATA | ESCUELA DE EDUCACIÓN PRIMARIA N° 72 HIPÓLITO BOUCHARD (CUE: 60923100)</t>
  </si>
  <si>
    <t>ESCUELA DE EDUCACIÓN PRIMARIA N° 72 HIPÓLITO BOUCHARD</t>
  </si>
  <si>
    <t>LA PLATA | ESCUELA DE EDUCACIÓN PRIMARIA N° 73 CONGRESO DE TUCUMÁN (CUE: 60322200)</t>
  </si>
  <si>
    <t>ESCUELA DE EDUCACIÓN PRIMARIA N° 73 CONGRESO DE TUCUMÁN</t>
  </si>
  <si>
    <t>LA PLATA | ESCUELA DE EDUCACIÓN PRIMARIA N° 75 DR. ANTONIO P. QUIJANO (CUE: 60622100)</t>
  </si>
  <si>
    <t>ESCUELA DE EDUCACIÓN PRIMARIA N° 75 DR. ANTONIO P. QUIJANO</t>
  </si>
  <si>
    <t>LA PLATA | ESCUELA DE EDUCACIÓN PRIMARIA N° 76 ING. PEDRO BENOIT (CUE: 60285400)</t>
  </si>
  <si>
    <t>ESCUELA DE EDUCACIÓN PRIMARIA N° 76 ING. PEDRO BENOIT</t>
  </si>
  <si>
    <t>LA PLATA | ESCUELA DE EDUCACIÓN PRIMARIA N° 77 CESAR A. BUSTOS (CUE: 60489800)</t>
  </si>
  <si>
    <t>ESCUELA DE EDUCACIÓN PRIMARIA N° 77 CESAR A. BUSTOS</t>
  </si>
  <si>
    <t>LA PLATA | ESCUELA DE EDUCACIÓN PRIMARIA N° 78 FRANCISCO LEGARRA (CUE: 60884200)</t>
  </si>
  <si>
    <t>ESCUELA DE EDUCACIÓN PRIMARIA N° 78 FRANCISCO LEGARRA</t>
  </si>
  <si>
    <t>LA PLATA | ESCUELA DE EDUCACIÓN PRIMARIA N° 79 JOSÉ MARIA BUSTILLO (CUE: 60885500)</t>
  </si>
  <si>
    <t>ESCUELA DE EDUCACIÓN PRIMARIA N° 79 JOSÉ MARIA BUSTILLO</t>
  </si>
  <si>
    <t>LA PLATA | ESCUELA DE EDUCACIÓN PRIMARIA N° 8 DOMINGO FAUSTINO SARMIENTO (CUE: 60296400)</t>
  </si>
  <si>
    <t>ESCUELA DE EDUCACIÓN PRIMARIA N° 8 DOMINGO FAUSTINO SARMIENTO</t>
  </si>
  <si>
    <t>LA PLATA | ESCUELA DE EDUCACIÓN PRIMARIA N° 80 PROFESORA MARIA ELENA ALTUBE (CUE: 60899900)</t>
  </si>
  <si>
    <t>ESCUELA DE EDUCACIÓN PRIMARIA N° 80 PROFESORA MARIA ELENA ALTUBE</t>
  </si>
  <si>
    <t>LA PLATA | ESCUELA DE EDUCACIÓN PRIMARIA N° 81 JOSÉ GERVASIO ARTIGAS (CUE: 60297600)</t>
  </si>
  <si>
    <t>ESCUELA DE EDUCACIÓN PRIMARIA N° 81 JOSÉ GERVASIO ARTIGAS</t>
  </si>
  <si>
    <t>LA PLATA | ESCUELA DE EDUCACIÓN PRIMARIA N° 84 MAXIMIO VÍCTORIA (CUE: 60890100)</t>
  </si>
  <si>
    <t>ESCUELA DE EDUCACIÓN PRIMARIA N° 84 MAXIMIO VÍCTORIA</t>
  </si>
  <si>
    <t>LA PLATA | ESCUELA DE EDUCACIÓN PRIMARIA N° 89 JUAN ZORRILLA DE SAN MARTÍN (CUE: 60885400)</t>
  </si>
  <si>
    <t>ESCUELA DE EDUCACIÓN PRIMARIA N° 89 JUAN ZORRILLA DE SAN MARTÍN</t>
  </si>
  <si>
    <t>LA PLATA | ESCUELA DE EDUCACIÓN PRIMARIA N° 9 PROF. JUAN JAUREGUI (CUE: 60314900)</t>
  </si>
  <si>
    <t>ESCUELA DE EDUCACIÓN PRIMARIA N° 9 PROF. JUAN JAUREGUI</t>
  </si>
  <si>
    <t>LA PLATA | ESCUELA DE EDUCACIÓN PRIMARIA N° 92 AMÉRICA (CUE: 60622700)</t>
  </si>
  <si>
    <t>ESCUELA DE EDUCACIÓN PRIMARIA N° 92 AMÉRICA</t>
  </si>
  <si>
    <t>LA PLATA | ESCUELA DE EDUCACIÓN PRIMARIA N° 93 JOHN F. KENNEDY (CUE: 60887100)</t>
  </si>
  <si>
    <t>ESCUELA DE EDUCACIÓN PRIMARIA N° 93 JOHN F. KENNEDY</t>
  </si>
  <si>
    <t>LA PLATA | ESCUELA DE EDUCACIÓN SECUNDARIA AGRARIA N° 1 DR. ALEJANDRO KORN (CUE: 60923800)</t>
  </si>
  <si>
    <t>ESCUELA DE EDUCACIÓN SECUNDARIA AGRARIA N° 1 DR. ALEJANDRO KORN</t>
  </si>
  <si>
    <t>LA PLATA | ESCUELA DE EDUCACIÓN SECUNDARIA N° 1 MANUEL BELGRANO (CUE: 60878500)</t>
  </si>
  <si>
    <t>ESCUELA DE EDUCACIÓN SECUNDARIA N° 1 MANUEL BELGRANO</t>
  </si>
  <si>
    <t>LA PLATA | ESCUELA DE EDUCACIÓN SECUNDARIA N° 11 JUAN MANTOVANI (CUE: 60784200)</t>
  </si>
  <si>
    <t>ESCUELA DE EDUCACIÓN SECUNDARIA N° 11 JUAN MANTOVANI</t>
  </si>
  <si>
    <t>LA PLATA | ESCUELA DE EDUCACIÓN SECUNDARIA N° 12 MANUEL B GONNET (CUE: 61138300)</t>
  </si>
  <si>
    <t>ESCUELA DE EDUCACIÓN SECUNDARIA N° 12 MANUEL B GONNET</t>
  </si>
  <si>
    <t>LA PLATA | ESCUELA DE EDUCACIÓN SECUNDARIA N° 14 CARLOS VERGARA (CUE: 60889000)</t>
  </si>
  <si>
    <t>ESCUELA DE EDUCACIÓN SECUNDARIA N° 14 CARLOS VERGARA</t>
  </si>
  <si>
    <t>LA PLATA | ESCUELA DE EDUCACIÓN SECUNDARIA N° 15 LUIS F. LELOIR (CUE: 60291800)</t>
  </si>
  <si>
    <t>ESCUELA DE EDUCACIÓN SECUNDARIA N° 15 LUIS F. LELOIR</t>
  </si>
  <si>
    <t>LA PLATA | ESCUELA DE EDUCACIÓN SECUNDARIA N° 16 HIPÓLITO YRIGOYEN (CUE: 61138700)</t>
  </si>
  <si>
    <t>ESCUELA DE EDUCACIÓN SECUNDARIA N° 16 HIPÓLITO YRIGOYEN</t>
  </si>
  <si>
    <t>LA PLATA | ESCUELA DE EDUCACIÓN SECUNDARIA N° 17 (CUE: 60854100)</t>
  </si>
  <si>
    <t>ESCUELA DE EDUCACIÓN SECUNDARIA N° 17</t>
  </si>
  <si>
    <t>LA PLATA | ESCUELA DE EDUCACIÓN SECUNDARIA N° 2 LA LEGIÓN (CUE: 60641500)</t>
  </si>
  <si>
    <t>ESCUELA DE EDUCACIÓN SECUNDARIA N° 2 LA LEGIÓN</t>
  </si>
  <si>
    <t>LA PLATA | ESCUELA DE EDUCACIÓN SECUNDARIA N° 22 (CUE: 60898600)</t>
  </si>
  <si>
    <t>ESCUELA DE EDUCACIÓN SECUNDARIA N° 22</t>
  </si>
  <si>
    <t>LA PLATA | ESCUELA DE EDUCACIÓN SECUNDARIA N° 27 GRACIELA PERNAS MARTÍNO (CUE: 60884600)</t>
  </si>
  <si>
    <t>ESCUELA DE EDUCACIÓN SECUNDARIA N° 27 GRACIELA PERNAS MARTÍNO</t>
  </si>
  <si>
    <t>LA PLATA | ESCUELA DE EDUCACIÓN SECUNDARIA N° 28 DANTE L. SEGUNDO PEREIRA (CUE: 60626100)</t>
  </si>
  <si>
    <t>ESCUELA DE EDUCACIÓN SECUNDARIA N° 28 DANTE L. SEGUNDO PEREIRA</t>
  </si>
  <si>
    <t>LA PLATA | ESCUELA DE EDUCACIÓN SECUNDARIA N° 29 (CUE: 61772700)</t>
  </si>
  <si>
    <t>ESCUELA DE EDUCACIÓN SECUNDARIA N° 29</t>
  </si>
  <si>
    <t>LA PLATA | ESCUELA DE EDUCACIÓN SECUNDARIA N° 3 NACIONES UNIDAS (CUE: 60890700)</t>
  </si>
  <si>
    <t>ESCUELA DE EDUCACIÓN SECUNDARIA N° 3 NACIONES UNIDAS</t>
  </si>
  <si>
    <t>LA PLATA | ESCUELA DE EDUCACIÓN SECUNDARIA N° 31 GRAL JOSÉ DE SAN MARTÍN (CUE: 60897700)</t>
  </si>
  <si>
    <t>ESCUELA DE EDUCACIÓN SECUNDARIA N° 31 GRAL JOSÉ DE SAN MARTÍN</t>
  </si>
  <si>
    <t>LA PLATA | ESCUELA DE EDUCACIÓN SECUNDARIA N° 32 MARY O'GRAHAM (CUE: 60623100)</t>
  </si>
  <si>
    <t>ESCUELA DE EDUCACIÓN SECUNDARIA N° 32 MARY O'GRAHAM</t>
  </si>
  <si>
    <t>LA PLATA | ESCUELA DE EDUCACIÓN SECUNDARIA N° 37 (CUE: 61618000)</t>
  </si>
  <si>
    <t>ESCUELA DE EDUCACIÓN SECUNDARIA N° 37</t>
  </si>
  <si>
    <t>LA PLATA | ESCUELA DE EDUCACIÓN SECUNDARIA N° 38 (CUE: 61701100)</t>
  </si>
  <si>
    <t>ESCUELA DE EDUCACIÓN SECUNDARIA N° 38</t>
  </si>
  <si>
    <t>LA PLATA | ESCUELA DE EDUCACIÓN SECUNDARIA N° 4 19 DE NOVIEMBRE (CUE: 60891000)</t>
  </si>
  <si>
    <t>ESCUELA DE EDUCACIÓN SECUNDARIA N° 4 19 DE NOVIEMBRE</t>
  </si>
  <si>
    <t>LA PLATA | ESCUELA DE EDUCACIÓN SECUNDARIA N° 41 ESCUELA DEL BICENTENARIO (CUE: 61769200)</t>
  </si>
  <si>
    <t>ESCUELA DE EDUCACIÓN SECUNDARIA N° 41 ESCUELA DEL BICENTENARIO</t>
  </si>
  <si>
    <t>LA PLATA | ESCUELA DE EDUCACIÓN SECUNDARIA N° 42 (CUE: 61772000)</t>
  </si>
  <si>
    <t>ESCUELA DE EDUCACIÓN SECUNDARIA N° 42</t>
  </si>
  <si>
    <t>LA PLATA | ESCUELA DE EDUCACIÓN SECUNDARIA N° 43 (CUE: 61769300)</t>
  </si>
  <si>
    <t>ESCUELA DE EDUCACIÓN SECUNDARIA N° 43</t>
  </si>
  <si>
    <t>LA PLATA | ESCUELA DE EDUCACIÓN SECUNDARIA N° 44 (CUE: 61771300)</t>
  </si>
  <si>
    <t>ESCUELA DE EDUCACIÓN SECUNDARIA N° 44</t>
  </si>
  <si>
    <t>LA PLATA | ESCUELA DE EDUCACIÓN SECUNDARIA N° 46 (CUE: 61731900)</t>
  </si>
  <si>
    <t>ESCUELA DE EDUCACIÓN SECUNDARIA N° 46</t>
  </si>
  <si>
    <t>LA PLATA | ESCUELA DE EDUCACIÓN SECUNDARIA N° 47 (CUE: 61773200)</t>
  </si>
  <si>
    <t>ESCUELA DE EDUCACIÓN SECUNDARIA N° 47</t>
  </si>
  <si>
    <t>LA PLATA | ESCUELA DE EDUCACIÓN SECUNDARIA N° 48 (CUE: 62234100)</t>
  </si>
  <si>
    <t>ESCUELA DE EDUCACIÓN SECUNDARIA N° 48</t>
  </si>
  <si>
    <t>LA PLATA | ESCUELA DE EDUCACIÓN SECUNDARIA N° 49 (CUE: 61772300)</t>
  </si>
  <si>
    <t>ESCUELA DE EDUCACIÓN SECUNDARIA N° 49</t>
  </si>
  <si>
    <t>LA PLATA | ESCUELA DE EDUCACIÓN SECUNDARIA N° 5 PERITO FRANCISCO MORENO (CUE: 60885300)</t>
  </si>
  <si>
    <t>ESCUELA DE EDUCACIÓN SECUNDARIA N° 5 PERITO FRANCISCO MORENO</t>
  </si>
  <si>
    <t>LA PLATA | ESCUELA DE EDUCACIÓN SECUNDARIA N° 50 (CUE: 61773500)</t>
  </si>
  <si>
    <t>ESCUELA DE EDUCACIÓN SECUNDARIA N° 50</t>
  </si>
  <si>
    <t>LA PLATA | ESCUELA DE EDUCACIÓN SECUNDARIA N° 51 (CUE: 61770600)</t>
  </si>
  <si>
    <t>ESCUELA DE EDUCACIÓN SECUNDARIA N° 51</t>
  </si>
  <si>
    <t>LA PLATA | ESCUELA DE EDUCACIÓN SECUNDARIA N° 52 (CUE: 61732100)</t>
  </si>
  <si>
    <t>ESCUELA DE EDUCACIÓN SECUNDARIA N° 52</t>
  </si>
  <si>
    <t>LA PLATA | ESCUELA DE EDUCACIÓN SECUNDARIA N° 53 (CUE: 61770100)</t>
  </si>
  <si>
    <t>ESCUELA DE EDUCACIÓN SECUNDARIA N° 53</t>
  </si>
  <si>
    <t>LA PLATA | ESCUELA DE EDUCACIÓN SECUNDARIA N° 54 (CUE: 61771400)</t>
  </si>
  <si>
    <t>ESCUELA DE EDUCACIÓN SECUNDARIA N° 54</t>
  </si>
  <si>
    <t>LA PLATA | ESCUELA DE EDUCACIÓN SECUNDARIA N° 55 (CUE: 61773300)</t>
  </si>
  <si>
    <t>ESCUELA DE EDUCACIÓN SECUNDARIA N° 55</t>
  </si>
  <si>
    <t>LA PLATA | ESCUELA DE EDUCACIÓN SECUNDARIA N° 56 (CUE: 61898000)</t>
  </si>
  <si>
    <t>ESCUELA DE EDUCACIÓN SECUNDARIA N° 56</t>
  </si>
  <si>
    <t>LA PLATA | ESCUELA DE EDUCACIÓN SECUNDARIA N° 57 (CUE: 62272800)</t>
  </si>
  <si>
    <t>ESCUELA DE EDUCACIÓN SECUNDARIA N° 57</t>
  </si>
  <si>
    <t>LA PLATA | ESCUELA DE EDUCACIÓN SECUNDARIA N° 59 (CUE: 62249200)</t>
  </si>
  <si>
    <t>ESCUELA DE EDUCACIÓN SECUNDARIA N° 59</t>
  </si>
  <si>
    <t>LA PLATA | ESCUELA DE EDUCACIÓN SECUNDARIA N° 60 (CUE: 62272900)</t>
  </si>
  <si>
    <t>ESCUELA DE EDUCACIÓN SECUNDARIA N° 60</t>
  </si>
  <si>
    <t>LA PLATA | ESCUELA DE EDUCACIÓN SECUNDARIA N° 61 (CUE: 61771600)</t>
  </si>
  <si>
    <t>ESCUELA DE EDUCACIÓN SECUNDARIA N° 61</t>
  </si>
  <si>
    <t>LA PLATA | ESCUELA DE EDUCACIÓN SECUNDARIA N° 62 (CUE: 61858900)</t>
  </si>
  <si>
    <t>ESCUELA DE EDUCACIÓN SECUNDARIA N° 62</t>
  </si>
  <si>
    <t>LA PLATA | ESCUELA DE EDUCACIÓN SECUNDARIA N° 63 (CUE: 61770500)</t>
  </si>
  <si>
    <t>ESCUELA DE EDUCACIÓN SECUNDARIA N° 63</t>
  </si>
  <si>
    <t>LA PLATA | ESCUELA DE EDUCACIÓN SECUNDARIA N° 64 (CUE: 61732000)</t>
  </si>
  <si>
    <t>ESCUELA DE EDUCACIÓN SECUNDARIA N° 64</t>
  </si>
  <si>
    <t>LA PLATA | ESCUELA DE EDUCACIÓN SECUNDARIA N° 65 (CUE: 61728900)</t>
  </si>
  <si>
    <t>ESCUELA DE EDUCACIÓN SECUNDARIA N° 65</t>
  </si>
  <si>
    <t>LA PLATA | ESCUELA DE EDUCACIÓN SECUNDARIA N° 66 (CUE: 61729500)</t>
  </si>
  <si>
    <t>ESCUELA DE EDUCACIÓN SECUNDARIA N° 66</t>
  </si>
  <si>
    <t>LA PLATA | ESCUELA DE EDUCACIÓN SECUNDARIA N° 67 (CUE: 61772900)</t>
  </si>
  <si>
    <t>ESCUELA DE EDUCACIÓN SECUNDARIA N° 67</t>
  </si>
  <si>
    <t>LA PLATA | ESCUELA DE EDUCACIÓN SECUNDARIA N° 68 (CUE: 61771100)</t>
  </si>
  <si>
    <t>ESCUELA DE EDUCACIÓN SECUNDARIA N° 68</t>
  </si>
  <si>
    <t>LA PLATA | ESCUELA DE EDUCACIÓN SECUNDARIA N° 69 (CUE: 61769800)</t>
  </si>
  <si>
    <t>ESCUELA DE EDUCACIÓN SECUNDARIA N° 69</t>
  </si>
  <si>
    <t>LA PLATA | ESCUELA DE EDUCACIÓN SECUNDARIA N° 70 (CUE: 61845000)</t>
  </si>
  <si>
    <t>ESCUELA DE EDUCACIÓN SECUNDARIA N° 70</t>
  </si>
  <si>
    <t>LA PLATA | ESCUELA DE EDUCACIÓN SECUNDARIA N° 72 (CUE: 61773400)</t>
  </si>
  <si>
    <t>ESCUELA DE EDUCACIÓN SECUNDARIA N° 72</t>
  </si>
  <si>
    <t>LA PLATA | ESCUELA DE EDUCACIÓN SECUNDARIA N° 73 (CUE: 61769900)</t>
  </si>
  <si>
    <t>ESCUELA DE EDUCACIÓN SECUNDARIA N° 73</t>
  </si>
  <si>
    <t>LA PLATA | ESCUELA DE EDUCACIÓN SECUNDARIA N° 75 (CUE: 61770800)</t>
  </si>
  <si>
    <t>ESCUELA DE EDUCACIÓN SECUNDARIA N° 75</t>
  </si>
  <si>
    <t>LA PLATA | ESCUELA DE EDUCACIÓN SECUNDARIA N° 76 (CUE: 61772100)</t>
  </si>
  <si>
    <t>ESCUELA DE EDUCACIÓN SECUNDARIA N° 76</t>
  </si>
  <si>
    <t>LA PLATA | ESCUELA DE EDUCACIÓN SECUNDARIA N° 78 (CUE: 62043600)</t>
  </si>
  <si>
    <t>ESCUELA DE EDUCACIÓN SECUNDARIA N° 78</t>
  </si>
  <si>
    <t>LA PLATA | ESCUELA DE EDUCACIÓN SECUNDARIA N° 79 (CUE: 61772600)</t>
  </si>
  <si>
    <t>ESCUELA DE EDUCACIÓN SECUNDARIA N° 79</t>
  </si>
  <si>
    <t>LA PLATA | ESCUELA DE EDUCACIÓN SECUNDARIA N° 8 PEDRO BENOIT (CUE: 60888400)</t>
  </si>
  <si>
    <t>ESCUELA DE EDUCACIÓN SECUNDARIA N° 8 PEDRO BENOIT</t>
  </si>
  <si>
    <t>LA PLATA | ESCUELA DE EDUCACIÓN SECUNDARIA N° 80 (CUE: 62040400)</t>
  </si>
  <si>
    <t>ESCUELA DE EDUCACIÓN SECUNDARIA N° 80</t>
  </si>
  <si>
    <t>LA PLATA | ESCUELA DE EDUCACIÓN SECUNDARIA N° 82 (CUE: 61770000)</t>
  </si>
  <si>
    <t>ESCUELA DE EDUCACIÓN SECUNDARIA N° 82</t>
  </si>
  <si>
    <t>LA PLATA | ESCUELA DE EDUCACIÓN SECUNDARIA N° 83 (CUE: 61770700)</t>
  </si>
  <si>
    <t>ESCUELA DE EDUCACIÓN SECUNDARIA N° 83</t>
  </si>
  <si>
    <t>LA PLATA | ESCUELA DE EDUCACIÓN SECUNDARIA N° 84 (CUE: 61772500)</t>
  </si>
  <si>
    <t>ESCUELA DE EDUCACIÓN SECUNDARIA N° 84</t>
  </si>
  <si>
    <t>LA PLATA | ESCUELA DE EDUCACIÓN SECUNDARIA N° 85 (CUE: 61771500)</t>
  </si>
  <si>
    <t>ESCUELA DE EDUCACIÓN SECUNDARIA N° 85</t>
  </si>
  <si>
    <t>LA PLATA | ESCUELA DE EDUCACIÓN SECUNDARIA N° 86 (CUE: 61771200)</t>
  </si>
  <si>
    <t>ESCUELA DE EDUCACIÓN SECUNDARIA N° 86</t>
  </si>
  <si>
    <t>LA PLATA | ESCUELA DE EDUCACIÓN SECUNDARIA N° 88 (CUE: 61769700)</t>
  </si>
  <si>
    <t>ESCUELA DE EDUCACIÓN SECUNDARIA N° 88</t>
  </si>
  <si>
    <t>LA PLATA | ESCUELA DE EDUCACIÓN SECUNDARIA N° 89 (CUE: 61772400)</t>
  </si>
  <si>
    <t>ESCUELA DE EDUCACIÓN SECUNDARIA N° 89</t>
  </si>
  <si>
    <t>LA PLATA | ESCUELA DE EDUCACIÓN SECUNDARIA N° 9 (CUE: 60622200)</t>
  </si>
  <si>
    <t>LA PLATA | ESCUELA DE EDUCACIÓN SECUNDARIA N° 90 (CUE: 61773100)</t>
  </si>
  <si>
    <t>ESCUELA DE EDUCACIÓN SECUNDARIA N° 90</t>
  </si>
  <si>
    <t>LA PLATA | ESCUELA DE EDUCACIÓN SECUNDARIA N° 91 (CUE: 61769100)</t>
  </si>
  <si>
    <t>ESCUELA DE EDUCACIÓN SECUNDARIA N° 91</t>
  </si>
  <si>
    <t>LA PLATA | ESCUELA DE EDUCACIÓN SECUNDARIA N° 92 (CUE: 62045900)</t>
  </si>
  <si>
    <t>ESCUELA DE EDUCACIÓN SECUNDARIA N° 92</t>
  </si>
  <si>
    <t>LA PLATA | ESCUELA DE EDUCACIÓN SECUNDARIA N° 93 (CUE: 61773000)</t>
  </si>
  <si>
    <t>ESCUELA DE EDUCACIÓN SECUNDARIA N° 93</t>
  </si>
  <si>
    <t>LA PLATA | ESCUELA DE EDUCACIÓN SECUNDARIA N° 94 - EXTENSIÓN (CUE: 61770901)</t>
  </si>
  <si>
    <t>ESCUELA DE EDUCACIÓN SECUNDARIA N° 94 - EXTENSIÓN</t>
  </si>
  <si>
    <t>LA PLATA | ESCUELA DE EDUCACIÓN SECUNDARIA N° 94 (CUE: 61770900)</t>
  </si>
  <si>
    <t>ESCUELA DE EDUCACIÓN SECUNDARIA N° 94</t>
  </si>
  <si>
    <t>LA PLATA | ESCUELA DE EDUCACIÓN SECUNDARIA N° 95 (CUE: 61859000)</t>
  </si>
  <si>
    <t>ESCUELA DE EDUCACIÓN SECUNDARIA N° 95</t>
  </si>
  <si>
    <t>LA PLATA | ESCUELA DE EDUCACIÓN SECUNDARIA N° 96 ALMAFUERTE (CUE: 62445100)</t>
  </si>
  <si>
    <t>ESCUELA DE EDUCACIÓN SECUNDARIA N° 96 ALMAFUERTE</t>
  </si>
  <si>
    <t>LA PLATA | ESCUELA DE EDUCACIÓN SECUNDARIA TÉCNICA N° 1 DR. VALENTÍN VERGARA (CUE: 61138200)</t>
  </si>
  <si>
    <t>ESCUELA DE EDUCACIÓN SECUNDARIA TÉCNICA N° 1 DR. VALENTÍN VERGARA</t>
  </si>
  <si>
    <t>LA PLATA | ESCUELA DE EDUCACIÓN SECUNDARIA TÉCNICA N° 2 REPÚBLICA DE ITALIA (CUE: 60624200)</t>
  </si>
  <si>
    <t>ESCUELA DE EDUCACIÓN SECUNDARIA TÉCNICA N° 2 REPÚBLICA DE ITALIA</t>
  </si>
  <si>
    <t>LA PLATA | ESCUELA DE EDUCACIÓN SECUNDARIA TÉCNICA N° 3 FRAY LUIS BELTRAN (CUE: 60890800)</t>
  </si>
  <si>
    <t>ESCUELA DE EDUCACIÓN SECUNDARIA TÉCNICA N° 3 FRAY LUIS BELTRAN</t>
  </si>
  <si>
    <t>LA PLATA | ESCUELA DE EDUCACIÓN SECUNDARIA TÉCNICA N° 4 JOSÉ A. ALVAREZ CONDARCO (CUE: 60923600)</t>
  </si>
  <si>
    <t>ESCUELA DE EDUCACIÓN SECUNDARIA TÉCNICA N° 4 JOSÉ A. ALVAREZ CONDARCO</t>
  </si>
  <si>
    <t>LA PLATA | ESCUELA DE EDUCACIÓN SECUNDARIA TÉCNICA N° 5 GENERAL MANUEL NICOLÁS SAVIO (CUE: 60888900)</t>
  </si>
  <si>
    <t>ESCUELA DE EDUCACIÓN SECUNDARIA TÉCNICA N° 5 GENERAL MANUEL NICOLÁS SAVIO</t>
  </si>
  <si>
    <t>LA PLATA | ESCUELA DE EDUCACIÓN SECUNDARIA TÉCNICA N° 6 ALBERT THOMAS (CUE: 60855000)</t>
  </si>
  <si>
    <t>ESCUELA DE EDUCACIÓN SECUNDARIA TÉCNICA N° 6 ALBERT THOMAS</t>
  </si>
  <si>
    <t>LA PLATA | ESCUELA DE EDUCACIÓN SECUNDARIA TÉCNICA N° 7 LAURA ROSENDE MITRE DE MENDONCA (CUE: 60888200)</t>
  </si>
  <si>
    <t>ESCUELA DE EDUCACIÓN SECUNDARIA TÉCNICA N° 7 LAURA ROSENDE MITRE DE MENDONCA</t>
  </si>
  <si>
    <t>LA PLATA | ESCUELA DE EDUCACIÓN SECUNDARIA TÉCNICA N° 8 JUAN BAUTISTA ALBERDI (CUE: 60879400)</t>
  </si>
  <si>
    <t>ESCUELA DE EDUCACIÓN SECUNDARIA TÉCNICA N° 8 JUAN BAUTISTA ALBERDI</t>
  </si>
  <si>
    <t>LA PLATA | ESCUELA DE EDUCACIÓN SECUNDARIA TÉCNICA N° 9 (CUE: 60897500)</t>
  </si>
  <si>
    <t>ESCUELA DE EDUCACIÓN SECUNDARIA TÉCNICA N° 9</t>
  </si>
  <si>
    <t>LA PLATA | ESCUELA DE TEATRO LA PLATA (CUE: 61288400)</t>
  </si>
  <si>
    <t>ESCUELA DE TEATRO LA PLATA</t>
  </si>
  <si>
    <t>LA PLATA | ESCUELA ESPECIAL N° 503 J. J. GORRITTI (CUE: 61254800)</t>
  </si>
  <si>
    <t>ESCUELA ESPECIAL N° 503 J. J. GORRITTI</t>
  </si>
  <si>
    <t>LA PLATA | ESCUELA ESPECIAL N° 509 DR. CARLOS COMETTO (CUE: 60900900)</t>
  </si>
  <si>
    <t>ESCUELA ESPECIAL N° 509 DR. CARLOS COMETTO</t>
  </si>
  <si>
    <t>LA PLATA | ESCUELA ESPECIAL N° 514 LUIS MORZONE (CUE: 60898200)</t>
  </si>
  <si>
    <t>ESCUELA ESPECIAL N° 514 LUIS MORZONE</t>
  </si>
  <si>
    <t>LA PLATA | ESCUELA ESPECIAL N° 515 LIC. ELINA TEJERINA DE WALSH (CUE: 60290700)</t>
  </si>
  <si>
    <t>ESCUELA ESPECIAL N° 515 LIC. ELINA TEJERINA DE WALSH</t>
  </si>
  <si>
    <t>LA PLATA | ESCUELA ESPECIAL N° 516 (CUE: 61255200)</t>
  </si>
  <si>
    <t>ESCUELA ESPECIAL N° 516</t>
  </si>
  <si>
    <t>LA PLATA | ESCUELA ESPECIAL N° 517 (CUE: 61253700)</t>
  </si>
  <si>
    <t>ESCUELA ESPECIAL N° 517</t>
  </si>
  <si>
    <t>LA PLATA | ESCUELA ESPECIAL N° 518 (CUE: 60884000)</t>
  </si>
  <si>
    <t>ESCUELA ESPECIAL N° 518</t>
  </si>
  <si>
    <t>LA PLATA | ESCUELA ESPECIAL N° 524 HELEN KELLER (CUE: 60304500)</t>
  </si>
  <si>
    <t>ESCUELA ESPECIAL N° 524 HELEN KELLER</t>
  </si>
  <si>
    <t>LA PLATA | ESCUELA ESPECIAL N° 526 JOHN F. KENNEDY (CUE: 61447400)</t>
  </si>
  <si>
    <t>ESCUELA ESPECIAL N° 526 JOHN F. KENNEDY</t>
  </si>
  <si>
    <t>LA PLATA | ESCUELA ESPECIAL N° 527 BARBARA GONZALEZ DE SOTO (CUE: 60883700)</t>
  </si>
  <si>
    <t>ESCUELA ESPECIAL N° 527 BARBARA GONZALEZ DE SOTO</t>
  </si>
  <si>
    <t>LA PLATA | ESCUELA ESPECIAL N° 528 PUERTO ARGENTINO (CUE: 60890300)</t>
  </si>
  <si>
    <t>ESCUELA ESPECIAL N° 528 PUERTO ARGENTINO</t>
  </si>
  <si>
    <t>LA PLATA | ESCUELA ESPECIAL N° 529 (CUE: 60288300)</t>
  </si>
  <si>
    <t>ESCUELA ESPECIAL N° 529</t>
  </si>
  <si>
    <t>LA PLATA | ESCUELA ESPECIAL N° 531 (CUE: 61447500)</t>
  </si>
  <si>
    <t>ESCUELA ESPECIAL N° 531</t>
  </si>
  <si>
    <t>LA PLATA | ESCUELA ESPECIAL N° 532 ALFONSINA STORNI (CUE: 60305200)</t>
  </si>
  <si>
    <t>ESCUELA ESPECIAL N° 532 ALFONSINA STORNI</t>
  </si>
  <si>
    <t>LA PLATA | ESCUELA ESPECIAL N° 533 (CUE: 60317700)</t>
  </si>
  <si>
    <t>ESCUELA ESPECIAL N° 533</t>
  </si>
  <si>
    <t>LA PLATA | ESCUELA ESPECIAL N° 534 (CUE: 60907100)</t>
  </si>
  <si>
    <t>ESCUELA ESPECIAL N° 534</t>
  </si>
  <si>
    <t>LA PLATA | ESCUELA ESPECIAL N° 535 JUANA AZURDUY (CUE: 61138800)</t>
  </si>
  <si>
    <t>ESCUELA ESPECIAL N° 535 JUANA AZURDUY</t>
  </si>
  <si>
    <t>LA PLATA | ESCUELA ESPECIAL N° 536 (CUE: 60074500)</t>
  </si>
  <si>
    <t>ESCUELA ESPECIAL N° 536</t>
  </si>
  <si>
    <t>LA PLATA | ESCUELA ESPECIAL N° 538 (CUE: 61253600)</t>
  </si>
  <si>
    <t>ESCUELA ESPECIAL N° 538</t>
  </si>
  <si>
    <t>LA PLATA | ESCUELA GRADUADA JOAQUIN V. GONZALEZ (CUE: 69001800)</t>
  </si>
  <si>
    <t>ESCUELA GRADUADA JOAQUIN V. GONZALEZ</t>
  </si>
  <si>
    <t>LA PLATA | ESCUELA GRADUADA JOAQUIN V. GONZALEZ (CUE: 69001801)</t>
  </si>
  <si>
    <t>LA PLATA | ESCUELA MUNICIPAL LAS ALGARROBAS - NIVEL INICIAL (CUE: 62438000)</t>
  </si>
  <si>
    <t>ESCUELA MUNICIPAL LAS ALGARROBAS - NIVEL INICIAL</t>
  </si>
  <si>
    <t>LA PLATA | ESCUELA MUNICIPAL LAS ALGARROBAS - NIVEL PRIMARIO (CUE: 62438100)</t>
  </si>
  <si>
    <t>ESCUELA MUNICIPAL LAS ALGARROBAS - NIVEL PRIMARIO</t>
  </si>
  <si>
    <t>LA PLATA | ESCUELA MUNICIPAL LAS ALGARROBAS (CUE: 62434600)</t>
  </si>
  <si>
    <t>ESCUELA MUNICIPAL LAS ALGARROBAS</t>
  </si>
  <si>
    <t>LA PLATA | ESCUELA PEDAGÓGICA MUNICIPAL BARRIO JARDÍN PRIMARIA (CUE: 62355700)</t>
  </si>
  <si>
    <t>ESCUELA PEDAGÓGICA MUNICIPAL BARRIO JARDÍN PRIMARIA</t>
  </si>
  <si>
    <t>LA PLATA | ESCUELA PEDAGÓGICA MUNICIPAL BARRIO JARDÍN SECUNDARIA (CUE: 62355800)</t>
  </si>
  <si>
    <t>ESCUELA PEDAGÓGICA MUNICIPAL BARRIO JARDÍN SECUNDARIA</t>
  </si>
  <si>
    <t>LA PLATA | ESCUELA POLIMODAL N° 29 BENITO LYNCH (CUE: 60907800)</t>
  </si>
  <si>
    <t>ESCUELA POLIMODAL N° 29 BENITO LYNCH</t>
  </si>
  <si>
    <t>LA PLATA | ESCUELA POLIMODAL N° 35 ROBERTO T. SPERÓNI (CUE: 61203300)</t>
  </si>
  <si>
    <t>ESCUELA POLIMODAL N° 35 ROBERTO T. SPERÓNI</t>
  </si>
  <si>
    <t>LA PLATA | ESCUELA PRIMARIA N° 116 DR. ALBERT BRUCE SABIN (CUE: 61138400)</t>
  </si>
  <si>
    <t>ESCUELA PRIMARIA N° 116 DR. ALBERT BRUCE SABIN</t>
  </si>
  <si>
    <t>LA PLATA | ESCUELA PRIMARIA N° 119 LISANDRO OLMOS (CUE: 60073100)</t>
  </si>
  <si>
    <t>ESCUELA PRIMARIA N° 119 LISANDRO OLMOS</t>
  </si>
  <si>
    <t>LA PLATA | ESCUELA PRIMARIA N° 128 DARDO ROCHA (CUE: 60854200)</t>
  </si>
  <si>
    <t>ESCUELA PRIMARIA N° 128 DARDO ROCHA</t>
  </si>
  <si>
    <t>LA PLATA | ESCUELA PRIMARIA N° 14 JUSTINA OCAMPO DE WEST (CUE: 60071500)</t>
  </si>
  <si>
    <t>ESCUELA PRIMARIA N° 14 JUSTINA OCAMPO DE WEST</t>
  </si>
  <si>
    <t>LA PLATA | ESCUELA PRIMARIA N° 21 DR. AGUSTIN B. GAMBIER (CUE: 61138600)</t>
  </si>
  <si>
    <t>ESCUELA PRIMARIA N° 21 DR. AGUSTIN B. GAMBIER</t>
  </si>
  <si>
    <t>LA PLATA | ESCUELA PRIMARIA N° 23 MERCEDITAS DE SAN MARTÍN (CUE: 60072800)</t>
  </si>
  <si>
    <t>ESCUELA PRIMARIA N° 23 MERCEDITAS DE SAN MARTÍN</t>
  </si>
  <si>
    <t>LA PLATA | ESCUELA PRIMARIA N° 24 LUIS RICOME DE HUSSON (CUE: 60071400)</t>
  </si>
  <si>
    <t>ESCUELA PRIMARIA N° 24 LUIS RICOME DE HUSSON</t>
  </si>
  <si>
    <t>LA PLATA | ESCUELA PRIMARIA N° 35 LEANDRO N. ALEM (CUE: 60923000)</t>
  </si>
  <si>
    <t>ESCUELA PRIMARIA N° 35 LEANDRO N. ALEM</t>
  </si>
  <si>
    <t>LA PLATA | ESCUELA PRIMARIA N° 43 JUAN JOSÉ ATENCIO (CUE: 60072500)</t>
  </si>
  <si>
    <t>ESCUELA PRIMARIA N° 43 JUAN JOSÉ ATENCIO</t>
  </si>
  <si>
    <t>LA PLATA | ESCUELA PRIMARIA N° 45 MANUEL ROCHA (CUE: 60284000)</t>
  </si>
  <si>
    <t>ESCUELA PRIMARIA N° 45 MANUEL ROCHA</t>
  </si>
  <si>
    <t>LA PLATA | ESCUELA PRIMARIA N° 50 GABRIELA MISTRAL (CUE: 60886900)</t>
  </si>
  <si>
    <t>ESCUELA PRIMARIA N° 50 GABRIELA MISTRAL</t>
  </si>
  <si>
    <t>LA PLATA | ESCUELA PRIMARIA N° 65 BARTOLOMÉ MITRE (CUE: 60296200)</t>
  </si>
  <si>
    <t>ESCUELA PRIMARIA N° 65 BARTOLOMÉ MITRE</t>
  </si>
  <si>
    <t>LA PLATA | ESCUELA PRIMARIA N° 83 CALIXTO OYUELA (CUE: 61139300)</t>
  </si>
  <si>
    <t>ESCUELA PRIMARIA N° 83 CALIXTO OYUELA</t>
  </si>
  <si>
    <t>LA PLATA | ESCUELA SECUNDARIA N° 13 (CUE: 60890900)</t>
  </si>
  <si>
    <t>ESCUELA SECUNDARIA N° 13</t>
  </si>
  <si>
    <t>LA PLATA | ESCUELA SECUNDARIA N° 26 (CUE: 60889200)</t>
  </si>
  <si>
    <t>ESCUELA SECUNDARIA N° 26</t>
  </si>
  <si>
    <t>LA PLATA | ESCUELA SECUNDARIA N° 33 DARDO ROCHA (CUE: 60854300)</t>
  </si>
  <si>
    <t>ESCUELA SECUNDARIA N° 33 DARDO ROCHA</t>
  </si>
  <si>
    <t>LA PLATA | ESCUELA SECUNDARIA N° 34 ALMAFUERTE (CUE: 60882100)</t>
  </si>
  <si>
    <t>ESCUELA SECUNDARIA N° 34 ALMAFUERTE</t>
  </si>
  <si>
    <t>LA PLATA | ESCUELA SECUNDARIA N° 45 (CUE: 61883100)</t>
  </si>
  <si>
    <t>ESCUELA SECUNDARIA N° 45</t>
  </si>
  <si>
    <t>LA PLATA | ESCUELA SECUNDARIA N° 7 REPÚBLICA ARGENTINA (CUE: 60887500)</t>
  </si>
  <si>
    <t>ESCUELA SECUNDARIA N° 7 REPÚBLICA ARGENTINA</t>
  </si>
  <si>
    <t>LA PLATA | ESCUELA SECUNDARIA N° 71 (CUE: 61898100)</t>
  </si>
  <si>
    <t>ESCUELA SECUNDARIA N° 71</t>
  </si>
  <si>
    <t>LA PLATA | ESCUELA SECUNDARIA N° 74 (CUE: 61732200)</t>
  </si>
  <si>
    <t>ESCUELA SECUNDARIA N° 74</t>
  </si>
  <si>
    <t>LA PLATA | ESCUELA SECUNDARIA N° 77 (CUE: 61771700)</t>
  </si>
  <si>
    <t>ESCUELA SECUNDARIA N° 77</t>
  </si>
  <si>
    <t>LA PLATA | ESCUELA SECUNDARIA N° 81 (CUE: 61769600)</t>
  </si>
  <si>
    <t>ESCUELA SECUNDARIA N° 81</t>
  </si>
  <si>
    <t>LA PLATA | ESCUELA SUPERIOR DE FORMACIÓN EN SALUD (CUE: 62210300)</t>
  </si>
  <si>
    <t>ESCUELA SUPERIOR DE FORMACIÓN EN SALUD</t>
  </si>
  <si>
    <t>LA PLATA | EXTENSIÓN A CEBAS N° 48 (CUE: 62050801)</t>
  </si>
  <si>
    <t>EXTENSIÓN A CEBAS N° 48</t>
  </si>
  <si>
    <t>LA PLATA | EXTENSIÓN A MEDIA N° 18 (CUE: 60072701)</t>
  </si>
  <si>
    <t>EXTENSIÓN A MEDIA N° 18</t>
  </si>
  <si>
    <t>LA PLATA | EXTENSIÓN A MM 2290 (CUE: 60907801)</t>
  </si>
  <si>
    <t>EXTENSIÓN A MM 2290</t>
  </si>
  <si>
    <t>LA PLATA | EXTENSIÓN A PP N° 130 (CUE: 61203501)</t>
  </si>
  <si>
    <t>EXTENSIÓN A PP N° 130</t>
  </si>
  <si>
    <t>LA PLATA | EXTENSIÓN A PRIMARIA N° 130 EL RINCÓN (CUE: 61203502)</t>
  </si>
  <si>
    <t>EXTENSIÓN A PRIMARIA N° 130 EL RINCÓN</t>
  </si>
  <si>
    <t>LA PLATA | EXTENSIÓN DE ESCUELA MEDIA N° 18 (CUE: 60072702)</t>
  </si>
  <si>
    <t>EXTENSIÓN DE ESCUELA MEDIA N° 18</t>
  </si>
  <si>
    <t>LA PLATA | EXTENSIÓN DE LA ESCUELA DE EDUCACIÓN SECUNDARIA TÉCNICA N° 6 (CUE: 60855001)</t>
  </si>
  <si>
    <t>EXTENSIÓN DE LA ESCUELA DE EDUCACIÓN SECUNDARIA TÉCNICA N° 6</t>
  </si>
  <si>
    <t>LA PLATA | EXTENSIÓN DE MEDIA N° 40 CENTRO CERRADO C.O.P.A (CUE: 62087004)</t>
  </si>
  <si>
    <t>EXTENSIÓN DE MEDIA N° 40 CENTRO CERRADO C.O.P.A</t>
  </si>
  <si>
    <t>LA PLATA | EXTENSIÓN DE MEDIA N° 40 CENTRO CERRADO CARLOS IBARRA (CUE: 62087007)</t>
  </si>
  <si>
    <t>EXTENSIÓN DE MEDIA N° 40 CENTRO CERRADO CARLOS IBARRA</t>
  </si>
  <si>
    <t>LA PLATA | EXTENSIÓN DE MEDIA N° 40 CENTRO CERRADO LEGARRA (CUE: 62087005)</t>
  </si>
  <si>
    <t>EXTENSIÓN DE MEDIA N° 40 CENTRO CERRADO LEGARRA</t>
  </si>
  <si>
    <t>LA PLATA | EXTENSIÓN DE MEDIA N° 40 CENTRO CERRADO RECEPCION ABASTO (CUE: 62087003)</t>
  </si>
  <si>
    <t>EXTENSIÓN DE MEDIA N° 40 CENTRO CERRADO RECEPCION ABASTO</t>
  </si>
  <si>
    <t>LA PLATA | EXTENSIÓN DEL I.S.F.D N° 12 DE LA PLATA - UNIDAD PENITENCIARIA (CUE: 60899401)</t>
  </si>
  <si>
    <t>EXTENSIÓN DEL I.S.F.D N° 12 DE LA PLATA - UNIDAD PENITENCIARIA</t>
  </si>
  <si>
    <t>LA PLATA | EXTENSIÓN I DE ESCUELA DE EDUCACIÓN SECUNDARIA N° 13 (CUE: 60890901)</t>
  </si>
  <si>
    <t>EXTENSIÓN I DE ESCUELA DE EDUCACIÓN SECUNDARIA N° 13</t>
  </si>
  <si>
    <t>LA PLATA | EXTENSIÓN I DE ESCUELA DE EDUCACIÓN SECUNDARIA N° 26 (CUE: 60889201)</t>
  </si>
  <si>
    <t>EXTENSIÓN I DE ESCUELA DE EDUCACIÓN SECUNDARIA N° 26</t>
  </si>
  <si>
    <t>LA PLATA | EXTENSIÓN I DE ESCUELA SECUNDARIA N° 45 (CUE: 61883101)</t>
  </si>
  <si>
    <t>EXTENSIÓN I DE ESCUELA SECUNDARIA N° 45</t>
  </si>
  <si>
    <t>LA PLATA | EXTENSIÓN II A MEDIA N° 40 EL CASTILLITO (CUE: 62087002)</t>
  </si>
  <si>
    <t>EXTENSIÓN II A MEDIA N° 40 EL CASTILLITO</t>
  </si>
  <si>
    <t>LA PLATA | EXTENSIÓN III DEL INSTITUTO SUPERIOR DE FORMACIÓN TÉCNICA N° 6012 (CUE: 62210303)</t>
  </si>
  <si>
    <t>EXTENSIÓN III DEL INSTITUTO SUPERIOR DE FORMACIÓN TÉCNICA N° 6012</t>
  </si>
  <si>
    <t>LA PLATA | EXTENSIÓN N° 1 DE ESCUELA DE EDUCACIÓN SECUNDARIA N° 28 (CUE: 60626101)</t>
  </si>
  <si>
    <t>EXTENSIÓN N° 1 DE ESCUELA DE EDUCACIÓN SECUNDARIA N° 28</t>
  </si>
  <si>
    <t>LA PLATA | EXTENSIÓN N° 1 DE JARDÍN DE INFANTES N° 966 (CUE: 61203201)</t>
  </si>
  <si>
    <t>EXTENSIÓN N° 1 DE JARDÍN DE INFANTES N° 966</t>
  </si>
  <si>
    <t>LA PLATA | EXTENSIÓN N° 2 A MM 35 (CUE: 61203302)</t>
  </si>
  <si>
    <t>EXTENSIÓN N° 2 A MM 35</t>
  </si>
  <si>
    <t>LA PLATA | EXTENSIÓN N° 2 DE JARDÍN DE INFANTES N° 966 (CUE: 61203202)</t>
  </si>
  <si>
    <t>EXTENSIÓN N° 2 DE JARDÍN DE INFANTES N° 966</t>
  </si>
  <si>
    <t>LA PLATA | EXTENSIÓN N° 7 A ESCUELA MEDIA N° 40 CENTRO CERRADO EVA PERÓN (CUE: 62087008)</t>
  </si>
  <si>
    <t>EXTENSIÓN N° 7 A ESCUELA MEDIA N° 40 CENTRO CERRADO EVA PERÓN</t>
  </si>
  <si>
    <t>LA PLATA | INSTITUTO DE FORMACIÓN LABORAL (CUE: 62384000)</t>
  </si>
  <si>
    <t>INSTITUTO DE FORMACIÓN LABORAL</t>
  </si>
  <si>
    <t>LA PLATA | INSTITUTO NUEVO DIQUE (CUE: 61590000)</t>
  </si>
  <si>
    <t>INSTITUTO NUEVO DIQUE</t>
  </si>
  <si>
    <t>LA PLATA | INSTITUTO SUPERIOR DE EDUCACIÓN I.O.M.A. N° 6013 (CUE: 62220300)</t>
  </si>
  <si>
    <t>INSTITUTO SUPERIOR DE EDUCACIÓN I.O.M.A. N° 6013</t>
  </si>
  <si>
    <t>LA PLATA | INSTITUTO SUPERIOR DE FORMACIÓN DOCENTE N° 17 (CUE: 60899100)</t>
  </si>
  <si>
    <t>INSTITUTO SUPERIOR DE FORMACIÓN DOCENTE N° 17</t>
  </si>
  <si>
    <t>LA PLATA | INSTITUTO SUPERIOR DE FORMACIÓN DOCENTE N° 228 (CUE: 62403700)</t>
  </si>
  <si>
    <t>INSTITUTO SUPERIOR DE FORMACIÓN DOCENTE N° 228</t>
  </si>
  <si>
    <t>LA PLATA | INSTITUTO SUPERIOR DE FORMACIÓN DOCENTE N° 9 (CUE: 60643700)</t>
  </si>
  <si>
    <t>INSTITUTO SUPERIOR DE FORMACIÓN DOCENTE N° 9</t>
  </si>
  <si>
    <t>LA PLATA | INSTITUTO SUPERIOR DE FORMACIÓN DOCENTE N° 94 R.T. SPERÓNI (CUE: 60900000)</t>
  </si>
  <si>
    <t>INSTITUTO SUPERIOR DE FORMACIÓN DOCENTE N° 94 R.T. SPERÓNI</t>
  </si>
  <si>
    <t>LA PLATA | INSTITUTO SUPERIOR DE FORMACIÓN DOCENTE N° 95 MARY O'GRAHAM (CUE: 60890600)</t>
  </si>
  <si>
    <t>INSTITUTO SUPERIOR DE FORMACIÓN DOCENTE N° 95 MARY O'GRAHAM</t>
  </si>
  <si>
    <t>LA PLATA | INSTITUTO SUPERIOR DE FORMACIÓN DOCENTE N° 96 DARDO ROCHA (CUE: 60073300)</t>
  </si>
  <si>
    <t>INSTITUTO SUPERIOR DE FORMACIÓN DOCENTE N° 96 DARDO ROCHA</t>
  </si>
  <si>
    <t>LA PLATA | INSTITUTO SUPERIOR DE FORMACIÓN DOCENTE N° 97 (CUE: 60643900)</t>
  </si>
  <si>
    <t>INSTITUTO SUPERIOR DE FORMACIÓN DOCENTE N° 97</t>
  </si>
  <si>
    <t>LA PLATA | INSTITUTO SUPERIOR DE FORMACIÓN DOCENTE Y TÉCNICA N° 12 (CUE: 60899400)</t>
  </si>
  <si>
    <t>INSTITUTO SUPERIOR DE FORMACIÓN DOCENTE Y TÉCNICA N° 12</t>
  </si>
  <si>
    <t>LA PLATA | INSTITUTO SUPERIOR DE FORMACIÓN DOCENTE Y TÉCNICA N° 136 - ANEXO I (CUE: 60143201)</t>
  </si>
  <si>
    <t>INSTITUTO SUPERIOR DE FORMACIÓN DOCENTE Y TÉCNICA N° 136 - ANEXO I</t>
  </si>
  <si>
    <t>LA PLATA | INSTITUTO SUPERIOR DE FORMACIÓN DOCENTE Y TÉCNICA N° 136 - ANEXO II (CUE: 60143202)</t>
  </si>
  <si>
    <t>INSTITUTO SUPERIOR DE FORMACIÓN DOCENTE Y TÉCNICA N° 136 - ANEXO II</t>
  </si>
  <si>
    <t>LA PLATA | INSTITUTO SUPERIOR DE FORMACIÓN DOCENTE Y TÉCNICA N° 210 (CUE: 62319200)</t>
  </si>
  <si>
    <t>INSTITUTO SUPERIOR DE FORMACIÓN DOCENTE Y TÉCNICA N° 210</t>
  </si>
  <si>
    <t>LA PLATA | INSTITUTO SUPERIOR DE FORMACIÓN DOCENTE Y TÉCNICA N° 219 (CUE: 62282200)</t>
  </si>
  <si>
    <t>INSTITUTO SUPERIOR DE FORMACIÓN DOCENTE Y TÉCNICA N° 219</t>
  </si>
  <si>
    <t>LA PLATA | INSTITUTO SUPERIOR DE FORMACIÓN DOCENTE Y TÉCNICA N° 239 (CUE: 62428200)</t>
  </si>
  <si>
    <t>INSTITUTO SUPERIOR DE FORMACIÓN DOCENTE Y TÉCNICA N° 239</t>
  </si>
  <si>
    <t>LA PLATA | INSTITUTO SUPERIOR DE FORMACIÓN DOCENTE Y TÉCNICA N° 8 (CUE: 60923700)</t>
  </si>
  <si>
    <t>INSTITUTO SUPERIOR DE FORMACIÓN DOCENTE Y TÉCNICA N° 8</t>
  </si>
  <si>
    <t>LA PLATA | INSTITUTO SUPERIOR DE FORMACIÓN TÉCNICA EN SEGURIDAD PÚBLICA (CUE: 62304800)</t>
  </si>
  <si>
    <t>INSTITUTO SUPERIOR DE FORMACIÓN TÉCNICA EN SEGURIDAD PÚBLICA</t>
  </si>
  <si>
    <t>LA PLATA | INSTITUTO SUPERIOR DE FORMACIÓN TÉCNICA N° 221 (CUE: 62341500)</t>
  </si>
  <si>
    <t>INSTITUTO SUPERIOR DE FORMACIÓN TÉCNICA N° 221</t>
  </si>
  <si>
    <t>LA PLATA | INSTITUTO SUPERIOR DE FORMACIÓN TÉCNICA N° 227 (CUE: 62403600)</t>
  </si>
  <si>
    <t>INSTITUTO SUPERIOR DE FORMACIÓN TÉCNICA N° 227</t>
  </si>
  <si>
    <t>LA PLATA | INSTITUTO SUPERIOR DE LA SUPERINTENDENCIA DE SERV. SOCIALES N° 6011 (CUE: 62220400)</t>
  </si>
  <si>
    <t>INSTITUTO SUPERIOR DE LA SUPERINTENDENCIA DE SERV. SOCIALES N° 6011</t>
  </si>
  <si>
    <t>LA PLATA | JARDÍN DE INFANTES MUNICIPAL "I.D.E.A.S." (CUE: 62420900)</t>
  </si>
  <si>
    <t>JARDÍN DE INFANTES MUNICIPAL "I.D.E.A.S."</t>
  </si>
  <si>
    <t>LA PLATA | JARDÍN DE INFANTES MUNICIPAL N° 14 DIEGO SAPPA (CUE: 62297900)</t>
  </si>
  <si>
    <t>JARDÍN DE INFANTES MUNICIPAL N° 14 DIEGO SAPPA</t>
  </si>
  <si>
    <t>LA PLATA | JARDÍN DE INFANTES N° 11 VILLA MONTORO (CUE: 61481100)</t>
  </si>
  <si>
    <t>JARDÍN DE INFANTES N° 11 VILLA MONTORO</t>
  </si>
  <si>
    <t>LA PLATA | JARDÍN DE INFANTES N° 901 MANUEL BELGRANO (CUE: 60883200)</t>
  </si>
  <si>
    <t>JARDÍN DE INFANTES N° 901 MANUEL BELGRANO</t>
  </si>
  <si>
    <t>LA PLATA | JARDÍN DE INFANTES N° 902 MARTÍN MIGUEL DE GÜEMES (CUE: 60899500)</t>
  </si>
  <si>
    <t>JARDÍN DE INFANTES N° 902 MARTÍN MIGUEL DE GÜEMES</t>
  </si>
  <si>
    <t>LA PLATA | JARDÍN DE INFANTES N° 903 GENERAL SAN MARTÍN (CUE: 60490200)</t>
  </si>
  <si>
    <t>JARDÍN DE INFANTES N° 903 GENERAL SAN MARTÍN</t>
  </si>
  <si>
    <t>LA PLATA | JARDÍN DE INFANTES N° 904 PAULA M. ALBARRACÍN DE SARMIENTO (CUE: 60923300)</t>
  </si>
  <si>
    <t>JARDÍN DE INFANTES N° 904 PAULA M. ALBARRACÍN DE SARMIENTO</t>
  </si>
  <si>
    <t>LA PLATA | JARDÍN DE INFANTES N° 905 ALMAFUERTE (CUE: 60888800)</t>
  </si>
  <si>
    <t>JARDÍN DE INFANTES N° 905 ALMAFUERTE</t>
  </si>
  <si>
    <t>LA PLATA | JARDÍN DE INFANTES N° 906 FRANCISCO L. DE AGUIRRE BENGOA (CUE: 60284400)</t>
  </si>
  <si>
    <t>JARDÍN DE INFANTES N° 906 FRANCISCO L. DE AGUIRRE BENGOA</t>
  </si>
  <si>
    <t>LA PLATA | JARDÍN DE INFANTES N° 907 MARIA LUISA ROQUES (CUE: 60889400)</t>
  </si>
  <si>
    <t>JARDÍN DE INFANTES N° 907 MARIA LUISA ROQUES</t>
  </si>
  <si>
    <t>LA PLATA | JARDÍN DE INFANTES N° 908 ALBERTI SCHWEITZER (CUE: 60900200)</t>
  </si>
  <si>
    <t>JARDÍN DE INFANTES N° 908 ALBERTI SCHWEITZER</t>
  </si>
  <si>
    <t>LA PLATA | JARDÍN DE INFANTES N° 909 CONRADO NALE ROXLO (CUE: 61139000)</t>
  </si>
  <si>
    <t>JARDÍN DE INFANTES N° 909 CONRADO NALE ROXLO</t>
  </si>
  <si>
    <t>LA PLATA | JARDÍN DE INFANTES N° 910 ALMIRANTE BROWN (CUE: 60285000)</t>
  </si>
  <si>
    <t>JARDÍN DE INFANTES N° 910 ALMIRANTE BROWN</t>
  </si>
  <si>
    <t>LA PLATA | JARDÍN DE INFANTES N° 911 GABRIELA MISTRAL (CUE: 60297900)</t>
  </si>
  <si>
    <t>JARDÍN DE INFANTES N° 911 GABRIELA MISTRAL</t>
  </si>
  <si>
    <t>LA PLATA | JARDÍN DE INFANTES N° 912 RICARDO GUTIERREZ (CUE: 60315100)</t>
  </si>
  <si>
    <t>JARDÍN DE INFANTES N° 912 RICARDO GUTIERREZ</t>
  </si>
  <si>
    <t>LA PLATA | JARDÍN DE INFANTES N° 913 JUAN CRISTIAN ANDERSEN (CUE: 60298000)</t>
  </si>
  <si>
    <t>JARDÍN DE INFANTES N° 913 JUAN CRISTIAN ANDERSEN</t>
  </si>
  <si>
    <t>LA PLATA | JARDÍN DE INFANTES N° 914 PATRICIAS ARGENTINAS (CUE: 61136200)</t>
  </si>
  <si>
    <t>JARDÍN DE INFANTES N° 914 PATRICIAS ARGENTINAS</t>
  </si>
  <si>
    <t>LA PLATA | JARDÍN DE INFANTES N° 915 WALT DISNEY (CUE: 60931400)</t>
  </si>
  <si>
    <t>JARDÍN DE INFANTES N° 915 WALT DISNEY</t>
  </si>
  <si>
    <t>LA PLATA | JARDÍN DE INFANTES N° 916 NOMEOLVIDES (CUE: 60900700)</t>
  </si>
  <si>
    <t>JARDÍN DE INFANTES N° 916 NOMEOLVIDES</t>
  </si>
  <si>
    <t>LA PLATA | JARDÍN DE INFANTES N° 917 TAMBOR DE TACUARI (CUE: 61139800)</t>
  </si>
  <si>
    <t>JARDÍN DE INFANTES N° 917 TAMBOR DE TACUARI</t>
  </si>
  <si>
    <t>LA PLATA | JARDÍN DE INFANTES N° 918 DR. RENÉ FAVALORO (CUE: 60291600)</t>
  </si>
  <si>
    <t>JARDÍN DE INFANTES N° 918 DR. RENÉ FAVALORO</t>
  </si>
  <si>
    <t>LA PLATA | JARDÍN DE INFANTES N° 919 COSTANCIO C. VIGIL (CUE: 60889500)</t>
  </si>
  <si>
    <t>JARDÍN DE INFANTES N° 919 COSTANCIO C. VIGIL</t>
  </si>
  <si>
    <t>LA PLATA | JARDÍN DE INFANTES N° 920 ALFONSINA STORNI (CUE: 60642900)</t>
  </si>
  <si>
    <t>JARDÍN DE INFANTES N° 920 ALFONSINA STORNI</t>
  </si>
  <si>
    <t>LA PLATA | JARDÍN DE INFANTES N° 921 JOSÉ SEBASTIAN TALLON (CUE: 60051300)</t>
  </si>
  <si>
    <t>JARDÍN DE INFANTES N° 921 JOSÉ SEBASTIAN TALLON</t>
  </si>
  <si>
    <t>LA PLATA | JARDÍN DE INFANTES N° 922 ROSARIO VERA PEÑALOZA (CUE: 60284900)</t>
  </si>
  <si>
    <t>JARDÍN DE INFANTES N° 922 ROSARIO VERA PEÑALOZA</t>
  </si>
  <si>
    <t>LA PLATA | JARDÍN DE INFANTES N° 923 DR. ALBERT SABIN (CUE: 60889900)</t>
  </si>
  <si>
    <t>JARDÍN DE INFANTES N° 923 DR. ALBERT SABIN</t>
  </si>
  <si>
    <t>LA PLATA | JARDÍN DE INFANTES N° 924 FLORENTINO AMEGHINO (CUE: 60887400)</t>
  </si>
  <si>
    <t>JARDÍN DE INFANTES N° 924 FLORENTINO AMEGHINO</t>
  </si>
  <si>
    <t>LA PLATA | JARDÍN DE INFANTES N° 925 MARIA E. FIGUEROA (CUE: 60883500)</t>
  </si>
  <si>
    <t>JARDÍN DE INFANTES N° 925 MARIA E. FIGUEROA</t>
  </si>
  <si>
    <t>LA PLATA | JARDÍN DE INFANTES N° 926 VICENTE BARBIERI (CUE: 60297100)</t>
  </si>
  <si>
    <t>JARDÍN DE INFANTES N° 926 VICENTE BARBIERI</t>
  </si>
  <si>
    <t>LA PLATA | JARDÍN DE INFANTES N° 927 ALFONSINA STORNI (CUE: 60051100)</t>
  </si>
  <si>
    <t>JARDÍN DE INFANTES N° 927 ALFONSINA STORNI</t>
  </si>
  <si>
    <t>LA PLATA | JARDÍN DE INFANTES N° 928 MARIA EVA DUARTE DE PERÓN (CUE: 60317500)</t>
  </si>
  <si>
    <t>JARDÍN DE INFANTES N° 928 MARIA EVA DUARTE DE PERÓN</t>
  </si>
  <si>
    <t>LA PLATA | JARDÍN DE INFANTES N° 929 LUIS PIEDRABUENA (CUE: 60897800)</t>
  </si>
  <si>
    <t>JARDÍN DE INFANTES N° 929 LUIS PIEDRABUENA</t>
  </si>
  <si>
    <t>LA PLATA | JARDÍN DE INFANTES N° 930 (CUE: 60923900)</t>
  </si>
  <si>
    <t>JARDÍN DE INFANTES N° 930</t>
  </si>
  <si>
    <t>LA PLATA | JARDÍN DE INFANTES N° 931 MARIANO MORENO (CUE: 60284500)</t>
  </si>
  <si>
    <t>JARDÍN DE INFANTES N° 931 MARIANO MORENO</t>
  </si>
  <si>
    <t>LA PLATA | JARDÍN DE INFANTES N° 932 JUAN VUCETICH (CUE: 60284800)</t>
  </si>
  <si>
    <t>JARDÍN DE INFANTES N° 932 JUAN VUCETICH</t>
  </si>
  <si>
    <t>LA PLATA | JARDÍN DE INFANTES N° 933 MARTÍN FIERRO (CUE: 60306100)</t>
  </si>
  <si>
    <t>JARDÍN DE INFANTES N° 933 MARTÍN FIERRO</t>
  </si>
  <si>
    <t>LA PLATA | JARDÍN DE INFANTES N° 934 MERCEDITAS DE SAN MARTÍN (CUE: 60898300)</t>
  </si>
  <si>
    <t>JARDÍN DE INFANTES N° 934 MERCEDITAS DE SAN MARTÍN</t>
  </si>
  <si>
    <t>LA PLATA | JARDÍN DE INFANTES N° 936 FRYDA SCHULTZ DE MANTOVANI (CUE: 60308900)</t>
  </si>
  <si>
    <t>JARDÍN DE INFANTES N° 936 FRYDA SCHULTZ DE MANTOVANI</t>
  </si>
  <si>
    <t>LA PLATA | JARDÍN DE INFANTES N° 937 MALVINAS ARGENTINA (CUE: 60887300)</t>
  </si>
  <si>
    <t>JARDÍN DE INFANTES N° 937 MALVINAS ARGENTINA</t>
  </si>
  <si>
    <t>LA PLATA | JARDÍN DE INFANTES N° 938 GREGORIA MATORRAS DE SAN MARTÍN (CUE: 60285800)</t>
  </si>
  <si>
    <t>JARDÍN DE INFANTES N° 938 GREGORIA MATORRAS DE SAN MARTÍN</t>
  </si>
  <si>
    <t>LA PLATA | JARDÍN DE INFANTES N° 939 REPÚBLICA DEL ECUADOR (CUE: 61136400)</t>
  </si>
  <si>
    <t>JARDÍN DE INFANTES N° 939 REPÚBLICA DEL ECUADOR</t>
  </si>
  <si>
    <t>LA PLATA | JARDÍN DE INFANTES N° 940 GLADYS MABEL GUADIX (CUE: 60288000)</t>
  </si>
  <si>
    <t>JARDÍN DE INFANTES N° 940 GLADYS MABEL GUADIX</t>
  </si>
  <si>
    <t>LA PLATA | JARDÍN DE INFANTES N° 941 BERNARDINO RIVADAVIA (CUE: 60640900)</t>
  </si>
  <si>
    <t>JARDÍN DE INFANTES N° 941 BERNARDINO RIVADAVIA</t>
  </si>
  <si>
    <t>LA PLATA | JARDÍN DE INFANTES N° 942 DRA. CECILIA GRIERSON (CUE: 60305500)</t>
  </si>
  <si>
    <t>JARDÍN DE INFANTES N° 942 DRA. CECILIA GRIERSON</t>
  </si>
  <si>
    <t>LA PLATA | JARDÍN DE INFANTES N° 943 MINISTRO ZARINI (CUE: 61136800)</t>
  </si>
  <si>
    <t>JARDÍN DE INFANTES N° 943 MINISTRO ZARINI</t>
  </si>
  <si>
    <t>LA PLATA | JARDÍN DE INFANTES N° 944 JUAN RAMON JIMENEZ (CUE: 60283200)</t>
  </si>
  <si>
    <t>JARDÍN DE INFANTES N° 944 JUAN RAMON JIMENEZ</t>
  </si>
  <si>
    <t>LA PLATA | JARDÍN DE INFANTES N° 945 (CUE: 60289400)</t>
  </si>
  <si>
    <t>JARDÍN DE INFANTES N° 945</t>
  </si>
  <si>
    <t>LA PLATA | JARDÍN DE INFANTES N° 946 MARINA MARGARITA RAVIOLI (CUE: 60416700)</t>
  </si>
  <si>
    <t>JARDÍN DE INFANTES N° 946 MARINA MARGARITA RAVIOLI</t>
  </si>
  <si>
    <t>LA PLATA | JARDÍN DE INFANTES N° 947 DARDO ROCHA (CUE: 60287600)</t>
  </si>
  <si>
    <t>JARDÍN DE INFANTES N° 947 DARDO ROCHA</t>
  </si>
  <si>
    <t>LA PLATA | JARDÍN DE INFANTES N° 948 JORGE A. SIMINI (CUE: 60922800)</t>
  </si>
  <si>
    <t>JARDÍN DE INFANTES N° 948 JORGE A. SIMINI</t>
  </si>
  <si>
    <t>LA PLATA | JARDÍN DE INFANTES N° 949 DIONISIO AZCUÉNAGA (CUE: 60287500)</t>
  </si>
  <si>
    <t>JARDÍN DE INFANTES N° 949 DIONISIO AZCUÉNAGA</t>
  </si>
  <si>
    <t>LA PLATA | JARDÍN DE INFANTES N° 950 DR.CARLOS SAAVEDRA LAMAS (CUE: 60285600)</t>
  </si>
  <si>
    <t>JARDÍN DE INFANTES N° 950 DR.CARLOS SAAVEDRA LAMAS</t>
  </si>
  <si>
    <t>LA PLATA | JARDÍN DE INFANTES N° 951 LIA ESTHER GIUSTI (CUE: 60075900)</t>
  </si>
  <si>
    <t>JARDÍN DE INFANTES N° 951 LIA ESTHER GIUSTI</t>
  </si>
  <si>
    <t>LA PLATA | JARDÍN DE INFANTES N° 952 (CUE: 60283900)</t>
  </si>
  <si>
    <t>JARDÍN DE INFANTES N° 952</t>
  </si>
  <si>
    <t>LA PLATA | JARDÍN DE INFANTES N° 953 CLOTILDE GUILLEN DE REZZANO (CUE: 60898800)</t>
  </si>
  <si>
    <t>JARDÍN DE INFANTES N° 953 CLOTILDE GUILLEN DE REZZANO</t>
  </si>
  <si>
    <t>LA PLATA | JARDÍN DE INFANTES N° 954 DR. RICARDO A FUERTES (CUE: 60291300)</t>
  </si>
  <si>
    <t>JARDÍN DE INFANTES N° 954 DR. RICARDO A FUERTES</t>
  </si>
  <si>
    <t>LA PLATA | JARDÍN DE INFANTES N° 955 ATILIO BOVERI (CUE: 60899800)</t>
  </si>
  <si>
    <t>JARDÍN DE INFANTES N° 955 ATILIO BOVERI</t>
  </si>
  <si>
    <t>LA PLATA | JARDÍN DE INFANTES N° 956 JOAQUIN V. GONZALEZ (CUE: 60890000)</t>
  </si>
  <si>
    <t>JARDÍN DE INFANTES N° 956 JOAQUIN V. GONZALEZ</t>
  </si>
  <si>
    <t>LA PLATA | JARDÍN DE INFANTES N° 957 (CUE: 61061100)</t>
  </si>
  <si>
    <t>JARDÍN DE INFANTES N° 957</t>
  </si>
  <si>
    <t>LA PLATA | JARDÍN DE INFANTES N° 958 OTILIA ALDAZABAL DE TORINO (CUE: 60926100)</t>
  </si>
  <si>
    <t>JARDÍN DE INFANTES N° 958 OTILIA ALDAZABAL DE TORINO</t>
  </si>
  <si>
    <t>LA PLATA | JARDÍN DE INFANTES N° 959 MADRE TERESA DE CALCUTA (CUE: 60287700)</t>
  </si>
  <si>
    <t>JARDÍN DE INFANTES N° 959 MADRE TERESA DE CALCUTA</t>
  </si>
  <si>
    <t>LA PLATA | JARDÍN DE INFANTES N° 960 (CUE: 60073400)</t>
  </si>
  <si>
    <t>JARDÍN DE INFANTES N° 960</t>
  </si>
  <si>
    <t>LA PLATA | JARDÍN DE INFANTES N° 961 LAS CASUARINAS (CUE: 60924100)</t>
  </si>
  <si>
    <t>JARDÍN DE INFANTES N° 961 LAS CASUARINAS</t>
  </si>
  <si>
    <t>LA PLATA | JARDÍN DE INFANTES N° 962 LOLA MORA (CUE: 60322100)</t>
  </si>
  <si>
    <t>JARDÍN DE INFANTES N° 962 LOLA MORA</t>
  </si>
  <si>
    <t>LA PLATA | JARDÍN DE INFANTES N° 963 CLAUDIA PATE (CUE: 60886800)</t>
  </si>
  <si>
    <t>JARDÍN DE INFANTES N° 963 CLAUDIA PATE</t>
  </si>
  <si>
    <t>LA PLATA | JARDÍN DE INFANTES N° 964 BENITO QUINQUELA MARTÍN (CUE: 61139100)</t>
  </si>
  <si>
    <t>JARDÍN DE INFANTES N° 964 BENITO QUINQUELA MARTÍN</t>
  </si>
  <si>
    <t>LA PLATA | JARDÍN DE INFANTES N° 965 (CUE: 60923500)</t>
  </si>
  <si>
    <t>JARDÍN DE INFANTES N° 965</t>
  </si>
  <si>
    <t>LA PLATA | JARDÍN DE INFANTES N° 966 ROBERTO T. SPERÓNI (INST. SUPERIOR) (CUE: 61203200)</t>
  </si>
  <si>
    <t>JARDÍN DE INFANTES N° 966 ROBERTO T. SPERÓNI (INST. SUPERIOR)</t>
  </si>
  <si>
    <t>LA PLATA | JARDÍN DE INFANTES N° 967 MARY O'GRAHAM (CUE: 60291700)</t>
  </si>
  <si>
    <t>JARDÍN DE INFANTES N° 967 MARY O'GRAHAM</t>
  </si>
  <si>
    <t>LA PLATA | JARDÍN DE INFANTES N° 968 DARDO ROCHA (CUE: 60883300)</t>
  </si>
  <si>
    <t>JARDÍN DE INFANTES N° 968 DARDO ROCHA</t>
  </si>
  <si>
    <t>LA PLATA | JARDÍN DE INFANTES N° 969 ALMAFUERTE (CUE: 60283400)</t>
  </si>
  <si>
    <t>JARDÍN DE INFANTES N° 969 ALMAFUERTE</t>
  </si>
  <si>
    <t>LA PLATA | JARDÍN DE INFANTES N° 970 IGNACIO CORREAS (CUE: 61281100)</t>
  </si>
  <si>
    <t>JARDÍN DE INFANTES N° 970 IGNACIO CORREAS</t>
  </si>
  <si>
    <t>LA PLATA | JARDÍN DE INFANTES N° 971 (CUE: 61268100)</t>
  </si>
  <si>
    <t>JARDÍN DE INFANTES N° 971</t>
  </si>
  <si>
    <t>LA PLATA | JARDÍN DE INFANTES N° 972 (CUE: 61281000)</t>
  </si>
  <si>
    <t>JARDÍN DE INFANTES N° 972</t>
  </si>
  <si>
    <t>LA PLATA | JARDÍN DE INFANTES N° 973 DON EMILIO HERRLEIN (CUE: 61294600)</t>
  </si>
  <si>
    <t>JARDÍN DE INFANTES N° 973 DON EMILIO HERRLEIN</t>
  </si>
  <si>
    <t>LA PLATA | JARDÍN DE INFANTES N° 974 (CUE: 61378200)</t>
  </si>
  <si>
    <t>JARDÍN DE INFANTES N° 974</t>
  </si>
  <si>
    <t>LA PLATA | JARDÍN DE INFANTES N° 975 (CUE: 61486200)</t>
  </si>
  <si>
    <t>JARDÍN DE INFANTES N° 975</t>
  </si>
  <si>
    <t>LA PLATA | JARDÍN DE INFANTES N° 976 DOLORES MORA (CUE: 61478900)</t>
  </si>
  <si>
    <t>JARDÍN DE INFANTES N° 976 DOLORES MORA</t>
  </si>
  <si>
    <t>LA PLATA | JARDÍN DE INFANTES N° 977 JOSÉ MELCHOR ROMERO (CUE: 61672000)</t>
  </si>
  <si>
    <t>JARDÍN DE INFANTES N° 977 JOSÉ MELCHOR ROMERO</t>
  </si>
  <si>
    <t>LA PLATA | JARDÍN DE INFANTES N° 978 ANTONIO BERNI (CUE: 61487100)</t>
  </si>
  <si>
    <t>JARDÍN DE INFANTES N° 978 ANTONIO BERNI</t>
  </si>
  <si>
    <t>LA PLATA | JARDÍN DE INFANTES N° 979 ROMULO MASSUCCO (CUE: 61671900)</t>
  </si>
  <si>
    <t>JARDÍN DE INFANTES N° 979 ROMULO MASSUCCO</t>
  </si>
  <si>
    <t>LA PLATA | JARDÍN DE INFANTES N° 980 BROTES DEL CEIBO (CUE: 61717300)</t>
  </si>
  <si>
    <t>JARDÍN DE INFANTES N° 980 BROTES DEL CEIBO</t>
  </si>
  <si>
    <t>LA PLATA | JARDÍN DE INFANTES N° 981 (CUE: 62243600)</t>
  </si>
  <si>
    <t>JARDÍN DE INFANTES N° 981</t>
  </si>
  <si>
    <t>LA PLATA | JARDÍN DE INFANTES N° 982 (CUE: 61717400)</t>
  </si>
  <si>
    <t>JARDÍN DE INFANTES N° 982</t>
  </si>
  <si>
    <t>LA PLATA | JARDÍN DE INFANTES N° 983 RINCÓN DE LUZ (CUE: 62069200)</t>
  </si>
  <si>
    <t>JARDÍN DE INFANTES N° 983 RINCÓN DE LUZ</t>
  </si>
  <si>
    <t>LA PLATA | JARDÍN DE INFANTES N° 984 (CUE: 62207400)</t>
  </si>
  <si>
    <t>JARDÍN DE INFANTES N° 984</t>
  </si>
  <si>
    <t>LA PLATA | JARDÍN DE INFANTES N° 985 (CUE: 62217100)</t>
  </si>
  <si>
    <t>JARDÍN DE INFANTES N° 985</t>
  </si>
  <si>
    <t>LA PLATA | JARDÍN DE INFANTES N° 986 (CUE: 62245600)</t>
  </si>
  <si>
    <t>JARDÍN DE INFANTES N° 986</t>
  </si>
  <si>
    <t>LA PLATA | JARDÍN DE INFANTES N° 987 (CUE: 62329600)</t>
  </si>
  <si>
    <t>JARDÍN DE INFANTES N° 987</t>
  </si>
  <si>
    <t>LA PLATA | JARDÍN DE INFANTES N° 988 (CUE: 61714000)</t>
  </si>
  <si>
    <t>JARDÍN DE INFANTES N° 988</t>
  </si>
  <si>
    <t>LA PLATA | JARDÍN DE INFANTES N° 989 (CUE: 62351700)</t>
  </si>
  <si>
    <t>JARDÍN DE INFANTES N° 989</t>
  </si>
  <si>
    <t>LA PLATA | JARDÍN DE INFANTES N° 990 (CUE: 62427900)</t>
  </si>
  <si>
    <t>JARDÍN DE INFANTES N° 990</t>
  </si>
  <si>
    <t>LA PLATA | JARDÍN DE INFANTES N° 991 (CUE: 62437900)</t>
  </si>
  <si>
    <t>JARDÍN DE INFANTES N° 991</t>
  </si>
  <si>
    <t>LA PLATA | JARDÍN DE INFANTES N° 992 (CUE: 62445800)</t>
  </si>
  <si>
    <t>JARDÍN DE INFANTES N° 992</t>
  </si>
  <si>
    <t>LA PLATA | JARDÍN DE INFANTES RURAL N° 1 (CUE: 62130700)</t>
  </si>
  <si>
    <t>LA PLATA | JARDÍN MATERNAL "FUNDACIÓN EMMANUEL" (CUE: 62438300)</t>
  </si>
  <si>
    <t>JARDÍN MATERNAL "FUNDACIÓN EMMANUEL"</t>
  </si>
  <si>
    <t>LA PLATA | JARDÍN MATERNAL ISLAS MALVINAS (CUE: 62086800)</t>
  </si>
  <si>
    <t>JARDÍN MATERNAL ISLAS MALVINAS</t>
  </si>
  <si>
    <t>LA PLATA | JARDÍN MATERNAL ITATI (CUE: 62218900)</t>
  </si>
  <si>
    <t>JARDÍN MATERNAL ITATI</t>
  </si>
  <si>
    <t>LA PLATA | JARDÍN MATERNAL JOSÉ HERNÁNDEZ (CUE: 62071500)</t>
  </si>
  <si>
    <t>JARDÍN MATERNAL JOSÉ HERNÁNDEZ</t>
  </si>
  <si>
    <t>LA PLATA | JARDÍN MATERNAL JUAN ENRIQUE PESTALOZZI (CUE: 62080200)</t>
  </si>
  <si>
    <t>JARDÍN MATERNAL JUAN ENRIQUE PESTALOZZI</t>
  </si>
  <si>
    <t>LA PLATA | JARDÍN MATERNAL MUNICIPAL FEDERICO A. MASPOLI (CUE: 62071800)</t>
  </si>
  <si>
    <t>JARDÍN MATERNAL MUNICIPAL FEDERICO A. MASPOLI</t>
  </si>
  <si>
    <t>LA PLATA | JARDÍN MATERNAL MUNICIPAL LUIS TOMASELLO (CUE: 62351300)</t>
  </si>
  <si>
    <t>JARDÍN MATERNAL MUNICIPAL LUIS TOMASELLO</t>
  </si>
  <si>
    <t>LA PLATA | JARDÍN MATERNAL MUNICIPAL VILLA ELVIRA (CUE: 62415700)</t>
  </si>
  <si>
    <t>JARDÍN MATERNAL MUNICIPAL VILLA ELVIRA</t>
  </si>
  <si>
    <t>LA PLATA | JARDÍN MATERNAL N° 1 MARIQUITA S. DE THOMPSON (CUE: 61498800)</t>
  </si>
  <si>
    <t>JARDÍN MATERNAL N° 1 MARIQUITA S. DE THOMPSON</t>
  </si>
  <si>
    <t>LA PLATA | JARDÍN MATERNAL N° 2 PABLO NERUDA (CUE: 61498900)</t>
  </si>
  <si>
    <t>JARDÍN MATERNAL N° 2 PABLO NERUDA</t>
  </si>
  <si>
    <t>LA PLATA | JARDÍN MATERNAL N° 3 (CUE: 62267300)</t>
  </si>
  <si>
    <t>JARDÍN MATERNAL N° 3</t>
  </si>
  <si>
    <t>LA PLATA | JARDÍN MATERNAL N° 4 (CUE: 62339200)</t>
  </si>
  <si>
    <t>JARDÍN MATERNAL N° 4</t>
  </si>
  <si>
    <t>LA PLATA | JARDÍN MATERNAL N° 5 (CUE: 62351900)</t>
  </si>
  <si>
    <t>JARDÍN MATERNAL N° 5</t>
  </si>
  <si>
    <t>LA PLATA | JARDÍN MUNICIPAL DARDO ROCHA (CUE: 60283300)</t>
  </si>
  <si>
    <t>JARDÍN MUNICIPAL DARDO ROCHA</t>
  </si>
  <si>
    <t>LA PLATA | JARDÍN MUNICIPAL N° 1 LOS HORNOS (CUE: 61139500)</t>
  </si>
  <si>
    <t>JARDÍN MUNICIPAL N° 1 LOS HORNOS</t>
  </si>
  <si>
    <t>LA PLATA | JARDÍN MUNICIPAL N° 2 (CUE: 60297500)</t>
  </si>
  <si>
    <t>JARDÍN MUNICIPAL N° 2</t>
  </si>
  <si>
    <t>LA PLATA | JARDÍN MUNICIPAL N° 3 MARIQUITA SANCHEZ (CUE: 60922500)</t>
  </si>
  <si>
    <t>JARDÍN MUNICIPAL N° 3 MARIQUITA SANCHEZ</t>
  </si>
  <si>
    <t>LA PLATA | JARDÍN MUNICIPAL N° 4 PAULO VI (CUE: 60489500)</t>
  </si>
  <si>
    <t>JARDÍN MUNICIPAL N° 4 PAULO VI</t>
  </si>
  <si>
    <t>LA PLATA | JARDÍN MUNICIPAL N° 5 ALTOS DE SAN LORENZO (CUE: 60922400)</t>
  </si>
  <si>
    <t>JARDÍN MUNICIPAL N° 5 ALTOS DE SAN LORENZO</t>
  </si>
  <si>
    <t>LA PLATA | JARDÍN MUNICIPAL N° 6 HUGO STUNZ (CUE: 61138100)</t>
  </si>
  <si>
    <t>JARDÍN MUNICIPAL N° 6 HUGO STUNZ</t>
  </si>
  <si>
    <t>LA PLATA | JARDÍN MUNICIPAL N° 7 JUAN E. PESTALOZZI (CUE: 60296100)</t>
  </si>
  <si>
    <t>JARDÍN MUNICIPAL N° 7 JUAN E. PESTALOZZI</t>
  </si>
  <si>
    <t>LA PLATA | JARDÍN MUNICIPAL N° 8 VILLA ELVIRA (CUE: 61280600)</t>
  </si>
  <si>
    <t>JARDÍN MUNICIPAL N° 8 VILLA ELVIRA</t>
  </si>
  <si>
    <t>LA PLATA | LICEO VÍCTOR MERCANTE - UNLP (CUE: 69002000)</t>
  </si>
  <si>
    <t>LICEO VÍCTOR MERCANTE - UNLP</t>
  </si>
  <si>
    <t>MAGDALENA | ANEXO I A ESCUELA DE EDUCACIÓN SECUNDARIA N° 3 (CUE: 62272501)</t>
  </si>
  <si>
    <t>MAGDALENA</t>
  </si>
  <si>
    <t>ANEXO I A ESCUELA DE EDUCACIÓN SECUNDARIA N° 3</t>
  </si>
  <si>
    <t>MAGDALENA | ANEXO N° 1 DE ESCUELA DE EDUCACIÓN SECUNDARIA N° 1 (CUE: 60678401)</t>
  </si>
  <si>
    <t>ANEXO N° 1 DE ESCUELA DE EDUCACIÓN SECUNDARIA N° 1</t>
  </si>
  <si>
    <t>MAGDALENA | ANEXO N° 2 DE ESCUELA SECUNDARIA N° 1 (CUE: 60678402)</t>
  </si>
  <si>
    <t>ANEXO N° 2 DE ESCUELA SECUNDARIA N° 1</t>
  </si>
  <si>
    <t>MAGDALENA | C.E.A.T. N° 1 DE BEBE A NIÑO (CUE: 61510300)</t>
  </si>
  <si>
    <t>C.E.A.T. N° 1 DE BEBE A NIÑO</t>
  </si>
  <si>
    <t>MAGDALENA | CENTRO DE ADULTOS N° 702/01 (CUE: 60106901)</t>
  </si>
  <si>
    <t>CENTRO DE ADULTOS N° 702/01</t>
  </si>
  <si>
    <t>MAGDALENA | CENTRO DE ADULTOS N° 703/01 (CUE: 60106902)</t>
  </si>
  <si>
    <t>CENTRO DE ADULTOS N° 703/01</t>
  </si>
  <si>
    <t>MAGDALENA | CENTRO DE EDUCACIÓN AGRÍCOLA N° 16 (CUE: 61686700)</t>
  </si>
  <si>
    <t>CENTRO DE EDUCACIÓN AGRÍCOLA N° 16</t>
  </si>
  <si>
    <t>MAGDALENA | CENTRO DE EDUCACIÓN FÍSICA N° 133 (CUE: 61639300)</t>
  </si>
  <si>
    <t>CENTRO DE EDUCACIÓN FÍSICA N° 133</t>
  </si>
  <si>
    <t>MAGDALENA | CENTRO DE FORMACIÓN PROFESIONAL N° 401 (CUE: 61590500)</t>
  </si>
  <si>
    <t>MAGDALENA | CENTRO EDUCATIVO COMPLEMENTARIO N° 1 (CUE: 61653200)</t>
  </si>
  <si>
    <t>MAGDALENA | CENTRO EDUCATIVO DE NIVEL SECUNDARIO N° 451 (CUE: 62359400)</t>
  </si>
  <si>
    <t>MAGDALENA | CENTRO EDUCATIVO DE NIVEL SECUNDARIO N° 452 (CUE: 61576900)</t>
  </si>
  <si>
    <t>MAGDALENA | CENTRO EDUCATIVO DE NIVEL SECUNDARIO N° 453 (CUE: 62411200)</t>
  </si>
  <si>
    <t>MAGDALENA | CENTRO EDUCATIVO PARA LA PRODUCCIÓN TOTAL N° 29 (CUE: 62198100)</t>
  </si>
  <si>
    <t>CENTRO EDUCATIVO PARA LA PRODUCCIÓN TOTAL N° 29</t>
  </si>
  <si>
    <t>MAGDALENA | CENTRO INVESTIGACIÓN EDUCATIVA (CUE: 62258700)</t>
  </si>
  <si>
    <t>MAGDALENA | ESCUELA DE ADULTOS N° 701 (CUE: 60106900)</t>
  </si>
  <si>
    <t>MAGDALENA | ESCUELA DE ADULTOS N° 706 (ANEXA I. P. F. F. A. A.) (CUE: 60065900)</t>
  </si>
  <si>
    <t>ESCUELA DE ADULTOS N° 706 (ANEXA I. P. F. F. A. A.)</t>
  </si>
  <si>
    <t>MAGDALENA | ESCUELA DE EDUCACIÓN ESTÉTICA (CUE: 61510200)</t>
  </si>
  <si>
    <t>MAGDALENA | ESCUELA DE EDUCACIÓN PRIMARIA DE ADULTOS N° 708 (CUE: 62402000)</t>
  </si>
  <si>
    <t>ESCUELA DE EDUCACIÓN PRIMARIA DE ADULTOS N° 708</t>
  </si>
  <si>
    <t>MAGDALENA | ESCUELA DE EDUCACIÓN PRIMARIA N° 10 JOSÉ MANUEL ESTRADA (CUE: 60067200)</t>
  </si>
  <si>
    <t>ESCUELA DE EDUCACIÓN PRIMARIA N° 10 JOSÉ MANUEL ESTRADA</t>
  </si>
  <si>
    <t>MAGDALENA | ESCUELA DE EDUCACIÓN PRIMARIA N° 11 CORONEL DE MARINA LEONARDO ROSALES (CUE: 60638200)</t>
  </si>
  <si>
    <t>ESCUELA DE EDUCACIÓN PRIMARIA N° 11 CORONEL DE MARINA LEONARDO ROSALES</t>
  </si>
  <si>
    <t>MAGDALENA | ESCUELA DE EDUCACIÓN PRIMARIA N° 12 DOMINGO FAUSTINO SARMIENTO (CUE: 60107000)</t>
  </si>
  <si>
    <t>ESCUELA DE EDUCACIÓN PRIMARIA N° 12 DOMINGO FAUSTINO SARMIENTO</t>
  </si>
  <si>
    <t>MAGDALENA | ESCUELA DE EDUCACIÓN PRIMARIA N° 14 GENERAL MANUEL BELGRANO (CUE: 60108100)</t>
  </si>
  <si>
    <t>ESCUELA DE EDUCACIÓN PRIMARIA N° 14 GENERAL MANUEL BELGRANO</t>
  </si>
  <si>
    <t>MAGDALENA | ESCUELA DE EDUCACIÓN PRIMARIA N° 16 HIPÓLITO YRIGOYEN (CUE: 60108000)</t>
  </si>
  <si>
    <t>MAGDALENA | ESCUELA DE EDUCACIÓN PRIMARIA N° 20 CESAREA LEMOS DE LACAY (CUE: 60067000)</t>
  </si>
  <si>
    <t>ESCUELA DE EDUCACIÓN PRIMARIA N° 20 CESAREA LEMOS DE LACAY</t>
  </si>
  <si>
    <t>MAGDALENA | ESCUELA DE EDUCACIÓN PRIMARIA N° 21 PAULA ALBARRACÍN (CUE: 60066900)</t>
  </si>
  <si>
    <t>ESCUELA DE EDUCACIÓN PRIMARIA N° 21 PAULA ALBARRACÍN</t>
  </si>
  <si>
    <t>MAGDALENA | ESCUELA DE EDUCACIÓN PRIMARIA N° 22 GENERAL MARTÍN MIGUEL DE GÜEMES (CUE: 60066800)</t>
  </si>
  <si>
    <t>ESCUELA DE EDUCACIÓN PRIMARIA N° 22 GENERAL MARTÍN MIGUEL DE GÜEMES</t>
  </si>
  <si>
    <t>MAGDALENA | ESCUELA DE EDUCACIÓN PRIMARIA N° 23 MARIA DEL CARMEN TRAVERSO DE CASTELLI (CUE: 60107900)</t>
  </si>
  <si>
    <t>ESCUELA DE EDUCACIÓN PRIMARIA N° 23 MARIA DEL CARMEN TRAVERSO DE CASTELLI</t>
  </si>
  <si>
    <t>MAGDALENA | ESCUELA DE EDUCACIÓN PRIMARIA N° 24 DR. PATRICIO BRENAN (CUE: 60066700)</t>
  </si>
  <si>
    <t>ESCUELA DE EDUCACIÓN PRIMARIA N° 24 DR. PATRICIO BRENAN</t>
  </si>
  <si>
    <t>MAGDALENA | ESCUELA DE EDUCACIÓN PRIMARIA N° 25 MERCEDITAS DE SAN MARTÍN (CUE: 60108500)</t>
  </si>
  <si>
    <t>ESCUELA DE EDUCACIÓN PRIMARIA N° 25 MERCEDITAS DE SAN MARTÍN</t>
  </si>
  <si>
    <t>MAGDALENA | ESCUELA DE EDUCACIÓN PRIMARIA N° 26 CONSTITUYENTES DE 1853 (CUE: 60066600)</t>
  </si>
  <si>
    <t>ESCUELA DE EDUCACIÓN PRIMARIA N° 26 CONSTITUYENTES DE 1853</t>
  </si>
  <si>
    <t>MAGDALENA | ESCUELA DE EDUCACIÓN PRIMARIA N° 27 BARTOLOMÉ MITRE (CUE: 60066300)</t>
  </si>
  <si>
    <t>ESCUELA DE EDUCACIÓN PRIMARIA N° 27 BARTOLOMÉ MITRE</t>
  </si>
  <si>
    <t>MAGDALENA | ESCUELA DE EDUCACIÓN PRIMARIA N° 3 MARIANO MORENO (CUE: 60107700)</t>
  </si>
  <si>
    <t>ESCUELA DE EDUCACIÓN PRIMARIA N° 3 MARIANO MORENO</t>
  </si>
  <si>
    <t>MAGDALENA | ESCUELA DE EDUCACIÓN PRIMARIA N° 33 FRANCISCO N. LAPRIDA (CUE: 60066500)</t>
  </si>
  <si>
    <t>ESCUELA DE EDUCACIÓN PRIMARIA N° 33 FRANCISCO N. LAPRIDA</t>
  </si>
  <si>
    <t>MAGDALENA | ESCUELA DE EDUCACIÓN PRIMARIA N° 34 MANUEL DORREGO (CUE: 60108400)</t>
  </si>
  <si>
    <t>ESCUELA DE EDUCACIÓN PRIMARIA N° 34 MANUEL DORREGO</t>
  </si>
  <si>
    <t>MAGDALENA | ESCUELA DE EDUCACIÓN PRIMARIA N° 36 PROVINCIA DE CORRIENTES (CUE: 60066400)</t>
  </si>
  <si>
    <t>ESCUELA DE EDUCACIÓN PRIMARIA N° 36 PROVINCIA DE CORRIENTES</t>
  </si>
  <si>
    <t>MAGDALENA | ESCUELA DE EDUCACIÓN PRIMARIA N° 40 GAUCHO RIVERO (CUE: 60066200)</t>
  </si>
  <si>
    <t>ESCUELA DE EDUCACIÓN PRIMARIA N° 40 GAUCHO RIVERO</t>
  </si>
  <si>
    <t>MAGDALENA | ESCUELA DE EDUCACIÓN PRIMARIA N° 5 CONFEDERACION SUIZA (CUE: 60107800)</t>
  </si>
  <si>
    <t>ESCUELA DE EDUCACIÓN PRIMARIA N° 5 CONFEDERACION SUIZA</t>
  </si>
  <si>
    <t>MAGDALENA | ESCUELA DE EDUCACIÓN PRIMARIA N° 6 GENERAL SAN MARTÍN (CUE: 60107400)</t>
  </si>
  <si>
    <t>ESCUELA DE EDUCACIÓN PRIMARIA N° 6 GENERAL SAN MARTÍN</t>
  </si>
  <si>
    <t>MAGDALENA | ESCUELA DE EDUCACIÓN PRIMARIA N° 9 CONSTANCIO C. VIGIL (CUE: 60678700)</t>
  </si>
  <si>
    <t>ESCUELA DE EDUCACIÓN PRIMARIA N° 9 CONSTANCIO C. VIGIL</t>
  </si>
  <si>
    <t>MAGDALENA | ESCUELA DE EDUCACIÓN SECUNDARIA AGRARIA N° 1 GENERAL LUCIO MANSILLA (CUE: 60678600)</t>
  </si>
  <si>
    <t>ESCUELA DE EDUCACIÓN SECUNDARIA AGRARIA N° 1 GENERAL LUCIO MANSILLA</t>
  </si>
  <si>
    <t>MAGDALENA | ESCUELA DE EDUCACIÓN SECUNDARIA N° 1 (CUE: 60678400)</t>
  </si>
  <si>
    <t>ESCUELA DE EDUCACIÓN SECUNDARIA N° 1</t>
  </si>
  <si>
    <t>MAGDALENA | ESCUELA DE EDUCACIÓN SECUNDARIA N° 3 (CUE: 62272500)</t>
  </si>
  <si>
    <t>MAGDALENA | ESCUELA DE EDUCACIÓN SECUNDARIA N° 4 (CUE: 61777600)</t>
  </si>
  <si>
    <t>MAGDALENA | ESCUELA DE EDUCACIÓN SECUNDARIA N° 5 (CUE: 61777500)</t>
  </si>
  <si>
    <t>MAGDALENA | ESCUELA DE EDUCACIÓN SECUNDARIA N° 6 (CUE: 62040500)</t>
  </si>
  <si>
    <t>MAGDALENA | ESCUELA DE EDUCACIÓN SECUNDARIA N° 7 FÉLIX ANTONIO VALENTI (CUE: 61777200)</t>
  </si>
  <si>
    <t>ESCUELA DE EDUCACIÓN SECUNDARIA N° 7 FÉLIX ANTONIO VALENTI</t>
  </si>
  <si>
    <t>MAGDALENA | ESCUELA DE EDUCACIÓN SECUNDARIA N° 8 (CUE: 61777400)</t>
  </si>
  <si>
    <t>MAGDALENA | ESCUELA DE EDUCACIÓN SECUNDARIA N° 9 (CUE: 61777700)</t>
  </si>
  <si>
    <t>MAGDALENA | ESCUELA DE EDUCACIÓN SECUNDARIA TÉCNICA N° 1 GENERAL MARIANO NECOCHEA (CUE: 60678500)</t>
  </si>
  <si>
    <t>ESCUELA DE EDUCACIÓN SECUNDARIA TÉCNICA N° 1 GENERAL MARIANO NECOCHEA</t>
  </si>
  <si>
    <t>MAGDALENA | ESCUELA ESPECIAL N° 501 ANA MARTA EYRA (CUE: 60107100)</t>
  </si>
  <si>
    <t>ESCUELA ESPECIAL N° 501 ANA MARTA EYRA</t>
  </si>
  <si>
    <t>MAGDALENA | ESCUELA PRIMARIA N° 1 PRESBITERO MANUEL ALBERTI (CUE: 60106700)</t>
  </si>
  <si>
    <t>ESCUELA PRIMARIA N° 1 PRESBITERO MANUEL ALBERTI</t>
  </si>
  <si>
    <t>MAGDALENA | EXTENSIÓN DEL ISFDYT N° 58 (CUE: 60106501)</t>
  </si>
  <si>
    <t>EXTENSIÓN DEL ISFDYT N° 58</t>
  </si>
  <si>
    <t>MAGDALENA | EXTENSIÓN N° 1 DE ESCUELA DE EDUCACIÓN SECUNDARIA N° 1 (CUE: 60678406)</t>
  </si>
  <si>
    <t>EXTENSIÓN N° 1 DE ESCUELA DE EDUCACIÓN SECUNDARIA N° 1</t>
  </si>
  <si>
    <t>MAGDALENA | INSTITUTO SUPERIOR DE FORMACIÓN DOCENTE Y TÉCNICA N° 58 (CUE: 60106500)</t>
  </si>
  <si>
    <t>INSTITUTO SUPERIOR DE FORMACIÓN DOCENTE Y TÉCNICA N° 58</t>
  </si>
  <si>
    <t>MAGDALENA | JARDÍN DE INFANTES N° 901 CARLOS PERRANLT (CUE: 60107200)</t>
  </si>
  <si>
    <t>JARDÍN DE INFANTES N° 901 CARLOS PERRANLT</t>
  </si>
  <si>
    <t>MAGDALENA | JARDÍN DE INFANTES N° 902 DR. CARLOS A. BARQUILLE (CUE: 60108300)</t>
  </si>
  <si>
    <t>JARDÍN DE INFANTES N° 902 DR. CARLOS A. BARQUILLE</t>
  </si>
  <si>
    <t>MAGDALENA | JARDÍN DE INFANTES N° 903 (CUE: 60066100)</t>
  </si>
  <si>
    <t>MAGDALENA | JARDÍN DE INFANTES N° 904 JUAN RECAGNO (CUE: 60107500)</t>
  </si>
  <si>
    <t>JARDÍN DE INFANTES N° 904 JUAN RECAGNO</t>
  </si>
  <si>
    <t>MAGDALENA | JARDÍN DE INFANTES N° 905 (CUE: 60107300)</t>
  </si>
  <si>
    <t>JARDÍN DE INFANTES N° 905</t>
  </si>
  <si>
    <t>MAGDALENA | JARDÍN DE INFANTES N° 906 (CUE: 60678800)</t>
  </si>
  <si>
    <t>JARDÍN DE INFANTES N° 906</t>
  </si>
  <si>
    <t>MAGDALENA | JARDÍN DE INFANTES N° 907 (CUE: 60678300)</t>
  </si>
  <si>
    <t>MAGDALENA | JARDÍN DE INFANTES N° 908 (CUE: 62220000)</t>
  </si>
  <si>
    <t>MAGDALENA | JARDÍN DE INFANTES N° 909 (CUE: 62163700)</t>
  </si>
  <si>
    <t>JARDÍN DE INFANTES N° 909</t>
  </si>
  <si>
    <t>MAGDALENA | JARDÍN DE INFANTES N° 910 (CUE: 62167300)</t>
  </si>
  <si>
    <t>MAGDALENA | JARDÍN DE INFANTES N° 912 (CUE: 62163800)</t>
  </si>
  <si>
    <t>MAGDALENA | JARDÍN DE INFANTES RURAL DE MATRÍCULA MÍNIMA N° 10 (CUE: 62435300)</t>
  </si>
  <si>
    <t>JARDÍN DE INFANTES RURAL DE MATRÍCULA MÍNIMA N° 10</t>
  </si>
  <si>
    <t>MAGDALENA | JARDÍN DE INFANTES RURAL DE MATRÍCULA MÍNIMA N° 11 (CUE: 62435400)</t>
  </si>
  <si>
    <t>JARDÍN DE INFANTES RURAL DE MATRÍCULA MÍNIMA N° 11</t>
  </si>
  <si>
    <t>MAGDALENA | JARDÍN DE INFANTES RURAL N° 1 (CUE: 62154700)</t>
  </si>
  <si>
    <t>MAGDALENA | JARDÍN DE INFANTES RURAL N° 4 (CUE: 62163000)</t>
  </si>
  <si>
    <t>MAGDALENA | JARDÍN DE INFANTES RURAL N° 6 (CUE: 62167600)</t>
  </si>
  <si>
    <t>JARDÍN DE INFANTES RURAL N° 6</t>
  </si>
  <si>
    <t>MAGDALENA | JARDÍN DE INFANTES RURAL N° 7 (CUE: 62058100)</t>
  </si>
  <si>
    <t>JARDÍN DE INFANTES RURAL N° 7</t>
  </si>
  <si>
    <t>MAGDALENA | JARDÍN DE INFANTES RURAL N° 8 (CUE: 62213100)</t>
  </si>
  <si>
    <t>JARDÍN DE INFANTES RURAL N° 8</t>
  </si>
  <si>
    <t>MAGDALENA | JARDÍN DE INFANTES RURAL N° 9 (CUE: 62214300)</t>
  </si>
  <si>
    <t>JARDÍN DE INFANTES RURAL N° 9</t>
  </si>
  <si>
    <t>PUNTA INDIO | CENTRO DE EDUCACIÓN FÍSICA N° 136 (CUE: 61639400)</t>
  </si>
  <si>
    <t>PUNTA INDIO</t>
  </si>
  <si>
    <t>CENTRO DE EDUCACIÓN FÍSICA N° 136</t>
  </si>
  <si>
    <t>PUNTA INDIO | CENTRO DE FORMACIÓN PROFESIONAL N° 401 (CUE: 62399200)</t>
  </si>
  <si>
    <t>PUNTA INDIO | CENTRO EDUCATIVO DE NIVEL SECUNDARIO N° 451 (CUE: 62359500)</t>
  </si>
  <si>
    <t>PUNTA INDIO | CENTRO INVESTIGACIÓN EDUCATIVA (CUE: 62264800)</t>
  </si>
  <si>
    <t>PUNTA INDIO | ESCUELA DE ADULTOS N° 701 (CUE: 60638100)</t>
  </si>
  <si>
    <t>PUNTA INDIO | ESCUELA DE EDUCACIÓN PRIMARIA N° 1 TENIENTE CORONEL RAMON MARQUEZ (CUE: 60067300)</t>
  </si>
  <si>
    <t>ESCUELA DE EDUCACIÓN PRIMARIA N° 1 TENIENTE CORONEL RAMON MARQUEZ</t>
  </si>
  <si>
    <t>PUNTA INDIO | ESCUELA DE EDUCACIÓN PRIMARIA N° 10 JUAN MARTÍN DE PUEYRREDON (CUE: 60064200)</t>
  </si>
  <si>
    <t>ESCUELA DE EDUCACIÓN PRIMARIA N° 10 JUAN MARTÍN DE PUEYRREDON</t>
  </si>
  <si>
    <t>PUNTA INDIO | ESCUELA DE EDUCACIÓN PRIMARIA N° 11 JUAN JOSÉ PASO (CUE: 60637900)</t>
  </si>
  <si>
    <t>ESCUELA DE EDUCACIÓN PRIMARIA N° 11 JUAN JOSÉ PASO</t>
  </si>
  <si>
    <t>PUNTA INDIO | ESCUELA DE EDUCACIÓN PRIMARIA N° 12 JUANA AZURDUY DE PADILLA (CUE: 60637800)</t>
  </si>
  <si>
    <t>ESCUELA DE EDUCACIÓN PRIMARIA N° 12 JUANA AZURDUY DE PADILLA</t>
  </si>
  <si>
    <t>PUNTA INDIO | ESCUELA DE EDUCACIÓN PRIMARIA N° 13 ALMAFUERTE (CUE: 60064300)</t>
  </si>
  <si>
    <t>ESCUELA DE EDUCACIÓN PRIMARIA N° 13 ALMAFUERTE</t>
  </si>
  <si>
    <t>PUNTA INDIO | ESCUELA DE EDUCACIÓN PRIMARIA N° 14 PRIMERA JUNTA (CUE: 60064900)</t>
  </si>
  <si>
    <t>ESCUELA DE EDUCACIÓN PRIMARIA N° 14 PRIMERA JUNTA</t>
  </si>
  <si>
    <t>PUNTA INDIO | ESCUELA DE EDUCACIÓN PRIMARIA N° 16 SAN RAMON (CUE: 61459300)</t>
  </si>
  <si>
    <t>ESCUELA DE EDUCACIÓN PRIMARIA N° 16 SAN RAMON</t>
  </si>
  <si>
    <t>PUNTA INDIO | ESCUELA DE EDUCACIÓN PRIMARIA N° 2 RAMON SANTAMARINA (CUE: 60064600)</t>
  </si>
  <si>
    <t>ESCUELA DE EDUCACIÓN PRIMARIA N° 2 RAMON SANTAMARINA</t>
  </si>
  <si>
    <t>PUNTA INDIO | ESCUELA DE EDUCACIÓN PRIMARIA N° 3 FLORENTINO AMEGHINO (CUE: 60064800)</t>
  </si>
  <si>
    <t>ESCUELA DE EDUCACIÓN PRIMARIA N° 3 FLORENTINO AMEGHINO</t>
  </si>
  <si>
    <t>PUNTA INDIO | ESCUELA DE EDUCACIÓN PRIMARIA N° 4 REMEDIOS DE ESCALADA DE SAN MARTÍN (CUE: 60064500)</t>
  </si>
  <si>
    <t>ESCUELA DE EDUCACIÓN PRIMARIA N° 4 REMEDIOS DE ESCALADA DE SAN MARTÍN</t>
  </si>
  <si>
    <t>PUNTA INDIO | ESCUELA DE EDUCACIÓN PRIMARIA N° 5 JUANA MANSO (CUE: 60064400)</t>
  </si>
  <si>
    <t>ESCUELA DE EDUCACIÓN PRIMARIA N° 5 JUANA MANSO</t>
  </si>
  <si>
    <t>PUNTA INDIO | ESCUELA DE EDUCACIÓN PRIMARIA N° 6 MARTÍN TORNQUIST (CUE: 60696500)</t>
  </si>
  <si>
    <t>ESCUELA DE EDUCACIÓN PRIMARIA N° 6 MARTÍN TORNQUIST</t>
  </si>
  <si>
    <t>PUNTA INDIO | ESCUELA DE EDUCACIÓN PRIMARIA N° 7 ALMIRANTE GUILLERMO BROWN (CUE: 60065000)</t>
  </si>
  <si>
    <t>ESCUELA DE EDUCACIÓN PRIMARIA N° 7 ALMIRANTE GUILLERMO BROWN</t>
  </si>
  <si>
    <t>PUNTA INDIO | ESCUELA DE EDUCACIÓN PRIMARIA N° 8 JUAN FRANCISCO JAUREGHI (CUE: 60065100)</t>
  </si>
  <si>
    <t>ESCUELA DE EDUCACIÓN PRIMARIA N° 8 JUAN FRANCISCO JAUREGHI</t>
  </si>
  <si>
    <t>PUNTA INDIO | ESCUELA DE EDUCACIÓN PRIMARIA N° 9 SARGENTO CABRAL (CUE: 60064700)</t>
  </si>
  <si>
    <t>ESCUELA DE EDUCACIÓN PRIMARIA N° 9 SARGENTO CABRAL</t>
  </si>
  <si>
    <t>PUNTA INDIO | ESCUELA DE EDUCACIÓN SECUNDARIA N° 1 (CUE: 60065200)</t>
  </si>
  <si>
    <t>PUNTA INDIO | ESCUELA DE EDUCACIÓN SECUNDARIA N° 2 (CUE: 60638000)</t>
  </si>
  <si>
    <t>ESCUELA DE EDUCACIÓN SECUNDARIA N° 2</t>
  </si>
  <si>
    <t>PUNTA INDIO | ESCUELA DE EDUCACIÓN SECUNDARIA N° 3 (CUE: 61777800)</t>
  </si>
  <si>
    <t>PUNTA INDIO | ESCUELA DE EDUCACIÓN SECUNDARIA N° 4 (CUE: 61777900)</t>
  </si>
  <si>
    <t>PUNTA INDIO | ESCUELA DE EDUCACIÓN SECUNDARIA N° 5 (CUE: 62250500)</t>
  </si>
  <si>
    <t>PUNTA INDIO | ESCUELA DE EDUCACIÓN SECUNDARIA TÉCNICA N° 1 BASE AERONAVAL PUNTA INDIO (CUE: 60638300)</t>
  </si>
  <si>
    <t>ESCUELA DE EDUCACIÓN SECUNDARIA TÉCNICA N° 1 BASE AERONAVAL PUNTA INDIO</t>
  </si>
  <si>
    <t>PUNTA INDIO | ESCUELA ESPECIAL N° 501 (A.R.S. Y R.M.) DR. RENÉ FAVALORO (CUE: 61202800)</t>
  </si>
  <si>
    <t>ESCUELA ESPECIAL N° 501 (A.R.S. Y R.M.) DR. RENÉ FAVALORO</t>
  </si>
  <si>
    <t>PUNTA INDIO | INSTITUTO SUPERIOR DE FORMACIÓN DOCENTE N° 90 (CUE: 60067400)</t>
  </si>
  <si>
    <t>INSTITUTO SUPERIOR DE FORMACIÓN DOCENTE N° 90</t>
  </si>
  <si>
    <t>PUNTA INDIO | JARDÍN DE INFANTES N° 901 ALBERT SABIN (CUE: 60065500)</t>
  </si>
  <si>
    <t>JARDÍN DE INFANTES N° 901 ALBERT SABIN</t>
  </si>
  <si>
    <t>PUNTA INDIO | JARDÍN DE INFANTES N° 902 DOMINGO FAUSTINO SARMIENTO (CUE: 60065600)</t>
  </si>
  <si>
    <t>JARDÍN DE INFANTES N° 902 DOMINGO FAUSTINO SARMIENTO</t>
  </si>
  <si>
    <t>PUNTA INDIO | JARDÍN DE INFANTES N° 903 SERVANDO VIDELA (CUE: 60065700)</t>
  </si>
  <si>
    <t>JARDÍN DE INFANTES N° 903 SERVANDO VIDELA</t>
  </si>
  <si>
    <t>PUNTA INDIO | JARDÍN DE INFANTES N° 904 DR. ALEJANDRO E. SHAW (CUE: 60065800)</t>
  </si>
  <si>
    <t>JARDÍN DE INFANTES N° 904 DR. ALEJANDRO E. SHAW</t>
  </si>
  <si>
    <t>PUNTA INDIO | JARDÍN DE INFANTES RURAL N° 1 LUJAN DEL RIO (CUE: 62127400)</t>
  </si>
  <si>
    <t>JARDÍN DE INFANTES RURAL N° 1 LUJAN DEL RIO</t>
  </si>
  <si>
    <t>PUNTA INDIO | JARDÍN DE INFANTES RURAL N° 2 (CUE: 62160700)</t>
  </si>
  <si>
    <t>PUNTA INDIO | JARDÍN DE INFANTES RURAL N° 3 (CUE: 62218700)</t>
  </si>
  <si>
    <t>PUNTA INDIO | JARDÍN DE INFANTES RURAL N° 4 (CUE: 62218800)</t>
  </si>
  <si>
    <t>PUNTA INDIO | JARDÍN DE INFANTES RURAL N° 5 (CUE: 62290000)</t>
  </si>
  <si>
    <t>PUNTA INDIO | JARDÍN MATERNAL N° 1 (CUE: 62459500)</t>
  </si>
  <si>
    <t>JARDÍN MATERNAL N° 1</t>
  </si>
  <si>
    <t>👥 RANKING DE GRUPOS</t>
  </si>
  <si>
    <t>Rol Semana Actual</t>
  </si>
  <si>
    <t>Sesiones Asistidas</t>
  </si>
  <si>
    <t>Puntos por Asistencia</t>
  </si>
  <si>
    <t>Puntos Producción Grupal</t>
  </si>
  <si>
    <t>Puntos Territorio (Individual)</t>
  </si>
  <si>
    <t>Producción Grupal Territorio</t>
  </si>
  <si>
    <t>Desempeño Individual</t>
  </si>
  <si>
    <t>Puntos Totales Acumulados</t>
  </si>
  <si>
    <t>Valoración / Rango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</si>
</sst>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0.0%"/>
  </numFmts>
  <fonts count="49">
    <font>
      <sz val="11.0"/>
      <color theme="1"/>
      <name val="Calibri"/>
      <scheme val="minor"/>
    </font>
    <font>
      <b/>
      <sz val="12.0"/>
      <color rgb="FFFFFFFF"/>
      <name val="Encode Sans"/>
    </font>
    <font/>
    <font>
      <b/>
      <sz val="16.0"/>
      <color rgb="FFFFFFFF"/>
      <name val="Encode Sans"/>
    </font>
    <font>
      <b/>
      <sz val="13.0"/>
      <color rgb="FFFFFFFF"/>
      <name val="Encode Sans"/>
    </font>
    <font>
      <color theme="1"/>
      <name val="Encode Sans"/>
    </font>
    <font>
      <sz val="9.0"/>
      <color theme="1"/>
      <name val="Encode Sans"/>
    </font>
    <font>
      <i/>
      <sz val="8.0"/>
      <color rgb="FFFFFFFF"/>
      <name val="Encode Sans"/>
    </font>
    <font>
      <sz val="11.0"/>
      <color theme="1"/>
      <name val="Encode Sans"/>
    </font>
    <font>
      <i/>
      <sz val="9.0"/>
      <color rgb="FFFFFFFF"/>
      <name val="Encode Sans"/>
    </font>
    <font>
      <b/>
      <color rgb="FF00AEC3"/>
      <name val="Encode Sans"/>
    </font>
    <font>
      <b/>
      <sz val="9.0"/>
      <color rgb="FFFFFFFF"/>
      <name val="Encode Sans"/>
    </font>
    <font>
      <i/>
      <sz val="10.0"/>
      <color rgb="FFFFFFFF"/>
      <name val="Encode Sans"/>
    </font>
    <font>
      <b/>
      <sz val="10.0"/>
      <color rgb="FFFFFFFF"/>
      <name val="Encode Sans"/>
    </font>
    <font>
      <b/>
      <sz val="9.0"/>
      <color rgb="FF000000"/>
      <name val="Encode Sans"/>
    </font>
    <font>
      <sz val="9.0"/>
      <color rgb="FF000000"/>
      <name val="Encode Sans"/>
    </font>
    <font>
      <sz val="10.0"/>
      <color theme="1"/>
      <name val="Encode Sans"/>
    </font>
    <font>
      <sz val="9.0"/>
      <color rgb="FF2E6DA4"/>
      <name val="Encode Sans"/>
    </font>
    <font>
      <b/>
      <sz val="9.0"/>
      <color rgb="FF00AEC3"/>
      <name val="Encode Sans"/>
    </font>
    <font>
      <b/>
      <sz val="9.0"/>
      <color rgb="FFE81F76"/>
      <name val="Encode Sans"/>
    </font>
    <font>
      <sz val="8.0"/>
      <color theme="1"/>
      <name val="Encode Sans"/>
    </font>
    <font>
      <sz val="9.0"/>
      <color rgb="FF5492D8"/>
      <name val="Encode Sans"/>
    </font>
    <font>
      <b/>
      <sz val="9.0"/>
      <color rgb="FF2E6DA4"/>
      <name val="Encode Sans"/>
    </font>
    <font>
      <b/>
      <sz val="11.0"/>
      <color rgb="FF00AEC3"/>
      <name val="Encode Sans"/>
    </font>
    <font>
      <b/>
      <sz val="10.0"/>
      <color rgb="FF000000"/>
      <name val="Encode Sans"/>
    </font>
    <font>
      <b/>
      <sz val="10.0"/>
      <color rgb="FF1A3A5C"/>
      <name val="Encode Sans"/>
    </font>
    <font>
      <b/>
      <sz val="14.0"/>
      <color rgb="FFFFFFFF"/>
      <name val="Encode Sans"/>
    </font>
    <font>
      <b/>
      <sz val="9.0"/>
      <color theme="0"/>
      <name val="Encode Sans"/>
    </font>
    <font>
      <sz val="9.0"/>
      <color rgb="FFFFFFFF"/>
      <name val="Encode Sans"/>
    </font>
    <font>
      <b/>
      <sz val="11.0"/>
      <color rgb="FFE81F76"/>
      <name val="Encode Sans"/>
    </font>
    <font>
      <sz val="11.0"/>
      <color rgb="FFE81F76"/>
      <name val="Encode Sans"/>
    </font>
    <font>
      <b/>
      <sz val="22.0"/>
      <color rgb="FF2E6DA4"/>
      <name val="Encode Sans"/>
    </font>
    <font>
      <b/>
      <sz val="22.0"/>
      <color rgb="FF4A90D9"/>
      <name val="Encode Sans"/>
    </font>
    <font>
      <b/>
      <sz val="22.0"/>
      <color rgb="FFED7D31"/>
      <name val="Encode Sans"/>
    </font>
    <font>
      <b/>
      <sz val="22.0"/>
      <color rgb="FF70AD47"/>
      <name val="Encode Sans"/>
    </font>
    <font>
      <b/>
      <sz val="22.0"/>
      <color rgb="FFC00000"/>
      <name val="Encode Sans"/>
    </font>
    <font>
      <b/>
      <sz val="22.0"/>
      <color rgb="FF1A3A5C"/>
      <name val="Encode Sans"/>
    </font>
    <font>
      <b/>
      <sz val="11.0"/>
      <color theme="0"/>
      <name val="Encode Sans"/>
    </font>
    <font>
      <b/>
      <sz val="14.0"/>
      <color rgb="FF000000"/>
      <name val="Encode Sans"/>
    </font>
    <font>
      <b/>
      <color rgb="FFFFFFFF"/>
      <name val="Encode Sans"/>
    </font>
    <font>
      <b/>
      <sz val="14.0"/>
      <color rgb="FFED7D31"/>
      <name val="Encode Sans"/>
    </font>
    <font>
      <sz val="11.0"/>
      <color theme="1"/>
      <name val="Calibri"/>
    </font>
    <font>
      <b/>
      <sz val="11.0"/>
      <color rgb="FFFFFFFF"/>
      <name val="Encode Sans"/>
    </font>
    <font>
      <b/>
      <sz val="11.0"/>
      <color theme="1"/>
      <name val="Cambria"/>
    </font>
    <font>
      <b/>
      <sz val="10.0"/>
      <color theme="1"/>
      <name val="Encode Sans"/>
    </font>
    <font>
      <color theme="1"/>
      <name val="Calibri"/>
      <scheme val="minor"/>
    </font>
    <font>
      <b/>
      <sz val="9.0"/>
      <color theme="1"/>
      <name val="Encode Sans"/>
    </font>
    <font>
      <sz val="11.0"/>
      <color theme="0"/>
      <name val="Encode Sans"/>
    </font>
    <font>
      <sz val="11.0"/>
      <color rgb="FFFFFFFF"/>
      <name val="Encode Sans"/>
    </font>
  </fonts>
  <fills count="35">
    <fill>
      <patternFill patternType="none"/>
    </fill>
    <fill>
      <patternFill patternType="lightGray"/>
    </fill>
    <fill>
      <patternFill patternType="solid">
        <fgColor rgb="FF00AEC3"/>
        <bgColor rgb="FF00AEC3"/>
      </patternFill>
    </fill>
    <fill>
      <patternFill patternType="solid">
        <fgColor rgb="FF417099"/>
        <bgColor rgb="FF417099"/>
      </patternFill>
    </fill>
    <fill>
      <patternFill patternType="solid">
        <fgColor rgb="FFE81F76"/>
        <bgColor rgb="FFE81F7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BDD7EE"/>
        <bgColor rgb="FFBDD7EE"/>
      </patternFill>
    </fill>
    <fill>
      <patternFill patternType="solid">
        <fgColor rgb="FFE2EFDA"/>
        <bgColor rgb="FFE2EFDA"/>
      </patternFill>
    </fill>
    <fill>
      <patternFill patternType="solid">
        <fgColor rgb="FFFFE0E0"/>
        <bgColor rgb="FFFFE0E0"/>
      </patternFill>
    </fill>
    <fill>
      <patternFill patternType="solid">
        <fgColor rgb="FFFFF2CC"/>
        <bgColor rgb="FFFFF2CC"/>
      </patternFill>
    </fill>
    <fill>
      <patternFill patternType="solid">
        <fgColor rgb="FFDAEEF3"/>
        <bgColor rgb="FFDAEEF3"/>
      </patternFill>
    </fill>
    <fill>
      <patternFill patternType="solid">
        <fgColor rgb="FFE0F7FA"/>
        <bgColor rgb="FFE0F7FA"/>
      </patternFill>
    </fill>
    <fill>
      <patternFill patternType="solid">
        <fgColor rgb="FFEAD1F5"/>
        <bgColor rgb="FFEAD1F5"/>
      </patternFill>
    </fill>
    <fill>
      <patternFill patternType="solid">
        <fgColor rgb="FFE8D8F5"/>
        <bgColor rgb="FFE8D8F5"/>
      </patternFill>
    </fill>
    <fill>
      <patternFill patternType="solid">
        <fgColor rgb="FFF3F3F3"/>
        <bgColor rgb="FFF3F3F3"/>
      </patternFill>
    </fill>
    <fill>
      <patternFill patternType="solid">
        <fgColor rgb="FF5492D8"/>
        <bgColor rgb="FF5492D8"/>
      </patternFill>
    </fill>
    <fill>
      <patternFill patternType="solid">
        <fgColor rgb="FFD1AB1C"/>
        <bgColor rgb="FFD1AB1C"/>
      </patternFill>
    </fill>
    <fill>
      <patternFill patternType="solid">
        <fgColor rgb="FFBA5925"/>
        <bgColor rgb="FFBA5925"/>
      </patternFill>
    </fill>
    <fill>
      <patternFill patternType="solid">
        <fgColor rgb="FF592F8B"/>
        <bgColor rgb="FF592F8B"/>
      </patternFill>
    </fill>
    <fill>
      <patternFill patternType="solid">
        <fgColor rgb="FF2E7A8C"/>
        <bgColor rgb="FF2E7A8C"/>
      </patternFill>
    </fill>
    <fill>
      <patternFill patternType="solid">
        <fgColor rgb="FF478A3C"/>
        <bgColor rgb="FF478A3C"/>
      </patternFill>
    </fill>
    <fill>
      <patternFill patternType="solid">
        <fgColor rgb="FF285D22"/>
        <bgColor rgb="FF285D22"/>
      </patternFill>
    </fill>
    <fill>
      <patternFill patternType="solid">
        <fgColor rgb="FFB90000"/>
        <bgColor rgb="FFB90000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2E6DA4"/>
        <bgColor rgb="FF2E6DA4"/>
      </patternFill>
    </fill>
    <fill>
      <patternFill patternType="solid">
        <fgColor rgb="FF70AD47"/>
        <bgColor rgb="FF70AD47"/>
      </patternFill>
    </fill>
    <fill>
      <patternFill patternType="solid">
        <fgColor rgb="FFFFD966"/>
        <bgColor rgb="FFFFD966"/>
      </patternFill>
    </fill>
    <fill>
      <patternFill patternType="solid">
        <fgColor rgb="FFED7D31"/>
        <bgColor rgb="FFED7D31"/>
      </patternFill>
    </fill>
    <fill>
      <patternFill patternType="solid">
        <fgColor rgb="FF7030A0"/>
        <bgColor rgb="FF7030A0"/>
      </patternFill>
    </fill>
    <fill>
      <patternFill patternType="solid">
        <fgColor rgb="FFD9EAD3"/>
        <bgColor rgb="FFD9EAD3"/>
      </patternFill>
    </fill>
    <fill>
      <patternFill patternType="solid">
        <fgColor rgb="FF4A90D9"/>
        <bgColor rgb="FF4A90D9"/>
      </patternFill>
    </fill>
    <fill>
      <patternFill patternType="solid">
        <fgColor rgb="FFC00000"/>
        <bgColor rgb="FFC00000"/>
      </patternFill>
    </fill>
    <fill>
      <patternFill patternType="solid">
        <fgColor rgb="FF1A3A5C"/>
        <bgColor rgb="FF1A3A5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/>
      <right/>
      <top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</borders>
  <cellStyleXfs count="1">
    <xf borderId="0" fillId="0" fontId="0" numFmtId="0" applyAlignment="1" applyFont="1"/>
  </cellStyleXfs>
  <cellXfs count="3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2" fontId="3" numFmtId="0" xfId="0" applyAlignment="1" applyFont="1">
      <alignment horizontal="center" shrinkToFit="0" vertical="center" wrapText="0"/>
    </xf>
    <xf borderId="1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shrinkToFit="0" vertical="bottom" wrapText="0"/>
    </xf>
    <xf borderId="0" fillId="0" fontId="6" numFmtId="0" xfId="0" applyFont="1"/>
    <xf borderId="0" fillId="2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vertical="center"/>
    </xf>
    <xf borderId="1" fillId="3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8" numFmtId="0" xfId="0" applyAlignment="1" applyFont="1">
      <alignment shrinkToFit="0" vertical="bottom" wrapText="0"/>
    </xf>
    <xf borderId="0" fillId="0" fontId="5" numFmtId="164" xfId="0" applyAlignment="1" applyFont="1" applyNumberFormat="1">
      <alignment horizontal="center" vertical="center"/>
    </xf>
    <xf borderId="0" fillId="0" fontId="5" numFmtId="0" xfId="0" applyAlignment="1" applyFont="1">
      <alignment horizontal="left" vertical="center"/>
    </xf>
    <xf borderId="0" fillId="4" fontId="6" numFmtId="0" xfId="0" applyFill="1" applyFont="1"/>
    <xf borderId="0" fillId="0" fontId="5" numFmtId="0" xfId="0" applyAlignment="1" applyFont="1">
      <alignment horizontal="left" shrinkToFit="0" vertical="center" wrapText="1"/>
    </xf>
    <xf borderId="0" fillId="4" fontId="6" numFmtId="164" xfId="0" applyFont="1" applyNumberFormat="1"/>
    <xf borderId="0" fillId="0" fontId="5" numFmtId="0" xfId="0" applyFont="1"/>
    <xf borderId="0" fillId="3" fontId="6" numFmtId="0" xfId="0" applyAlignment="1" applyFont="1">
      <alignment shrinkToFit="0" vertical="bottom" wrapText="0"/>
    </xf>
    <xf borderId="4" fillId="3" fontId="11" numFmtId="0" xfId="0" applyAlignment="1" applyBorder="1" applyFont="1">
      <alignment horizontal="center" shrinkToFit="0" vertical="center" wrapText="1"/>
    </xf>
    <xf borderId="1" fillId="3" fontId="12" numFmtId="0" xfId="0" applyAlignment="1" applyBorder="1" applyFont="1">
      <alignment horizontal="center" shrinkToFit="0" vertical="center" wrapText="1"/>
    </xf>
    <xf borderId="5" fillId="3" fontId="13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5" fillId="3" fontId="13" numFmtId="164" xfId="0" applyAlignment="1" applyBorder="1" applyFont="1" applyNumberFormat="1">
      <alignment horizontal="center" shrinkToFit="0" vertical="center" wrapText="1"/>
    </xf>
    <xf borderId="4" fillId="5" fontId="14" numFmtId="0" xfId="0" applyAlignment="1" applyBorder="1" applyFill="1" applyFont="1">
      <alignment horizontal="left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center" shrinkToFit="0" vertical="center" wrapText="1"/>
    </xf>
    <xf borderId="4" fillId="4" fontId="11" numFmtId="164" xfId="0" applyAlignment="1" applyBorder="1" applyFont="1" applyNumberForma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0"/>
    </xf>
    <xf borderId="4" fillId="3" fontId="13" numFmtId="164" xfId="0" applyAlignment="1" applyBorder="1" applyFont="1" applyNumberFormat="1">
      <alignment horizontal="center" shrinkToFit="0" vertical="center" wrapText="1"/>
    </xf>
    <xf borderId="4" fillId="6" fontId="14" numFmtId="0" xfId="0" applyAlignment="1" applyBorder="1" applyFill="1" applyFont="1">
      <alignment horizontal="left" shrinkToFit="0" vertical="center" wrapText="1"/>
    </xf>
    <xf borderId="4" fillId="3" fontId="13" numFmtId="49" xfId="0" applyAlignment="1" applyBorder="1" applyFont="1" applyNumberFormat="1">
      <alignment horizontal="center" shrinkToFit="0" vertical="center" wrapText="1"/>
    </xf>
    <xf borderId="4" fillId="6" fontId="15" numFmtId="0" xfId="0" applyAlignment="1" applyBorder="1" applyFont="1">
      <alignment horizontal="left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center" readingOrder="0" shrinkToFit="0" vertical="center" wrapText="1"/>
    </xf>
    <xf borderId="4" fillId="7" fontId="14" numFmtId="164" xfId="0" applyAlignment="1" applyBorder="1" applyFill="1" applyFont="1" applyNumberFormat="1">
      <alignment horizontal="center" shrinkToFit="0" vertical="center" wrapText="1"/>
    </xf>
    <xf borderId="4" fillId="3" fontId="13" numFmtId="0" xfId="0" applyAlignment="1" applyBorder="1" applyFont="1">
      <alignment horizontal="center" shrinkToFit="0" vertical="center" wrapText="0"/>
    </xf>
    <xf borderId="4" fillId="7" fontId="1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right" shrinkToFit="0" vertical="center" wrapText="0"/>
    </xf>
    <xf borderId="0" fillId="0" fontId="16" numFmtId="0" xfId="0" applyAlignment="1" applyFont="1">
      <alignment horizontal="center" shrinkToFit="0" vertical="bottom" wrapText="0"/>
    </xf>
    <xf borderId="0" fillId="0" fontId="16" numFmtId="0" xfId="0" applyAlignment="1" applyFont="1">
      <alignment horizontal="center"/>
    </xf>
    <xf borderId="4" fillId="7" fontId="15" numFmtId="0" xfId="0" applyAlignment="1" applyBorder="1" applyFont="1">
      <alignment horizontal="center" shrinkToFit="0" vertical="center" wrapText="1"/>
    </xf>
    <xf borderId="4" fillId="6" fontId="17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horizontal="center" readingOrder="0" shrinkToFit="0" vertical="center" wrapText="0"/>
    </xf>
    <xf borderId="4" fillId="6" fontId="14" numFmtId="0" xfId="0" applyAlignment="1" applyBorder="1" applyFont="1">
      <alignment horizontal="left" readingOrder="0" shrinkToFit="0" vertical="center" wrapText="1"/>
    </xf>
    <xf borderId="4" fillId="6" fontId="15" numFmtId="0" xfId="0" applyAlignment="1" applyBorder="1" applyFont="1">
      <alignment horizontal="left" readingOrder="0" shrinkToFit="0" vertical="center" wrapText="1"/>
    </xf>
    <xf borderId="4" fillId="7" fontId="19" numFmtId="0" xfId="0" applyAlignment="1" applyBorder="1" applyFont="1">
      <alignment horizontal="center" shrinkToFit="0" vertical="center" wrapText="1"/>
    </xf>
    <xf borderId="5" fillId="0" fontId="20" numFmtId="0" xfId="0" applyAlignment="1" applyBorder="1" applyFont="1">
      <alignment horizontal="left" readingOrder="0" shrinkToFit="0" vertical="center" wrapText="0"/>
    </xf>
    <xf borderId="4" fillId="8" fontId="14" numFmtId="0" xfId="0" applyAlignment="1" applyBorder="1" applyFill="1" applyFont="1">
      <alignment horizontal="center" shrinkToFit="0" vertical="center" wrapText="1"/>
    </xf>
    <xf borderId="4" fillId="6" fontId="15" numFmtId="164" xfId="0" applyAlignment="1" applyBorder="1" applyFont="1" applyNumberFormat="1">
      <alignment horizontal="center" shrinkToFit="0" vertical="center" wrapText="1"/>
    </xf>
    <xf borderId="4" fillId="6" fontId="15" numFmtId="49" xfId="0" applyAlignment="1" applyBorder="1" applyFont="1" applyNumberFormat="1">
      <alignment horizontal="center" shrinkToFit="0" vertical="center" wrapText="1"/>
    </xf>
    <xf borderId="4" fillId="9" fontId="14" numFmtId="0" xfId="0" applyAlignment="1" applyBorder="1" applyFill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4" fillId="10" fontId="14" numFmtId="9" xfId="0" applyAlignment="1" applyBorder="1" applyFill="1" applyFont="1" applyNumberFormat="1">
      <alignment horizontal="center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11" fontId="14" numFmtId="164" xfId="0" applyAlignment="1" applyBorder="1" applyFill="1" applyFont="1" applyNumberFormat="1">
      <alignment horizontal="center" shrinkToFit="0" vertical="center" wrapText="1"/>
    </xf>
    <xf borderId="4" fillId="11" fontId="14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center" readingOrder="0" shrinkToFit="0" vertical="center" wrapText="0"/>
    </xf>
    <xf borderId="6" fillId="5" fontId="15" numFmtId="0" xfId="0" applyAlignment="1" applyBorder="1" applyFont="1">
      <alignment horizontal="left" readingOrder="0" shrinkToFit="0" vertical="center" wrapText="1"/>
    </xf>
    <xf borderId="4" fillId="11" fontId="15" numFmtId="0" xfId="0" applyAlignment="1" applyBorder="1" applyFont="1">
      <alignment horizontal="center" shrinkToFit="0" vertical="center" wrapText="1"/>
    </xf>
    <xf borderId="7" fillId="5" fontId="2" numFmtId="0" xfId="0" applyBorder="1" applyFont="1"/>
    <xf borderId="8" fillId="5" fontId="2" numFmtId="0" xfId="0" applyBorder="1" applyFont="1"/>
    <xf borderId="5" fillId="0" fontId="6" numFmtId="0" xfId="0" applyAlignment="1" applyBorder="1" applyFont="1">
      <alignment horizontal="left" readingOrder="0" shrinkToFit="0" vertical="center" wrapText="1"/>
    </xf>
    <xf borderId="6" fillId="12" fontId="15" numFmtId="0" xfId="0" applyAlignment="1" applyBorder="1" applyFill="1" applyFont="1">
      <alignment horizontal="left" readingOrder="0" shrinkToFit="0" vertical="center" wrapText="1"/>
    </xf>
    <xf borderId="7" fillId="12" fontId="2" numFmtId="0" xfId="0" applyBorder="1" applyFont="1"/>
    <xf borderId="4" fillId="6" fontId="15" numFmtId="0" xfId="0" applyAlignment="1" applyBorder="1" applyFont="1">
      <alignment horizontal="left" shrinkToFit="0" vertical="center" wrapText="0"/>
    </xf>
    <xf borderId="8" fillId="12" fontId="2" numFmtId="0" xfId="0" applyBorder="1" applyFont="1"/>
    <xf borderId="4" fillId="11" fontId="14" numFmtId="164" xfId="0" applyAlignment="1" applyBorder="1" applyFont="1" applyNumberFormat="1">
      <alignment horizontal="center" readingOrder="0" shrinkToFit="0" vertical="center" wrapText="1"/>
    </xf>
    <xf borderId="4" fillId="11" fontId="14" numFmtId="0" xfId="0" applyAlignment="1" applyBorder="1" applyFont="1">
      <alignment horizontal="center" readingOrder="0" shrinkToFit="0" vertical="center" wrapText="1"/>
    </xf>
    <xf borderId="4" fillId="11" fontId="15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left" readingOrder="0" shrinkToFit="0" vertical="center" wrapText="0"/>
    </xf>
    <xf borderId="4" fillId="6" fontId="14" numFmtId="49" xfId="0" applyAlignment="1" applyBorder="1" applyFont="1" applyNumberFormat="1">
      <alignment horizontal="left" shrinkToFit="0" vertical="center" wrapText="1"/>
    </xf>
    <xf borderId="4" fillId="7" fontId="14" numFmtId="164" xfId="0" applyAlignment="1" applyBorder="1" applyFont="1" applyNumberFormat="1">
      <alignment horizontal="center" readingOrder="0" shrinkToFit="0" vertical="center" wrapText="1"/>
    </xf>
    <xf borderId="4" fillId="7" fontId="14" numFmtId="0" xfId="0" applyAlignment="1" applyBorder="1" applyFont="1">
      <alignment horizontal="center" readingOrder="0" shrinkToFit="0" vertical="center" wrapText="1"/>
    </xf>
    <xf borderId="4" fillId="7" fontId="15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shrinkToFit="0" vertical="bottom" wrapText="0"/>
    </xf>
    <xf borderId="0" fillId="0" fontId="9" numFmtId="0" xfId="0" applyAlignment="1" applyFont="1">
      <alignment horizontal="center" shrinkToFit="0" vertical="center" wrapText="0"/>
    </xf>
    <xf borderId="0" fillId="0" fontId="16" numFmtId="0" xfId="0" applyFont="1"/>
    <xf borderId="4" fillId="5" fontId="15" numFmtId="164" xfId="0" applyAlignment="1" applyBorder="1" applyFont="1" applyNumberFormat="1">
      <alignment horizontal="center" shrinkToFit="0" vertical="center" wrapText="1"/>
    </xf>
    <xf borderId="5" fillId="0" fontId="20" numFmtId="0" xfId="0" applyAlignment="1" applyBorder="1" applyFont="1">
      <alignment horizontal="left" readingOrder="0" shrinkToFit="0" vertical="center" wrapText="0"/>
    </xf>
    <xf borderId="4" fillId="5" fontId="15" numFmtId="49" xfId="0" applyAlignment="1" applyBorder="1" applyFont="1" applyNumberFormat="1">
      <alignment horizontal="center" shrinkToFit="0" vertical="center" wrapText="1"/>
    </xf>
    <xf borderId="4" fillId="0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center" shrinkToFit="0" vertical="center" wrapText="1"/>
    </xf>
    <xf borderId="4" fillId="5" fontId="15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0"/>
    </xf>
    <xf borderId="4" fillId="0" fontId="15" numFmtId="0" xfId="0" applyAlignment="1" applyBorder="1" applyFont="1">
      <alignment horizontal="left" shrinkToFit="0" vertical="center" wrapText="1"/>
    </xf>
    <xf borderId="0" fillId="0" fontId="6" numFmtId="165" xfId="0" applyAlignment="1" applyFont="1" applyNumberFormat="1">
      <alignment readingOrder="0"/>
    </xf>
    <xf borderId="4" fillId="5" fontId="15" numFmtId="0" xfId="0" applyAlignment="1" applyBorder="1" applyFont="1">
      <alignment horizontal="left" readingOrder="0" shrinkToFit="0" vertical="center" wrapText="1"/>
    </xf>
    <xf borderId="4" fillId="6" fontId="15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left" readingOrder="0" shrinkToFit="0" vertical="center" wrapText="0"/>
    </xf>
    <xf borderId="4" fillId="6" fontId="15" numFmtId="0" xfId="0" applyAlignment="1" applyBorder="1" applyFont="1">
      <alignment horizontal="left" readingOrder="0" shrinkToFit="0" vertical="center" wrapText="1"/>
    </xf>
    <xf borderId="4" fillId="5" fontId="15" numFmtId="0" xfId="0" applyAlignment="1" applyBorder="1" applyFont="1">
      <alignment horizontal="center" readingOrder="0" shrinkToFit="0" vertical="center" wrapText="1"/>
    </xf>
    <xf borderId="4" fillId="5" fontId="15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horizontal="center" readingOrder="0" vertical="center"/>
    </xf>
    <xf borderId="4" fillId="6" fontId="15" numFmtId="164" xfId="0" applyAlignment="1" applyBorder="1" applyFont="1" applyNumberFormat="1">
      <alignment horizontal="center" readingOrder="0" shrinkToFit="0" vertical="center" wrapText="1"/>
    </xf>
    <xf borderId="4" fillId="6" fontId="15" numFmtId="49" xfId="0" applyAlignment="1" applyBorder="1" applyFont="1" applyNumberFormat="1">
      <alignment horizontal="center" readingOrder="0" shrinkToFit="0" vertical="center" wrapText="1"/>
    </xf>
    <xf borderId="4" fillId="5" fontId="15" numFmtId="164" xfId="0" applyAlignment="1" applyBorder="1" applyFont="1" applyNumberFormat="1">
      <alignment horizontal="center" readingOrder="0" shrinkToFit="0" vertical="center" wrapText="1"/>
    </xf>
    <xf borderId="4" fillId="5" fontId="15" numFmtId="49" xfId="0" applyAlignment="1" applyBorder="1" applyFont="1" applyNumberFormat="1">
      <alignment horizontal="center" readingOrder="0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4" fillId="6" fontId="21" numFmtId="0" xfId="0" applyAlignment="1" applyBorder="1" applyFont="1">
      <alignment horizontal="left" readingOrder="0" shrinkToFit="0" vertical="center" wrapText="1"/>
    </xf>
    <xf borderId="1" fillId="3" fontId="6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center" readingOrder="0" shrinkToFit="0" vertical="center" wrapText="1"/>
    </xf>
    <xf borderId="4" fillId="3" fontId="11" numFmtId="164" xfId="0" applyAlignment="1" applyBorder="1" applyFont="1" applyNumberFormat="1">
      <alignment horizontal="center" shrinkToFit="0" vertical="center" wrapText="1"/>
    </xf>
    <xf borderId="4" fillId="13" fontId="14" numFmtId="164" xfId="0" applyAlignment="1" applyBorder="1" applyFill="1" applyFont="1" applyNumberFormat="1">
      <alignment horizontal="center" shrinkToFit="0" vertical="center" wrapText="1"/>
    </xf>
    <xf borderId="4" fillId="13" fontId="14" numFmtId="0" xfId="0" applyAlignment="1" applyBorder="1" applyFont="1">
      <alignment horizontal="center" shrinkToFit="0" vertical="center" wrapText="1"/>
    </xf>
    <xf borderId="4" fillId="13" fontId="15" numFmtId="0" xfId="0" applyAlignment="1" applyBorder="1" applyFont="1">
      <alignment horizontal="center" shrinkToFit="0" vertical="center" wrapText="1"/>
    </xf>
    <xf borderId="4" fillId="14" fontId="14" numFmtId="164" xfId="0" applyAlignment="1" applyBorder="1" applyFill="1" applyFont="1" applyNumberFormat="1">
      <alignment horizontal="center" shrinkToFit="0" vertical="center" wrapText="1"/>
    </xf>
    <xf borderId="4" fillId="14" fontId="14" numFmtId="0" xfId="0" applyAlignment="1" applyBorder="1" applyFont="1">
      <alignment horizontal="center" shrinkToFit="0" vertical="center" wrapText="1"/>
    </xf>
    <xf borderId="4" fillId="14" fontId="15" numFmtId="0" xfId="0" applyAlignment="1" applyBorder="1" applyFont="1">
      <alignment horizontal="center" shrinkToFit="0" vertical="center" wrapText="1"/>
    </xf>
    <xf borderId="4" fillId="14" fontId="14" numFmtId="164" xfId="0" applyAlignment="1" applyBorder="1" applyFont="1" applyNumberFormat="1">
      <alignment horizontal="center" readingOrder="0" shrinkToFit="0" vertical="center" wrapText="1"/>
    </xf>
    <xf borderId="4" fillId="14" fontId="14" numFmtId="0" xfId="0" applyAlignment="1" applyBorder="1" applyFont="1">
      <alignment horizontal="center" readingOrder="0" shrinkToFit="0" vertical="center" wrapText="1"/>
    </xf>
    <xf borderId="4" fillId="14" fontId="15" numFmtId="0" xfId="0" applyAlignment="1" applyBorder="1" applyFont="1">
      <alignment horizontal="center" readingOrder="0" shrinkToFit="0" vertical="center" wrapText="1"/>
    </xf>
    <xf borderId="4" fillId="13" fontId="14" numFmtId="164" xfId="0" applyAlignment="1" applyBorder="1" applyFont="1" applyNumberFormat="1">
      <alignment horizontal="center" readingOrder="0" shrinkToFit="0" vertical="center" wrapText="1"/>
    </xf>
    <xf borderId="4" fillId="13" fontId="14" numFmtId="0" xfId="0" applyAlignment="1" applyBorder="1" applyFont="1">
      <alignment horizontal="center" readingOrder="0" shrinkToFit="0" vertical="center" wrapText="1"/>
    </xf>
    <xf borderId="4" fillId="13" fontId="15" numFmtId="0" xfId="0" applyAlignment="1" applyBorder="1" applyFont="1">
      <alignment horizontal="center" readingOrder="0" shrinkToFit="0" vertical="center" wrapText="1"/>
    </xf>
    <xf borderId="4" fillId="13" fontId="14" numFmtId="165" xfId="0" applyAlignment="1" applyBorder="1" applyFont="1" applyNumberFormat="1">
      <alignment horizontal="center" readingOrder="0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0"/>
    </xf>
    <xf borderId="5" fillId="0" fontId="20" numFmtId="0" xfId="0" applyAlignment="1" applyBorder="1" applyFont="1">
      <alignment horizontal="left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4" fillId="5" fontId="6" numFmtId="49" xfId="0" applyAlignment="1" applyBorder="1" applyFont="1" applyNumberFormat="1">
      <alignment horizontal="center" readingOrder="0"/>
    </xf>
    <xf borderId="4" fillId="6" fontId="6" numFmtId="49" xfId="0" applyAlignment="1" applyBorder="1" applyFont="1" applyNumberFormat="1">
      <alignment horizontal="center" readingOrder="0"/>
    </xf>
    <xf borderId="0" fillId="0" fontId="6" numFmtId="164" xfId="0" applyFont="1" applyNumberFormat="1"/>
    <xf borderId="0" fillId="0" fontId="16" numFmtId="0" xfId="0" applyAlignment="1" applyFont="1">
      <alignment readingOrder="0" shrinkToFit="0" vertical="bottom" wrapText="0"/>
    </xf>
    <xf borderId="4" fillId="6" fontId="17" numFmtId="0" xfId="0" applyAlignment="1" applyBorder="1" applyFont="1">
      <alignment horizontal="center" readingOrder="0" shrinkToFit="0" vertical="center" wrapText="1"/>
    </xf>
    <xf borderId="4" fillId="15" fontId="6" numFmtId="49" xfId="0" applyAlignment="1" applyBorder="1" applyFill="1" applyFont="1" applyNumberFormat="1">
      <alignment horizontal="center" readingOrder="0" vertical="center"/>
    </xf>
    <xf borderId="4" fillId="5" fontId="15" numFmtId="165" xfId="0" applyAlignment="1" applyBorder="1" applyFont="1" applyNumberFormat="1">
      <alignment horizontal="center" readingOrder="0" shrinkToFit="0" vertical="center" wrapText="1"/>
    </xf>
    <xf borderId="4" fillId="5" fontId="6" numFmtId="164" xfId="0" applyAlignment="1" applyBorder="1" applyFont="1" applyNumberFormat="1">
      <alignment horizontal="center" readingOrder="0" vertical="center"/>
    </xf>
    <xf borderId="4" fillId="5" fontId="6" numFmtId="49" xfId="0" applyAlignment="1" applyBorder="1" applyFont="1" applyNumberFormat="1">
      <alignment horizontal="left" readingOrder="0" vertical="center"/>
    </xf>
    <xf borderId="0" fillId="0" fontId="6" numFmtId="0" xfId="0" applyAlignment="1" applyFont="1">
      <alignment shrinkToFit="0" vertical="bottom" wrapText="0"/>
    </xf>
    <xf borderId="4" fillId="7" fontId="22" numFmtId="0" xfId="0" applyAlignment="1" applyBorder="1" applyFon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49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49" xfId="0" applyAlignment="1" applyFont="1" applyNumberForma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164" xfId="0" applyAlignment="1" applyFont="1" applyNumberFormat="1">
      <alignment horizontal="center" shrinkToFit="0" vertical="bottom" wrapText="0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8" numFmtId="49" xfId="0" applyAlignment="1" applyFont="1" applyNumberFormat="1">
      <alignment horizontal="left" shrinkToFit="0" vertical="bottom" wrapText="0"/>
    </xf>
    <xf borderId="4" fillId="7" fontId="22" numFmtId="0" xfId="0" applyAlignment="1" applyBorder="1" applyFont="1">
      <alignment horizontal="center" shrinkToFit="0" vertical="center" wrapText="1"/>
    </xf>
    <xf borderId="0" fillId="0" fontId="8" numFmtId="164" xfId="0" applyAlignment="1" applyFont="1" applyNumberFormat="1">
      <alignment horizontal="center" shrinkToFit="0" vertical="bottom" wrapText="0"/>
    </xf>
    <xf borderId="0" fillId="0" fontId="8" numFmtId="49" xfId="0" applyAlignment="1" applyFont="1" applyNumberFormat="1">
      <alignment horizontal="center" shrinkToFit="0" vertical="bottom" wrapText="0"/>
    </xf>
    <xf borderId="0" fillId="0" fontId="8" numFmtId="0" xfId="0" applyAlignment="1" applyFont="1">
      <alignment horizontal="center" shrinkToFit="0" vertical="bottom" wrapText="0"/>
    </xf>
    <xf borderId="0" fillId="0" fontId="8" numFmtId="49" xfId="0" applyAlignment="1" applyFont="1" applyNumberFormat="1">
      <alignment horizontal="left" shrinkToFit="0" vertical="bottom" wrapText="0"/>
    </xf>
    <xf borderId="5" fillId="0" fontId="8" numFmtId="0" xfId="0" applyAlignment="1" applyBorder="1" applyFont="1">
      <alignment horizontal="right" shrinkToFit="0" vertical="center" wrapText="0"/>
    </xf>
    <xf borderId="5" fillId="0" fontId="8" numFmtId="164" xfId="0" applyAlignment="1" applyBorder="1" applyFont="1" applyNumberFormat="1">
      <alignment horizontal="center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5" fillId="0" fontId="8" numFmtId="0" xfId="0" applyAlignment="1" applyBorder="1" applyFont="1">
      <alignment horizontal="center" shrinkToFit="0" vertical="center" wrapText="0"/>
    </xf>
    <xf borderId="5" fillId="0" fontId="8" numFmtId="0" xfId="0" applyAlignment="1" applyBorder="1" applyFont="1">
      <alignment horizontal="left" shrinkToFit="0" vertical="center" wrapText="1"/>
    </xf>
    <xf borderId="5" fillId="0" fontId="23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vertical="center" wrapText="0"/>
    </xf>
    <xf borderId="4" fillId="6" fontId="15" numFmtId="49" xfId="0" applyAlignment="1" applyBorder="1" applyFont="1" applyNumberFormat="1">
      <alignment horizontal="left" shrinkToFit="0" vertical="center" wrapText="1"/>
    </xf>
    <xf borderId="4" fillId="6" fontId="19" numFmtId="0" xfId="0" applyAlignment="1" applyBorder="1" applyFont="1">
      <alignment horizontal="center" shrinkToFit="0" vertical="center" wrapText="1"/>
    </xf>
    <xf borderId="4" fillId="5" fontId="15" numFmtId="49" xfId="0" applyAlignment="1" applyBorder="1" applyFont="1" applyNumberFormat="1">
      <alignment horizontal="left" shrinkToFit="0" vertical="center" wrapText="1"/>
    </xf>
    <xf borderId="4" fillId="5" fontId="19" numFmtId="0" xfId="0" applyAlignment="1" applyBorder="1" applyFont="1">
      <alignment horizontal="center" shrinkToFit="0" vertical="center" wrapText="1"/>
    </xf>
    <xf borderId="0" fillId="15" fontId="6" numFmtId="0" xfId="0" applyAlignment="1" applyFont="1">
      <alignment shrinkToFit="0" vertical="center" wrapText="0"/>
    </xf>
    <xf borderId="4" fillId="6" fontId="19" numFmtId="0" xfId="0" applyAlignment="1" applyBorder="1" applyFont="1">
      <alignment horizontal="center" readingOrder="0" shrinkToFit="0" vertical="center" wrapText="1"/>
    </xf>
    <xf borderId="4" fillId="6" fontId="15" numFmtId="49" xfId="0" applyAlignment="1" applyBorder="1" applyFont="1" applyNumberFormat="1">
      <alignment horizontal="left" readingOrder="0" shrinkToFit="0" vertical="center" wrapText="1"/>
    </xf>
    <xf borderId="4" fillId="5" fontId="15" numFmtId="49" xfId="0" applyAlignment="1" applyBorder="1" applyFont="1" applyNumberFormat="1">
      <alignment horizontal="left" readingOrder="0" shrinkToFit="0" vertical="center" wrapText="1"/>
    </xf>
    <xf borderId="4" fillId="5" fontId="19" numFmtId="0" xfId="0" applyAlignment="1" applyBorder="1" applyFont="1">
      <alignment horizontal="center" readingOrder="0" shrinkToFit="0" vertical="center" wrapText="1"/>
    </xf>
    <xf borderId="0" fillId="0" fontId="8" numFmtId="49" xfId="0" applyAlignment="1" applyFont="1" applyNumberFormat="1">
      <alignment shrinkToFit="0" vertical="bottom" wrapText="0"/>
    </xf>
    <xf borderId="4" fillId="16" fontId="13" numFmtId="49" xfId="0" applyAlignment="1" applyBorder="1" applyFill="1" applyFont="1" applyNumberFormat="1">
      <alignment horizontal="center" shrinkToFit="0" vertical="center" wrapText="1"/>
    </xf>
    <xf borderId="4" fillId="17" fontId="13" numFmtId="49" xfId="0" applyAlignment="1" applyBorder="1" applyFill="1" applyFont="1" applyNumberFormat="1">
      <alignment horizontal="center" shrinkToFit="0" vertical="center" wrapText="1"/>
    </xf>
    <xf borderId="4" fillId="18" fontId="13" numFmtId="49" xfId="0" applyAlignment="1" applyBorder="1" applyFill="1" applyFont="1" applyNumberFormat="1">
      <alignment horizontal="center" shrinkToFit="0" vertical="center" wrapText="1"/>
    </xf>
    <xf borderId="4" fillId="19" fontId="13" numFmtId="49" xfId="0" applyAlignment="1" applyBorder="1" applyFill="1" applyFont="1" applyNumberFormat="1">
      <alignment horizontal="center" shrinkToFit="0" vertical="center" wrapText="1"/>
    </xf>
    <xf borderId="4" fillId="20" fontId="13" numFmtId="49" xfId="0" applyAlignment="1" applyBorder="1" applyFill="1" applyFont="1" applyNumberFormat="1">
      <alignment horizontal="center" shrinkToFit="0" vertical="center" wrapText="1"/>
    </xf>
    <xf borderId="4" fillId="21" fontId="13" numFmtId="49" xfId="0" applyAlignment="1" applyBorder="1" applyFill="1" applyFont="1" applyNumberFormat="1">
      <alignment horizontal="center" shrinkToFit="0" vertical="center" wrapText="1"/>
    </xf>
    <xf borderId="4" fillId="22" fontId="13" numFmtId="49" xfId="0" applyAlignment="1" applyBorder="1" applyFill="1" applyFont="1" applyNumberFormat="1">
      <alignment horizontal="center" shrinkToFit="0" vertical="center" wrapText="1"/>
    </xf>
    <xf borderId="4" fillId="23" fontId="13" numFmtId="49" xfId="0" applyAlignment="1" applyBorder="1" applyFill="1" applyFont="1" applyNumberForma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4" fillId="7" fontId="25" numFmtId="49" xfId="0" applyAlignment="1" applyBorder="1" applyFont="1" applyNumberFormat="1">
      <alignment horizontal="center" shrinkToFit="0" vertical="center" wrapText="1"/>
    </xf>
    <xf borderId="4" fillId="10" fontId="25" numFmtId="49" xfId="0" applyAlignment="1" applyBorder="1" applyFont="1" applyNumberFormat="1">
      <alignment horizontal="center" shrinkToFit="0" vertical="center" wrapText="1"/>
    </xf>
    <xf borderId="4" fillId="24" fontId="25" numFmtId="49" xfId="0" applyAlignment="1" applyBorder="1" applyFill="1" applyFont="1" applyNumberFormat="1">
      <alignment horizontal="center" shrinkToFit="0" vertical="center" wrapText="1"/>
    </xf>
    <xf borderId="4" fillId="13" fontId="25" numFmtId="49" xfId="0" applyAlignment="1" applyBorder="1" applyFont="1" applyNumberFormat="1">
      <alignment horizontal="center" shrinkToFit="0" vertical="center" wrapText="1"/>
    </xf>
    <xf borderId="4" fillId="11" fontId="25" numFmtId="49" xfId="0" applyAlignment="1" applyBorder="1" applyFont="1" applyNumberFormat="1">
      <alignment horizontal="center" shrinkToFit="0" vertical="center" wrapText="1"/>
    </xf>
    <xf borderId="4" fillId="8" fontId="25" numFmtId="49" xfId="0" applyAlignment="1" applyBorder="1" applyFont="1" applyNumberFormat="1">
      <alignment horizontal="center" shrinkToFit="0" vertical="center" wrapText="1"/>
    </xf>
    <xf borderId="4" fillId="25" fontId="25" numFmtId="49" xfId="0" applyAlignment="1" applyBorder="1" applyFill="1" applyFont="1" applyNumberFormat="1">
      <alignment horizontal="center" shrinkToFit="0" vertical="center" wrapText="1"/>
    </xf>
    <xf borderId="4" fillId="9" fontId="25" numFmtId="49" xfId="0" applyAlignment="1" applyBorder="1" applyFont="1" applyNumberFormat="1">
      <alignment horizontal="center" shrinkToFit="0" vertical="center" wrapText="1"/>
    </xf>
    <xf borderId="4" fillId="7" fontId="15" numFmtId="49" xfId="0" applyAlignment="1" applyBorder="1" applyFont="1" applyNumberFormat="1">
      <alignment horizontal="center" readingOrder="0" shrinkToFit="0" vertical="center" wrapText="1"/>
    </xf>
    <xf borderId="4" fillId="10" fontId="15" numFmtId="49" xfId="0" applyAlignment="1" applyBorder="1" applyFont="1" applyNumberFormat="1">
      <alignment horizontal="center" readingOrder="0" shrinkToFit="0" vertical="center" wrapText="1"/>
    </xf>
    <xf borderId="4" fillId="24" fontId="15" numFmtId="49" xfId="0" applyAlignment="1" applyBorder="1" applyFont="1" applyNumberFormat="1">
      <alignment horizontal="center" readingOrder="0" shrinkToFit="0" vertical="center" wrapText="1"/>
    </xf>
    <xf borderId="4" fillId="13" fontId="15" numFmtId="49" xfId="0" applyAlignment="1" applyBorder="1" applyFont="1" applyNumberFormat="1">
      <alignment horizontal="center" readingOrder="0" shrinkToFit="0" vertical="center" wrapText="1"/>
    </xf>
    <xf borderId="4" fillId="11" fontId="15" numFmtId="49" xfId="0" applyAlignment="1" applyBorder="1" applyFont="1" applyNumberFormat="1">
      <alignment horizontal="center" readingOrder="0" shrinkToFit="0" vertical="center" wrapText="1"/>
    </xf>
    <xf borderId="4" fillId="8" fontId="15" numFmtId="49" xfId="0" applyAlignment="1" applyBorder="1" applyFont="1" applyNumberFormat="1">
      <alignment horizontal="center" readingOrder="0" shrinkToFit="0" vertical="center" wrapText="1"/>
    </xf>
    <xf borderId="4" fillId="25" fontId="15" numFmtId="49" xfId="0" applyAlignment="1" applyBorder="1" applyFont="1" applyNumberFormat="1">
      <alignment horizontal="center" readingOrder="0" shrinkToFit="0" vertical="center" wrapText="1"/>
    </xf>
    <xf borderId="4" fillId="9" fontId="15" numFmtId="49" xfId="0" applyAlignment="1" applyBorder="1" applyFont="1" applyNumberFormat="1">
      <alignment horizontal="center" readingOrder="0" shrinkToFit="0" vertical="center" wrapText="1"/>
    </xf>
    <xf borderId="4" fillId="10" fontId="15" numFmtId="49" xfId="0" applyAlignment="1" applyBorder="1" applyFont="1" applyNumberFormat="1">
      <alignment horizontal="center" shrinkToFit="0" vertical="center" wrapText="1"/>
    </xf>
    <xf borderId="4" fillId="11" fontId="15" numFmtId="49" xfId="0" applyAlignment="1" applyBorder="1" applyFont="1" applyNumberFormat="1">
      <alignment horizontal="center" shrinkToFit="0" vertical="center" wrapText="1"/>
    </xf>
    <xf borderId="4" fillId="8" fontId="15" numFmtId="49" xfId="0" applyAlignment="1" applyBorder="1" applyFont="1" applyNumberFormat="1">
      <alignment horizontal="center" shrinkToFit="0" vertical="center" wrapText="1"/>
    </xf>
    <xf borderId="4" fillId="24" fontId="15" numFmtId="49" xfId="0" applyAlignment="1" applyBorder="1" applyFont="1" applyNumberFormat="1">
      <alignment horizontal="center" shrinkToFit="0" vertical="center" wrapText="1"/>
    </xf>
    <xf borderId="4" fillId="7" fontId="15" numFmtId="49" xfId="0" applyAlignment="1" applyBorder="1" applyFont="1" applyNumberFormat="1">
      <alignment horizontal="center" shrinkToFit="0" vertical="center" wrapText="1"/>
    </xf>
    <xf borderId="4" fillId="9" fontId="15" numFmtId="49" xfId="0" applyAlignment="1" applyBorder="1" applyFont="1" applyNumberFormat="1">
      <alignment horizontal="center" shrinkToFit="0" vertical="center" wrapText="1"/>
    </xf>
    <xf borderId="9" fillId="25" fontId="15" numFmtId="49" xfId="0" applyAlignment="1" applyBorder="1" applyFont="1" applyNumberFormat="1">
      <alignment horizontal="center" readingOrder="0" shrinkToFit="0" vertical="center" wrapText="1"/>
    </xf>
    <xf borderId="9" fillId="7" fontId="15" numFmtId="49" xfId="0" applyAlignment="1" applyBorder="1" applyFont="1" applyNumberFormat="1">
      <alignment horizontal="center" shrinkToFit="0" vertical="center" wrapText="1"/>
    </xf>
    <xf borderId="9" fillId="10" fontId="15" numFmtId="49" xfId="0" applyAlignment="1" applyBorder="1" applyFont="1" applyNumberFormat="1">
      <alignment horizontal="center" shrinkToFit="0" vertical="center" wrapText="1"/>
    </xf>
    <xf borderId="9" fillId="24" fontId="15" numFmtId="49" xfId="0" applyAlignment="1" applyBorder="1" applyFont="1" applyNumberFormat="1">
      <alignment horizontal="center" shrinkToFit="0" vertical="center" wrapText="1"/>
    </xf>
    <xf borderId="9" fillId="13" fontId="15" numFmtId="49" xfId="0" applyAlignment="1" applyBorder="1" applyFont="1" applyNumberFormat="1">
      <alignment horizontal="center" readingOrder="0" shrinkToFit="0" vertical="center" wrapText="1"/>
    </xf>
    <xf borderId="9" fillId="11" fontId="15" numFmtId="49" xfId="0" applyAlignment="1" applyBorder="1" applyFont="1" applyNumberFormat="1">
      <alignment horizontal="center" shrinkToFit="0" vertical="center" wrapText="1"/>
    </xf>
    <xf borderId="9" fillId="8" fontId="15" numFmtId="49" xfId="0" applyAlignment="1" applyBorder="1" applyFont="1" applyNumberFormat="1">
      <alignment horizontal="center" shrinkToFit="0" vertical="center" wrapText="1"/>
    </xf>
    <xf borderId="10" fillId="25" fontId="15" numFmtId="49" xfId="0" applyAlignment="1" applyBorder="1" applyFont="1" applyNumberFormat="1">
      <alignment horizontal="center" readingOrder="0" shrinkToFit="0" vertical="center" wrapText="1"/>
    </xf>
    <xf borderId="9" fillId="9" fontId="15" numFmtId="49" xfId="0" applyAlignment="1" applyBorder="1" applyFont="1" applyNumberFormat="1">
      <alignment horizontal="center" shrinkToFit="0" vertical="center" wrapText="1"/>
    </xf>
    <xf borderId="10" fillId="7" fontId="15" numFmtId="49" xfId="0" applyAlignment="1" applyBorder="1" applyFont="1" applyNumberFormat="1">
      <alignment horizontal="center" shrinkToFit="0" vertical="center" wrapText="1"/>
    </xf>
    <xf borderId="10" fillId="10" fontId="15" numFmtId="49" xfId="0" applyAlignment="1" applyBorder="1" applyFont="1" applyNumberFormat="1">
      <alignment horizontal="center" shrinkToFit="0" vertical="center" wrapText="1"/>
    </xf>
    <xf borderId="10" fillId="24" fontId="15" numFmtId="49" xfId="0" applyAlignment="1" applyBorder="1" applyFont="1" applyNumberFormat="1">
      <alignment horizontal="center" shrinkToFit="0" vertical="center" wrapText="1"/>
    </xf>
    <xf borderId="10" fillId="13" fontId="15" numFmtId="49" xfId="0" applyAlignment="1" applyBorder="1" applyFont="1" applyNumberFormat="1">
      <alignment horizontal="center" readingOrder="0" shrinkToFit="0" vertical="center" wrapText="1"/>
    </xf>
    <xf borderId="10" fillId="11" fontId="15" numFmtId="49" xfId="0" applyAlignment="1" applyBorder="1" applyFont="1" applyNumberFormat="1">
      <alignment horizontal="center" shrinkToFit="0" vertical="center" wrapText="1"/>
    </xf>
    <xf borderId="10" fillId="8" fontId="15" numFmtId="49" xfId="0" applyAlignment="1" applyBorder="1" applyFont="1" applyNumberFormat="1">
      <alignment horizontal="center" shrinkToFit="0" vertical="center" wrapText="1"/>
    </xf>
    <xf borderId="10" fillId="9" fontId="15" numFmtId="49" xfId="0" applyAlignment="1" applyBorder="1" applyFont="1" applyNumberFormat="1">
      <alignment horizontal="center" shrinkToFit="0" vertical="center" wrapText="1"/>
    </xf>
    <xf borderId="10" fillId="9" fontId="15" numFmtId="49" xfId="0" applyAlignment="1" applyBorder="1" applyFont="1" applyNumberFormat="1">
      <alignment horizontal="center" readingOrder="0" shrinkToFit="0" vertical="center" wrapText="1"/>
    </xf>
    <xf borderId="4" fillId="6" fontId="6" numFmtId="49" xfId="0" applyAlignment="1" applyBorder="1" applyFont="1" applyNumberFormat="1">
      <alignment horizontal="left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left" vertical="center"/>
    </xf>
    <xf borderId="4" fillId="6" fontId="6" numFmtId="0" xfId="0" applyAlignment="1" applyBorder="1" applyFont="1">
      <alignment horizontal="left" readingOrder="0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19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readingOrder="0" vertical="center"/>
    </xf>
    <xf borderId="4" fillId="6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left" vertical="center"/>
    </xf>
    <xf borderId="4" fillId="5" fontId="6" numFmtId="0" xfId="0" applyAlignment="1" applyBorder="1" applyFont="1">
      <alignment horizontal="left" readingOrder="0" vertical="center"/>
    </xf>
    <xf borderId="4" fillId="5" fontId="6" numFmtId="0" xfId="0" applyAlignment="1" applyBorder="1" applyFont="1">
      <alignment horizontal="center" readingOrder="0" vertical="center"/>
    </xf>
    <xf borderId="4" fillId="5" fontId="19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readingOrder="0" vertical="center"/>
    </xf>
    <xf borderId="1" fillId="2" fontId="2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vertical="center"/>
    </xf>
    <xf borderId="4" fillId="3" fontId="11" numFmtId="0" xfId="0" applyAlignment="1" applyBorder="1" applyFont="1">
      <alignment horizontal="center" readingOrder="0" shrinkToFit="0" vertical="center" wrapText="1"/>
    </xf>
    <xf borderId="4" fillId="6" fontId="15" numFmtId="0" xfId="0" applyAlignment="1" applyBorder="1" applyFont="1">
      <alignment horizontal="center" shrinkToFit="0" vertical="center" wrapText="1"/>
    </xf>
    <xf borderId="4" fillId="4" fontId="27" numFmtId="0" xfId="0" applyAlignment="1" applyBorder="1" applyFont="1">
      <alignment horizontal="center" shrinkToFit="0" vertical="center" wrapText="1"/>
    </xf>
    <xf borderId="4" fillId="26" fontId="11" numFmtId="0" xfId="0" applyAlignment="1" applyBorder="1" applyFill="1" applyFont="1">
      <alignment horizontal="center" shrinkToFit="0" vertical="center" wrapText="1"/>
    </xf>
    <xf borderId="4" fillId="27" fontId="28" numFmtId="0" xfId="0" applyAlignment="1" applyBorder="1" applyFill="1" applyFont="1">
      <alignment horizontal="center" shrinkToFit="0" vertical="center" wrapText="1"/>
    </xf>
    <xf borderId="4" fillId="8" fontId="15" numFmtId="0" xfId="0" applyAlignment="1" applyBorder="1" applyFont="1">
      <alignment horizontal="center" shrinkToFit="0" vertical="center" wrapText="1"/>
    </xf>
    <xf borderId="4" fillId="28" fontId="15" numFmtId="0" xfId="0" applyAlignment="1" applyBorder="1" applyFill="1" applyFont="1">
      <alignment horizontal="center" shrinkToFit="0" vertical="center" wrapText="1"/>
    </xf>
    <xf borderId="4" fillId="29" fontId="28" numFmtId="0" xfId="0" applyAlignment="1" applyBorder="1" applyFill="1" applyFont="1">
      <alignment horizontal="center" shrinkToFit="0" vertical="center" wrapText="1"/>
    </xf>
    <xf borderId="4" fillId="30" fontId="28" numFmtId="0" xfId="0" applyAlignment="1" applyBorder="1" applyFill="1" applyFon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4" fillId="31" fontId="15" numFmtId="0" xfId="0" applyAlignment="1" applyBorder="1" applyFill="1" applyFont="1">
      <alignment horizontal="center" shrinkToFit="0" vertical="center" wrapText="1"/>
    </xf>
    <xf borderId="0" fillId="0" fontId="6" numFmtId="0" xfId="0" applyAlignment="1" applyFont="1">
      <alignment readingOrder="0" vertical="center"/>
    </xf>
    <xf borderId="1" fillId="26" fontId="11" numFmtId="0" xfId="0" applyAlignment="1" applyBorder="1" applyFont="1">
      <alignment horizontal="center" shrinkToFit="0" vertical="center" wrapText="1"/>
    </xf>
    <xf borderId="6" fillId="6" fontId="15" numFmtId="0" xfId="0" applyAlignment="1" applyBorder="1" applyFont="1">
      <alignment horizontal="left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27" fontId="11" numFmtId="0" xfId="0" applyAlignment="1" applyBorder="1" applyFont="1">
      <alignment horizontal="center" shrinkToFit="0" vertical="center" wrapText="1"/>
    </xf>
    <xf borderId="4" fillId="28" fontId="14" numFmtId="0" xfId="0" applyAlignment="1" applyBorder="1" applyFont="1">
      <alignment horizontal="center" shrinkToFit="0" vertical="center" wrapText="1"/>
    </xf>
    <xf borderId="4" fillId="29" fontId="11" numFmtId="0" xfId="0" applyAlignment="1" applyBorder="1" applyFont="1">
      <alignment horizontal="center" shrinkToFit="0" vertical="center" wrapText="1"/>
    </xf>
    <xf borderId="4" fillId="30" fontId="11" numFmtId="0" xfId="0" applyAlignment="1" applyBorder="1" applyFont="1">
      <alignment horizontal="center" shrinkToFit="0" vertical="center" wrapText="1"/>
    </xf>
    <xf borderId="4" fillId="15" fontId="6" numFmtId="49" xfId="0" applyAlignment="1" applyBorder="1" applyFont="1" applyNumberFormat="1">
      <alignment horizontal="left" readingOrder="0" vertical="center"/>
    </xf>
    <xf borderId="4" fillId="15" fontId="6" numFmtId="0" xfId="0" applyAlignment="1" applyBorder="1" applyFont="1">
      <alignment horizontal="center" readingOrder="0" vertical="center"/>
    </xf>
    <xf borderId="4" fillId="15" fontId="6" numFmtId="0" xfId="0" applyAlignment="1" applyBorder="1" applyFont="1">
      <alignment horizontal="left" readingOrder="0" vertical="center"/>
    </xf>
    <xf borderId="4" fillId="15" fontId="6" numFmtId="164" xfId="0" applyAlignment="1" applyBorder="1" applyFont="1" applyNumberFormat="1">
      <alignment horizontal="center" readingOrder="0" vertical="center"/>
    </xf>
    <xf borderId="4" fillId="15" fontId="19" numFmtId="0" xfId="0" applyAlignment="1" applyBorder="1" applyFont="1">
      <alignment horizontal="center" readingOrder="0" vertical="center"/>
    </xf>
    <xf borderId="4" fillId="15" fontId="6" numFmtId="0" xfId="0" applyAlignment="1" applyBorder="1" applyFont="1">
      <alignment readingOrder="0" vertical="center"/>
    </xf>
    <xf borderId="4" fillId="15" fontId="6" numFmtId="0" xfId="0" applyAlignment="1" applyBorder="1" applyFont="1">
      <alignment vertical="center"/>
    </xf>
    <xf borderId="0" fillId="0" fontId="6" numFmtId="164" xfId="0" applyAlignment="1" applyFont="1" applyNumberFormat="1">
      <alignment horizontal="center" readingOrder="0" vertical="center"/>
    </xf>
    <xf borderId="4" fillId="15" fontId="6" numFmtId="0" xfId="0" applyAlignment="1" applyBorder="1" applyFont="1">
      <alignment horizontal="left" vertical="center"/>
    </xf>
    <xf borderId="4" fillId="15" fontId="6" numFmtId="165" xfId="0" applyAlignment="1" applyBorder="1" applyFont="1" applyNumberFormat="1">
      <alignment horizontal="center" readingOrder="0" vertical="center"/>
    </xf>
    <xf borderId="4" fillId="5" fontId="6" numFmtId="165" xfId="0" applyAlignment="1" applyBorder="1" applyFont="1" applyNumberFormat="1">
      <alignment horizontal="center" readingOrder="0" vertical="center"/>
    </xf>
    <xf borderId="4" fillId="15" fontId="6" numFmtId="49" xfId="0" applyAlignment="1" applyBorder="1" applyFont="1" applyNumberFormat="1">
      <alignment horizontal="left" vertical="center"/>
    </xf>
    <xf borderId="4" fillId="15" fontId="6" numFmtId="0" xfId="0" applyAlignment="1" applyBorder="1" applyFont="1">
      <alignment horizontal="center" vertical="center"/>
    </xf>
    <xf borderId="4" fillId="15" fontId="6" numFmtId="164" xfId="0" applyAlignment="1" applyBorder="1" applyFont="1" applyNumberFormat="1">
      <alignment horizontal="center" vertical="center"/>
    </xf>
    <xf borderId="4" fillId="15" fontId="19" numFmtId="0" xfId="0" applyAlignment="1" applyBorder="1" applyFont="1">
      <alignment horizontal="center" vertical="center"/>
    </xf>
    <xf borderId="4" fillId="5" fontId="6" numFmtId="49" xfId="0" applyAlignment="1" applyBorder="1" applyFont="1" applyNumberFormat="1">
      <alignment horizontal="left" vertical="center"/>
    </xf>
    <xf borderId="4" fillId="5" fontId="6" numFmtId="0" xfId="0" applyAlignment="1" applyBorder="1" applyFont="1">
      <alignment horizontal="center" vertical="center"/>
    </xf>
    <xf borderId="4" fillId="5" fontId="6" numFmtId="164" xfId="0" applyAlignment="1" applyBorder="1" applyFont="1" applyNumberFormat="1">
      <alignment horizontal="center" vertical="center"/>
    </xf>
    <xf borderId="4" fillId="5" fontId="19" numFmtId="0" xfId="0" applyAlignment="1" applyBorder="1" applyFont="1">
      <alignment horizontal="center" vertical="center"/>
    </xf>
    <xf borderId="0" fillId="0" fontId="6" numFmtId="0" xfId="0" applyAlignment="1" applyFont="1">
      <alignment shrinkToFit="0" vertical="center" wrapText="0"/>
    </xf>
    <xf borderId="0" fillId="0" fontId="6" numFmtId="49" xfId="0" applyAlignment="1" applyFont="1" applyNumberForma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164" xfId="0" applyAlignment="1" applyFont="1" applyNumberFormat="1">
      <alignment horizontal="center" shrinkToFit="0" vertical="center" wrapText="0"/>
    </xf>
    <xf borderId="0" fillId="0" fontId="19" numFmtId="0" xfId="0" applyAlignment="1" applyFont="1">
      <alignment horizontal="center" shrinkToFit="0" vertical="center" wrapText="0"/>
    </xf>
    <xf borderId="0" fillId="0" fontId="8" numFmtId="49" xfId="0" applyAlignment="1" applyFont="1" applyNumberFormat="1">
      <alignment horizontal="left" shrinkToFit="0" vertical="center" wrapText="0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0"/>
    </xf>
    <xf borderId="0" fillId="0" fontId="8" numFmtId="0" xfId="0" applyAlignment="1" applyFont="1">
      <alignment horizontal="left" shrinkToFit="0" vertical="center" wrapText="0"/>
    </xf>
    <xf borderId="0" fillId="0" fontId="8" numFmtId="164" xfId="0" applyAlignment="1" applyFont="1" applyNumberFormat="1">
      <alignment horizontal="center" shrinkToFit="0" vertical="center" wrapText="0"/>
    </xf>
    <xf borderId="0" fillId="0" fontId="29" numFmtId="0" xfId="0" applyAlignment="1" applyFont="1">
      <alignment horizontal="center" shrinkToFit="0" vertical="center" wrapText="0"/>
    </xf>
    <xf borderId="0" fillId="0" fontId="30" numFmtId="0" xfId="0" applyAlignment="1" applyFont="1">
      <alignment horizontal="center" shrinkToFit="0" vertical="center" wrapText="0"/>
    </xf>
    <xf borderId="0" fillId="0" fontId="8" numFmtId="0" xfId="0" applyAlignment="1" applyFont="1">
      <alignment shrinkToFit="0" vertical="center" wrapText="0"/>
    </xf>
    <xf borderId="1" fillId="2" fontId="12" numFmtId="0" xfId="0" applyAlignment="1" applyBorder="1" applyFont="1">
      <alignment horizontal="center" shrinkToFit="0" vertical="center" wrapText="1"/>
    </xf>
    <xf borderId="0" fillId="3" fontId="8" numFmtId="0" xfId="0" applyAlignment="1" applyFont="1">
      <alignment shrinkToFit="0" vertical="bottom" wrapText="0"/>
    </xf>
    <xf borderId="1" fillId="3" fontId="1" numFmtId="0" xfId="0" applyAlignment="1" applyBorder="1" applyFont="1">
      <alignment horizontal="center" shrinkToFit="0" vertical="center" wrapText="1"/>
    </xf>
    <xf borderId="4" fillId="32" fontId="11" numFmtId="0" xfId="0" applyAlignment="1" applyBorder="1" applyFill="1" applyFont="1">
      <alignment horizontal="center" shrinkToFit="0" vertical="center" wrapText="1"/>
    </xf>
    <xf borderId="4" fillId="6" fontId="31" numFmtId="0" xfId="0" applyAlignment="1" applyBorder="1" applyFont="1">
      <alignment horizontal="center" shrinkToFit="0" vertical="center" wrapText="1"/>
    </xf>
    <xf borderId="4" fillId="6" fontId="32" numFmtId="0" xfId="0" applyAlignment="1" applyBorder="1" applyFont="1">
      <alignment horizontal="center" shrinkToFit="0" vertical="center" wrapText="1"/>
    </xf>
    <xf borderId="4" fillId="6" fontId="33" numFmtId="0" xfId="0" applyAlignment="1" applyBorder="1" applyFont="1">
      <alignment horizontal="center" shrinkToFit="0" vertical="center" wrapText="1"/>
    </xf>
    <xf borderId="4" fillId="33" fontId="11" numFmtId="0" xfId="0" applyAlignment="1" applyBorder="1" applyFill="1" applyFont="1">
      <alignment horizontal="center" shrinkToFit="0" vertical="center" wrapText="1"/>
    </xf>
    <xf borderId="4" fillId="34" fontId="11" numFmtId="0" xfId="0" applyAlignment="1" applyBorder="1" applyFill="1" applyFont="1">
      <alignment horizontal="center" shrinkToFit="0" vertical="center" wrapText="1"/>
    </xf>
    <xf borderId="4" fillId="6" fontId="34" numFmtId="0" xfId="0" applyAlignment="1" applyBorder="1" applyFont="1">
      <alignment horizontal="center" shrinkToFit="0" vertical="center" wrapText="1"/>
    </xf>
    <xf borderId="4" fillId="6" fontId="35" numFmtId="0" xfId="0" applyAlignment="1" applyBorder="1" applyFont="1">
      <alignment horizontal="center" shrinkToFit="0" vertical="center" wrapText="1"/>
    </xf>
    <xf borderId="4" fillId="6" fontId="36" numFmtId="166" xfId="0" applyAlignment="1" applyBorder="1" applyFont="1" applyNumberFormat="1">
      <alignment horizontal="center" shrinkToFit="0" vertical="center" wrapText="1"/>
    </xf>
    <xf borderId="4" fillId="2" fontId="13" numFmtId="0" xfId="0" applyAlignment="1" applyBorder="1" applyFont="1">
      <alignment horizontal="center" shrinkToFit="0" vertical="center" wrapText="1"/>
    </xf>
    <xf borderId="4" fillId="4" fontId="37" numFmtId="0" xfId="0" applyAlignment="1" applyBorder="1" applyFont="1">
      <alignment horizontal="left" shrinkToFit="0" vertical="center" wrapText="1"/>
    </xf>
    <xf borderId="4" fillId="4" fontId="37" numFmtId="0" xfId="0" applyAlignment="1" applyBorder="1" applyFont="1">
      <alignment horizontal="center" shrinkToFit="0" vertical="center" wrapText="1"/>
    </xf>
    <xf borderId="4" fillId="4" fontId="37" numFmtId="166" xfId="0" applyAlignment="1" applyBorder="1" applyFont="1" applyNumberFormat="1">
      <alignment horizontal="center" shrinkToFit="0" vertical="center" wrapText="1"/>
    </xf>
    <xf borderId="4" fillId="3" fontId="37" numFmtId="0" xfId="0" applyAlignment="1" applyBorder="1" applyFont="1">
      <alignment horizontal="left" shrinkToFit="0" vertical="center" wrapText="1"/>
    </xf>
    <xf borderId="4" fillId="3" fontId="37" numFmtId="0" xfId="0" applyAlignment="1" applyBorder="1" applyFont="1">
      <alignment horizontal="center" shrinkToFit="0" vertical="center" wrapText="1"/>
    </xf>
    <xf borderId="4" fillId="3" fontId="37" numFmtId="166" xfId="0" applyAlignment="1" applyBorder="1" applyFont="1" applyNumberFormat="1">
      <alignment horizontal="center" shrinkToFit="0" vertical="center" wrapText="1"/>
    </xf>
    <xf borderId="4" fillId="34" fontId="13" numFmtId="0" xfId="0" applyAlignment="1" applyBorder="1" applyFont="1">
      <alignment horizontal="center" shrinkToFit="0" vertical="center" wrapText="1"/>
    </xf>
    <xf borderId="4" fillId="7" fontId="38" numFmtId="0" xfId="0" applyAlignment="1" applyBorder="1" applyFont="1">
      <alignment horizontal="center" shrinkToFit="0" vertical="center" wrapText="1"/>
    </xf>
    <xf borderId="4" fillId="8" fontId="38" numFmtId="0" xfId="0" applyAlignment="1" applyBorder="1" applyFont="1">
      <alignment horizontal="center" shrinkToFit="0" vertical="center" wrapText="1"/>
    </xf>
    <xf borderId="4" fillId="9" fontId="38" numFmtId="0" xfId="0" applyAlignment="1" applyBorder="1" applyFont="1">
      <alignment horizontal="center" shrinkToFit="0" vertical="center" wrapText="1"/>
    </xf>
    <xf borderId="4" fillId="10" fontId="38" numFmtId="0" xfId="0" applyAlignment="1" applyBorder="1" applyFont="1">
      <alignment horizontal="center" shrinkToFit="0" vertical="center" wrapText="1"/>
    </xf>
    <xf borderId="4" fillId="24" fontId="38" numFmtId="0" xfId="0" applyAlignment="1" applyBorder="1" applyFont="1">
      <alignment horizontal="center" shrinkToFit="0" vertical="center" wrapText="1"/>
    </xf>
    <xf borderId="4" fillId="25" fontId="38" numFmtId="166" xfId="0" applyAlignment="1" applyBorder="1" applyFont="1" applyNumberFormat="1">
      <alignment horizontal="center" shrinkToFit="0" vertical="center" wrapText="1"/>
    </xf>
    <xf borderId="1" fillId="29" fontId="1" numFmtId="0" xfId="0" applyAlignment="1" applyBorder="1" applyFont="1">
      <alignment horizontal="center" vertical="bottom"/>
    </xf>
    <xf borderId="11" fillId="34" fontId="39" numFmtId="0" xfId="0" applyAlignment="1" applyBorder="1" applyFont="1">
      <alignment horizontal="center" readingOrder="0" vertical="bottom"/>
    </xf>
    <xf borderId="11" fillId="34" fontId="39" numFmtId="0" xfId="0" applyAlignment="1" applyBorder="1" applyFont="1">
      <alignment horizontal="center" vertical="bottom"/>
    </xf>
    <xf borderId="12" fillId="0" fontId="40" numFmtId="0" xfId="0" applyAlignment="1" applyBorder="1" applyFont="1">
      <alignment horizontal="right" vertical="bottom"/>
    </xf>
    <xf borderId="12" fillId="0" fontId="40" numFmtId="10" xfId="0" applyAlignment="1" applyBorder="1" applyFont="1" applyNumberFormat="1">
      <alignment horizontal="right" vertical="bottom"/>
    </xf>
    <xf borderId="0" fillId="0" fontId="41" numFmtId="0" xfId="0" applyAlignment="1" applyFont="1">
      <alignment vertical="bottom"/>
    </xf>
    <xf borderId="13" fillId="4" fontId="42" numFmtId="0" xfId="0" applyAlignment="1" applyBorder="1" applyFont="1">
      <alignment vertical="bottom"/>
    </xf>
    <xf borderId="13" fillId="4" fontId="42" numFmtId="0" xfId="0" applyAlignment="1" applyBorder="1" applyFont="1">
      <alignment horizontal="right" vertical="bottom"/>
    </xf>
    <xf borderId="13" fillId="4" fontId="42" numFmtId="10" xfId="0" applyAlignment="1" applyBorder="1" applyFont="1" applyNumberFormat="1">
      <alignment horizontal="right" vertical="bottom"/>
    </xf>
    <xf borderId="13" fillId="3" fontId="42" numFmtId="0" xfId="0" applyAlignment="1" applyBorder="1" applyFont="1">
      <alignment vertical="bottom"/>
    </xf>
    <xf borderId="13" fillId="3" fontId="42" numFmtId="0" xfId="0" applyAlignment="1" applyBorder="1" applyFont="1">
      <alignment horizontal="right" vertical="bottom"/>
    </xf>
    <xf borderId="13" fillId="3" fontId="42" numFmtId="10" xfId="0" applyAlignment="1" applyBorder="1" applyFont="1" applyNumberFormat="1">
      <alignment horizontal="right" vertical="bottom"/>
    </xf>
    <xf borderId="0" fillId="0" fontId="43" numFmtId="0" xfId="0" applyAlignment="1" applyFont="1">
      <alignment shrinkToFit="0" vertical="bottom" wrapText="0"/>
    </xf>
    <xf borderId="0" fillId="0" fontId="41" numFmtId="0" xfId="0" applyAlignment="1" applyFont="1">
      <alignment shrinkToFit="0" vertical="bottom" wrapText="0"/>
    </xf>
    <xf borderId="1" fillId="2" fontId="4" numFmtId="0" xfId="0" applyAlignment="1" applyBorder="1" applyFont="1">
      <alignment horizontal="center" readingOrder="0" shrinkToFit="0" vertical="center" wrapText="1"/>
    </xf>
    <xf borderId="0" fillId="0" fontId="44" numFmtId="0" xfId="0" applyAlignment="1" applyFont="1">
      <alignment horizontal="center" readingOrder="0" shrinkToFit="0" vertical="center" wrapText="1"/>
    </xf>
    <xf borderId="0" fillId="0" fontId="45" numFmtId="0" xfId="0" applyAlignment="1" applyFont="1">
      <alignment horizontal="center"/>
    </xf>
    <xf borderId="14" fillId="0" fontId="15" numFmtId="0" xfId="0" applyAlignment="1" applyBorder="1" applyFont="1">
      <alignment shrinkToFit="0" vertical="center" wrapText="1"/>
    </xf>
    <xf borderId="14" fillId="0" fontId="46" numFmtId="0" xfId="0" applyAlignment="1" applyBorder="1" applyFont="1">
      <alignment horizontal="left" shrinkToFit="0" vertical="center" wrapText="1"/>
    </xf>
    <xf borderId="15" fillId="4" fontId="27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shrinkToFit="0" vertical="center" wrapText="1"/>
    </xf>
    <xf borderId="14" fillId="0" fontId="15" numFmtId="0" xfId="0" applyAlignment="1" applyBorder="1" applyFont="1">
      <alignment readingOrder="0" shrinkToFit="0" vertical="center" wrapText="1"/>
    </xf>
    <xf borderId="14" fillId="0" fontId="15" numFmtId="3" xfId="0" applyAlignment="1" applyBorder="1" applyFont="1" applyNumberFormat="1">
      <alignment horizontal="center" shrinkToFit="0" vertical="center" wrapText="1"/>
    </xf>
    <xf borderId="14" fillId="0" fontId="15" numFmtId="4" xfId="0" applyAlignment="1" applyBorder="1" applyFont="1" applyNumberFormat="1">
      <alignment horizontal="center" shrinkToFit="0" vertical="center" wrapText="1"/>
    </xf>
    <xf borderId="14" fillId="0" fontId="15" numFmtId="0" xfId="0" applyAlignment="1" applyBorder="1" applyFont="1">
      <alignment horizontal="center" shrinkToFit="0" vertical="center" wrapText="1"/>
    </xf>
    <xf borderId="14" fillId="0" fontId="1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4" fillId="0" fontId="15" numFmtId="0" xfId="0" applyAlignment="1" applyBorder="1" applyFont="1">
      <alignment shrinkToFit="0" vertical="center" wrapText="1"/>
    </xf>
    <xf borderId="4" fillId="0" fontId="46" numFmtId="0" xfId="0" applyAlignment="1" applyBorder="1" applyFont="1">
      <alignment horizontal="left" shrinkToFit="0" vertical="center" wrapText="1"/>
    </xf>
    <xf borderId="4" fillId="4" fontId="27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readingOrder="0" shrinkToFit="0" vertical="center" wrapText="1"/>
    </xf>
    <xf borderId="4" fillId="0" fontId="15" numFmtId="3" xfId="0" applyAlignment="1" applyBorder="1" applyFont="1" applyNumberFormat="1">
      <alignment horizontal="center" shrinkToFit="0" vertical="center" wrapText="1"/>
    </xf>
    <xf borderId="4" fillId="0" fontId="15" numFmtId="4" xfId="0" applyAlignment="1" applyBorder="1" applyFont="1" applyNumberFormat="1">
      <alignment horizontal="center" shrinkToFit="0" vertical="center" wrapText="1"/>
    </xf>
    <xf borderId="4" fillId="3" fontId="27" numFmtId="0" xfId="0" applyAlignment="1" applyBorder="1" applyFont="1">
      <alignment horizontal="center" shrinkToFit="0" vertical="center" wrapText="1"/>
    </xf>
    <xf borderId="0" fillId="0" fontId="6" numFmtId="3" xfId="0" applyAlignment="1" applyFont="1" applyNumberFormat="1">
      <alignment horizontal="center" shrinkToFit="0" vertical="center" wrapText="0"/>
    </xf>
    <xf borderId="0" fillId="0" fontId="47" numFmtId="0" xfId="0" applyAlignment="1" applyFont="1">
      <alignment shrinkToFit="0" vertical="bottom" wrapText="0"/>
    </xf>
    <xf borderId="0" fillId="0" fontId="48" numFmtId="49" xfId="0" applyAlignment="1" applyFont="1" applyNumberFormat="1">
      <alignment shrinkToFit="0" vertical="bottom" wrapText="0"/>
    </xf>
    <xf borderId="0" fillId="0" fontId="41" numFmtId="0" xfId="0" applyAlignment="1" applyFont="1">
      <alignment horizontal="center" shrinkToFit="0" vertical="bottom" wrapText="0"/>
    </xf>
  </cellXfs>
  <cellStyles count="1">
    <cellStyle xfId="0" name="Normal" builtinId="0"/>
  </cellStyles>
  <dxfs count="22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5EDF3"/>
          <bgColor rgb="FFE5ED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>
        <b/>
        <color rgb="FF285D22"/>
      </font>
      <fill>
        <patternFill patternType="solid">
          <fgColor rgb="FFCAEFCF"/>
          <bgColor rgb="FFCAEFCF"/>
        </patternFill>
      </fill>
      <border/>
    </dxf>
    <dxf>
      <font>
        <b/>
        <color rgb="FF5492D8"/>
      </font>
      <fill>
        <patternFill patternType="solid">
          <fgColor rgb="FFC0D7EE"/>
          <bgColor rgb="FFC0D7EE"/>
        </patternFill>
      </fill>
      <border/>
    </dxf>
    <dxf>
      <font>
        <b/>
        <color rgb="FF592F8B"/>
      </font>
      <fill>
        <patternFill patternType="solid">
          <fgColor rgb="FFE8D2F4"/>
          <bgColor rgb="FFE8D2F4"/>
        </patternFill>
      </fill>
      <border/>
    </dxf>
    <dxf>
      <font>
        <b/>
        <color rgb="FFD1AB1C"/>
      </font>
      <fill>
        <patternFill patternType="solid">
          <fgColor rgb="FFFEF1CD"/>
          <bgColor rgb="FFFEF1CD"/>
        </patternFill>
      </fill>
      <border/>
    </dxf>
    <dxf>
      <font>
        <b/>
        <color rgb="FFBA5925"/>
      </font>
      <fill>
        <patternFill patternType="solid">
          <fgColor rgb="FFFAE4D6"/>
          <bgColor rgb="FFFAE4D6"/>
        </patternFill>
      </fill>
      <border/>
    </dxf>
    <dxf>
      <font>
        <b/>
        <color rgb="FF2E7A8C"/>
      </font>
      <fill>
        <patternFill patternType="solid">
          <fgColor rgb="FFDCEEF3"/>
          <bgColor rgb="FFDCEEF3"/>
        </patternFill>
      </fill>
      <border/>
    </dxf>
    <dxf>
      <font>
        <b/>
        <color rgb="FF478A3C"/>
      </font>
      <fill>
        <patternFill patternType="solid">
          <fgColor rgb="FFE3EFDB"/>
          <bgColor rgb="FFE3EFDB"/>
        </patternFill>
      </fill>
      <border/>
    </dxf>
    <dxf>
      <font>
        <b/>
        <color rgb="FFB90000"/>
      </font>
      <fill>
        <patternFill patternType="solid">
          <fgColor rgb="FFFDE0E0"/>
          <bgColor rgb="FFFDE0E0"/>
        </patternFill>
      </fill>
      <border/>
    </dxf>
    <dxf>
      <font/>
      <fill>
        <patternFill patternType="solid">
          <fgColor rgb="FF417099"/>
          <bgColor rgb="FF417099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17099"/>
        </left>
        <right style="thin">
          <color rgb="FF417099"/>
        </right>
        <top style="thin">
          <color rgb="FF417099"/>
        </top>
        <bottom style="thin">
          <color rgb="FF417099"/>
        </bottom>
        <vertical style="thin">
          <color rgb="FFD4D4D4"/>
        </vertical>
        <horizontal style="thin">
          <color rgb="FFD4D4D4"/>
        </horizontal>
      </border>
    </dxf>
    <dxf>
      <font>
        <b/>
      </font>
      <fill>
        <patternFill patternType="solid">
          <fgColor rgb="FFC6EFCE"/>
          <bgColor rgb="FFC6EFCE"/>
        </patternFill>
      </fill>
      <border/>
    </dxf>
    <dxf>
      <font>
        <b/>
        <color rgb="FFF6F8F9"/>
      </font>
      <fill>
        <patternFill patternType="solid">
          <fgColor rgb="FFC00000"/>
          <bgColor rgb="FFC00000"/>
        </patternFill>
      </fill>
      <border/>
    </dxf>
    <dxf>
      <font>
        <b/>
      </font>
      <fill>
        <patternFill patternType="solid">
          <fgColor theme="9"/>
          <bgColor theme="9"/>
        </patternFill>
      </fill>
      <border/>
    </dxf>
    <dxf>
      <font>
        <b/>
      </font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</font>
      <fill>
        <patternFill patternType="solid">
          <fgColor rgb="FFB7E1CD"/>
          <bgColor rgb="FFB7E1CD"/>
        </patternFill>
      </fill>
      <border/>
    </dxf>
  </dxfs>
  <tableStyles count="9">
    <tableStyle count="2" pivot="0" name="📋 INSTRUCCIONES-style">
      <tableStyleElement dxfId="1" type="firstRowStripe"/>
      <tableStyleElement dxfId="2" type="secondRowStripe"/>
    </tableStyle>
    <tableStyle count="2" pivot="0" name="📅 ASISTENCIA-style">
      <tableStyleElement dxfId="1" type="firstRowStripe"/>
      <tableStyleElement dxfId="3" type="secondRowStripe"/>
    </tableStyle>
    <tableStyle count="2" pivot="0" name="🏫 TERRITORIO-style">
      <tableStyleElement dxfId="1" type="firstRowStripe"/>
      <tableStyleElement dxfId="4" type="secondRowStripe"/>
    </tableStyle>
    <tableStyle count="2" pivot="0" name="🔧 OT-style">
      <tableStyleElement dxfId="1" type="firstRowStripe"/>
      <tableStyleElement dxfId="3" type="secondRowStripe"/>
    </tableStyle>
    <tableStyle count="2" pivot="0" name="📅 ASISTENCIA-style 2">
      <tableStyleElement dxfId="1" type="firstRowStripe"/>
      <tableStyleElement dxfId="3" type="secondRowStripe"/>
    </tableStyle>
    <tableStyle count="2" pivot="0" name="💻 EQUIPOS-style">
      <tableStyleElement dxfId="1" type="firstRowStripe"/>
      <tableStyleElement dxfId="3" type="secondRowStripe"/>
    </tableStyle>
    <tableStyle count="2" pivot="0" name="⚙️ ROLES-style">
      <tableStyleElement dxfId="1" type="firstRowStripe"/>
      <tableStyleElement dxfId="3" type="secondRowStripe"/>
    </tableStyle>
    <tableStyle count="2" pivot="0" name="🏆 DASHBOARD-style">
      <tableStyleElement dxfId="1" type="firstRowStripe"/>
      <tableStyleElement dxfId="3" type="secondRowStripe"/>
    </tableStyle>
    <tableStyle count="4" pivot="0" name="🏅 RANKING-style">
      <tableStyleElement dxfId="13" type="headerRow"/>
      <tableStyleElement dxfId="1" type="firstRowStripe"/>
      <tableStyleElement dxfId="14" type="secondRowStripe"/>
      <tableStyleElement dxfId="1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17</xdr:row>
      <xdr:rowOff>57150</xdr:rowOff>
    </xdr:from>
    <xdr:ext cx="4095750" cy="2543175"/>
    <xdr:pic>
      <xdr:nvPicPr>
        <xdr:cNvPr id="23780619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942975</xdr:colOff>
      <xdr:row>17</xdr:row>
      <xdr:rowOff>57150</xdr:rowOff>
    </xdr:from>
    <xdr:ext cx="4038600" cy="2543175"/>
    <xdr:pic>
      <xdr:nvPicPr>
        <xdr:cNvPr id="491197638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4:E11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📋 INSTRUCCIONES-style" showColumnStripes="0" showFirstColumn="1" showLastColumn="1" showRowStripes="1"/>
</table>
</file>

<file path=xl/tables/table2.xml><?xml version="1.0" encoding="utf-8"?>
<table xmlns="http://schemas.openxmlformats.org/spreadsheetml/2006/main" headerRowCount="0" ref="B6:I35" displayName="Table_2" name="Table_2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📅 ASISTENCIA-style" showColumnStripes="0" showFirstColumn="1" showLastColumn="1" showRowStripes="1"/>
</table>
</file>

<file path=xl/tables/table3.xml><?xml version="1.0" encoding="utf-8"?>
<table xmlns="http://schemas.openxmlformats.org/spreadsheetml/2006/main" headerRowCount="0" ref="B39:I68" displayName="Table_5" name="Table_5" id="5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📅 ASISTENCIA-style 2" showColumnStripes="0" showFirstColumn="1" showLastColumn="1" showRowStripes="1"/>
</table>
</file>

<file path=xl/tables/table4.xml><?xml version="1.0" encoding="utf-8"?>
<table xmlns="http://schemas.openxmlformats.org/spreadsheetml/2006/main" headerRowCount="0" ref="A5:M500" displayName="Table_3" name="Table_3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🏫 TERRITORIO-style" showColumnStripes="0" showFirstColumn="1" showLastColumn="1" showRowStripes="1"/>
</table>
</file>

<file path=xl/tables/table5.xml><?xml version="1.0" encoding="utf-8"?>
<table xmlns="http://schemas.openxmlformats.org/spreadsheetml/2006/main" headerRowCount="0" ref="A4:N200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🔧 OT-style" showColumnStripes="0" showFirstColumn="1" showLastColumn="1" showRowStripes="1"/>
</table>
</file>

<file path=xl/tables/table6.xml><?xml version="1.0" encoding="utf-8"?>
<table xmlns="http://schemas.openxmlformats.org/spreadsheetml/2006/main" headerRowCount="0" ref="A4:M1001" displayName="Table_6" name="Table_6" id="6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💻 EQUIPOS-style" showColumnStripes="0" showFirstColumn="1" showLastColumn="1" showRowStripes="1"/>
</table>
</file>

<file path=xl/tables/table7.xml><?xml version="1.0" encoding="utf-8"?>
<table xmlns="http://schemas.openxmlformats.org/spreadsheetml/2006/main" headerRowCount="0" ref="B4:B15" displayName="Table_7" name="Table_7" id="7">
  <tableColumns count="1">
    <tableColumn name="Column1" id="1"/>
  </tableColumns>
  <tableStyleInfo name="⚙️ ROLES-style" showColumnStripes="0" showFirstColumn="1" showLastColumn="1" showRowStripes="1"/>
</table>
</file>

<file path=xl/tables/table8.xml><?xml version="1.0" encoding="utf-8"?>
<table xmlns="http://schemas.openxmlformats.org/spreadsheetml/2006/main" ref="A3:M15" displayName="RANKING" name="RANKING" id="9">
  <tableColumns count="13">
    <tableColumn name="#" id="1"/>
    <tableColumn name="Apellido y Nombre" id="2"/>
    <tableColumn name="Grupo" id="3"/>
    <tableColumn name="Días" id="4"/>
    <tableColumn name="Rol Semana Actual" id="5"/>
    <tableColumn name="Sesiones Asistidas" id="6"/>
    <tableColumn name="Puntos por Asistencia" id="7"/>
    <tableColumn name="Puntos Producción Grupal" id="8"/>
    <tableColumn name="Puntos Territorio (Individual)" id="9"/>
    <tableColumn name="Producción Grupal Territorio" id="10"/>
    <tableColumn name="Desempeño Individual" id="11"/>
    <tableColumn name="Puntos Totales Acumulados" id="12"/>
    <tableColumn name="Valoración / Rango" id="13"/>
  </tableColumns>
  <tableStyleInfo name="🏅 RANKING-style" showColumnStripes="0" showFirstColumn="1" showLastColumn="1" showRowStripes="1"/>
</table>
</file>

<file path=xl/tables/table9.xml><?xml version="1.0" encoding="utf-8"?>
<table xmlns="http://schemas.openxmlformats.org/spreadsheetml/2006/main" headerRowCount="0" ref="B23:F23" displayName="Table_8" name="Table_8" id="8">
  <tableColumns count="5">
    <tableColumn name="Column1" id="1"/>
    <tableColumn name="Column2" id="2"/>
    <tableColumn name="Column3" id="3"/>
    <tableColumn name="Column4" id="4"/>
    <tableColumn name="Column5" id="5"/>
  </tableColumns>
  <tableStyleInfo name="🏆 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3A5C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5.0"/>
    <col customWidth="1" min="2" max="2" width="18.86"/>
    <col customWidth="1" min="3" max="3" width="32.86"/>
    <col customWidth="1" min="4" max="4" width="26.57"/>
    <col customWidth="1" min="5" max="5" width="14.86"/>
    <col customWidth="1" min="6" max="6" width="8.71"/>
  </cols>
  <sheetData>
    <row r="1">
      <c r="A1" s="1" t="s">
        <v>0</v>
      </c>
      <c r="B1" s="2"/>
      <c r="C1" s="2"/>
      <c r="D1" s="2"/>
      <c r="E1" s="3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12" t="s">
        <v>5</v>
      </c>
      <c r="B2" s="2"/>
      <c r="C2" s="2"/>
      <c r="D2" s="2"/>
      <c r="E2" s="3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21"/>
      <c r="B3" s="22" t="s">
        <v>8</v>
      </c>
      <c r="C3" s="22" t="s">
        <v>9</v>
      </c>
      <c r="D3" s="22" t="s">
        <v>11</v>
      </c>
      <c r="E3" s="22" t="s">
        <v>13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27" t="s">
        <v>16</v>
      </c>
      <c r="C4" s="29" t="s">
        <v>24</v>
      </c>
      <c r="D4" s="29" t="s">
        <v>27</v>
      </c>
      <c r="E4" s="27" t="s">
        <v>28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35" t="s">
        <v>35</v>
      </c>
      <c r="C5" s="37" t="s">
        <v>42</v>
      </c>
      <c r="D5" s="37" t="s">
        <v>43</v>
      </c>
      <c r="E5" s="35" t="s">
        <v>45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27" t="s">
        <v>47</v>
      </c>
      <c r="C6" s="29" t="s">
        <v>48</v>
      </c>
      <c r="D6" s="29" t="s">
        <v>49</v>
      </c>
      <c r="E6" s="27" t="s">
        <v>50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35" t="s">
        <v>53</v>
      </c>
      <c r="C7" s="37" t="s">
        <v>55</v>
      </c>
      <c r="D7" s="37" t="s">
        <v>56</v>
      </c>
      <c r="E7" s="35" t="s">
        <v>57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27" t="s">
        <v>58</v>
      </c>
      <c r="C8" s="29" t="s">
        <v>59</v>
      </c>
      <c r="D8" s="29" t="s">
        <v>60</v>
      </c>
      <c r="E8" s="27" t="s">
        <v>61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35" t="s">
        <v>63</v>
      </c>
      <c r="C9" s="37" t="s">
        <v>64</v>
      </c>
      <c r="D9" s="37" t="s">
        <v>65</v>
      </c>
      <c r="E9" s="35" t="s">
        <v>45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27" t="s">
        <v>66</v>
      </c>
      <c r="C10" s="29" t="s">
        <v>67</v>
      </c>
      <c r="D10" s="29" t="s">
        <v>68</v>
      </c>
      <c r="E10" s="27" t="s">
        <v>28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50" t="s">
        <v>69</v>
      </c>
      <c r="C11" s="51" t="s">
        <v>71</v>
      </c>
      <c r="D11" s="51" t="s">
        <v>68</v>
      </c>
      <c r="E11" s="35" t="s">
        <v>28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58" t="s">
        <v>74</v>
      </c>
      <c r="C14" s="2"/>
      <c r="D14" s="2"/>
      <c r="E14" s="3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65" t="s">
        <v>75</v>
      </c>
      <c r="C15" s="67"/>
      <c r="D15" s="67"/>
      <c r="E15" s="68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0" t="s">
        <v>80</v>
      </c>
      <c r="C16" s="71"/>
      <c r="D16" s="71"/>
      <c r="E16" s="73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65" t="s">
        <v>83</v>
      </c>
      <c r="C17" s="67"/>
      <c r="D17" s="67"/>
      <c r="E17" s="6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0" t="s">
        <v>90</v>
      </c>
      <c r="C18" s="71"/>
      <c r="D18" s="71"/>
      <c r="E18" s="73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65" t="s">
        <v>93</v>
      </c>
      <c r="C19" s="67"/>
      <c r="D19" s="67"/>
      <c r="E19" s="68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0" t="s">
        <v>95</v>
      </c>
      <c r="C20" s="71"/>
      <c r="D20" s="71"/>
      <c r="E20" s="73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65" t="s">
        <v>97</v>
      </c>
      <c r="C21" s="67"/>
      <c r="D21" s="67"/>
      <c r="E21" s="68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0" t="s">
        <v>99</v>
      </c>
      <c r="C22" s="71"/>
      <c r="D22" s="71"/>
      <c r="E22" s="73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1">
    <mergeCell ref="B19:E19"/>
    <mergeCell ref="B20:E20"/>
    <mergeCell ref="B21:E21"/>
    <mergeCell ref="B22:E22"/>
    <mergeCell ref="A1:E1"/>
    <mergeCell ref="A2:E2"/>
    <mergeCell ref="B14:E14"/>
    <mergeCell ref="B15:E15"/>
    <mergeCell ref="B16:E16"/>
    <mergeCell ref="B17:E17"/>
    <mergeCell ref="B18:E18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AEC3"/>
    <pageSetUpPr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4.43" defaultRowHeight="15.0"/>
  <cols>
    <col customWidth="1" min="1" max="1" width="5.14"/>
    <col customWidth="1" min="2" max="2" width="9.71"/>
    <col customWidth="1" min="3" max="3" width="9.14"/>
    <col customWidth="1" min="4" max="4" width="14.57"/>
    <col customWidth="1" min="5" max="5" width="14.0"/>
    <col customWidth="1" min="6" max="6" width="14.43"/>
    <col customWidth="1" min="7" max="7" width="16.86"/>
    <col customWidth="1" min="8" max="9" width="15.29"/>
    <col customWidth="1" min="10" max="10" width="9.29"/>
    <col customWidth="1" min="11" max="11" width="8.71"/>
    <col customWidth="1" min="12" max="12" width="8.0"/>
    <col customWidth="1" min="13" max="26" width="8.71"/>
  </cols>
  <sheetData>
    <row r="1">
      <c r="A1" s="5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17"/>
      <c r="B3" s="19"/>
      <c r="C3" s="17"/>
      <c r="D3" s="17"/>
      <c r="E3" s="17"/>
      <c r="F3" s="17"/>
      <c r="G3" s="17"/>
      <c r="H3" s="17"/>
      <c r="I3" s="17"/>
      <c r="J3" s="17"/>
      <c r="K3" s="17"/>
      <c r="L3" s="17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5" t="s">
        <v>12</v>
      </c>
      <c r="B4" s="2"/>
      <c r="C4" s="2"/>
      <c r="D4" s="2"/>
      <c r="E4" s="2"/>
      <c r="F4" s="2"/>
      <c r="G4" s="2"/>
      <c r="H4" s="2"/>
      <c r="I4" s="2"/>
      <c r="J4" s="2"/>
      <c r="K4" s="2"/>
      <c r="L4" s="3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8" t="s">
        <v>10</v>
      </c>
      <c r="B5" s="31" t="s">
        <v>15</v>
      </c>
      <c r="C5" s="28" t="s">
        <v>29</v>
      </c>
      <c r="D5" s="28" t="s">
        <v>30</v>
      </c>
      <c r="E5" s="28" t="s">
        <v>32</v>
      </c>
      <c r="F5" s="28" t="s">
        <v>33</v>
      </c>
      <c r="G5" s="28" t="s">
        <v>34</v>
      </c>
      <c r="H5" s="28" t="s">
        <v>36</v>
      </c>
      <c r="I5" s="28" t="s">
        <v>37</v>
      </c>
      <c r="J5" s="28" t="s">
        <v>38</v>
      </c>
      <c r="K5" s="28" t="s">
        <v>39</v>
      </c>
      <c r="L5" s="28" t="s">
        <v>40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38">
        <v>1.0</v>
      </c>
      <c r="B6" s="40">
        <v>46190.0</v>
      </c>
      <c r="C6" s="42">
        <v>1.0</v>
      </c>
      <c r="D6" s="46" t="s">
        <v>62</v>
      </c>
      <c r="E6" s="46" t="s">
        <v>62</v>
      </c>
      <c r="F6" s="46" t="s">
        <v>62</v>
      </c>
      <c r="G6" s="46" t="s">
        <v>70</v>
      </c>
      <c r="H6" s="46" t="s">
        <v>62</v>
      </c>
      <c r="I6" s="46" t="s">
        <v>62</v>
      </c>
      <c r="J6" s="54">
        <f t="shared" ref="J6:J35" si="1">COUNTIF(D6:I6,"Presente")+COUNTIF(D6:I6,"Tardanza")</f>
        <v>5</v>
      </c>
      <c r="K6" s="57">
        <f t="shared" ref="K6:K35" si="2">COUNTIF(D6:I6,"Ausente")</f>
        <v>1</v>
      </c>
      <c r="L6" s="60">
        <f t="shared" ref="L6:L35" si="3">IFERROR(J6/6,0)</f>
        <v>0.8333333333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38">
        <v>2.0</v>
      </c>
      <c r="B7" s="62">
        <v>46195.0</v>
      </c>
      <c r="C7" s="63">
        <v>2.0</v>
      </c>
      <c r="D7" s="66" t="s">
        <v>62</v>
      </c>
      <c r="E7" s="66" t="s">
        <v>62</v>
      </c>
      <c r="F7" s="66" t="s">
        <v>62</v>
      </c>
      <c r="G7" s="66" t="s">
        <v>70</v>
      </c>
      <c r="H7" s="66" t="s">
        <v>62</v>
      </c>
      <c r="I7" s="66" t="s">
        <v>62</v>
      </c>
      <c r="J7" s="54">
        <f t="shared" si="1"/>
        <v>5</v>
      </c>
      <c r="K7" s="57">
        <f t="shared" si="2"/>
        <v>1</v>
      </c>
      <c r="L7" s="60">
        <f t="shared" si="3"/>
        <v>0.8333333333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38">
        <v>3.0</v>
      </c>
      <c r="B8" s="40">
        <v>46197.0</v>
      </c>
      <c r="C8" s="42">
        <v>3.0</v>
      </c>
      <c r="D8" s="46" t="s">
        <v>62</v>
      </c>
      <c r="E8" s="46" t="s">
        <v>62</v>
      </c>
      <c r="F8" s="46" t="s">
        <v>62</v>
      </c>
      <c r="G8" s="46" t="s">
        <v>62</v>
      </c>
      <c r="H8" s="46" t="s">
        <v>62</v>
      </c>
      <c r="I8" s="46" t="s">
        <v>62</v>
      </c>
      <c r="J8" s="54">
        <f t="shared" si="1"/>
        <v>6</v>
      </c>
      <c r="K8" s="57">
        <f t="shared" si="2"/>
        <v>0</v>
      </c>
      <c r="L8" s="60">
        <f t="shared" si="3"/>
        <v>1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8">
        <v>4.0</v>
      </c>
      <c r="B9" s="74">
        <v>46202.0</v>
      </c>
      <c r="C9" s="75">
        <v>4.0</v>
      </c>
      <c r="D9" s="76" t="s">
        <v>62</v>
      </c>
      <c r="E9" s="76" t="s">
        <v>62</v>
      </c>
      <c r="F9" s="76" t="s">
        <v>62</v>
      </c>
      <c r="G9" s="76" t="s">
        <v>62</v>
      </c>
      <c r="H9" s="76" t="s">
        <v>62</v>
      </c>
      <c r="I9" s="76" t="s">
        <v>62</v>
      </c>
      <c r="J9" s="54">
        <f t="shared" si="1"/>
        <v>6</v>
      </c>
      <c r="K9" s="57">
        <f t="shared" si="2"/>
        <v>0</v>
      </c>
      <c r="L9" s="60">
        <f t="shared" si="3"/>
        <v>1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38">
        <v>5.0</v>
      </c>
      <c r="B10" s="79">
        <v>46204.0</v>
      </c>
      <c r="C10" s="80">
        <v>5.0</v>
      </c>
      <c r="D10" s="81" t="s">
        <v>92</v>
      </c>
      <c r="E10" s="81" t="s">
        <v>62</v>
      </c>
      <c r="F10" s="81" t="s">
        <v>62</v>
      </c>
      <c r="G10" s="81" t="s">
        <v>62</v>
      </c>
      <c r="H10" s="81" t="s">
        <v>62</v>
      </c>
      <c r="I10" s="81" t="s">
        <v>62</v>
      </c>
      <c r="J10" s="54">
        <f t="shared" si="1"/>
        <v>6</v>
      </c>
      <c r="K10" s="57">
        <f t="shared" si="2"/>
        <v>0</v>
      </c>
      <c r="L10" s="60">
        <f t="shared" si="3"/>
        <v>1</v>
      </c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38">
        <v>6.0</v>
      </c>
      <c r="B11" s="74">
        <v>46209.0</v>
      </c>
      <c r="C11" s="75">
        <v>6.0</v>
      </c>
      <c r="D11" s="76" t="s">
        <v>94</v>
      </c>
      <c r="E11" s="76" t="s">
        <v>62</v>
      </c>
      <c r="F11" s="76" t="s">
        <v>62</v>
      </c>
      <c r="G11" s="76" t="s">
        <v>62</v>
      </c>
      <c r="H11" s="76" t="s">
        <v>62</v>
      </c>
      <c r="I11" s="76" t="s">
        <v>70</v>
      </c>
      <c r="J11" s="54">
        <f t="shared" si="1"/>
        <v>4</v>
      </c>
      <c r="K11" s="57">
        <f t="shared" si="2"/>
        <v>1</v>
      </c>
      <c r="L11" s="60">
        <f t="shared" si="3"/>
        <v>0.6666666667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38">
        <v>7.0</v>
      </c>
      <c r="B12" s="79">
        <v>46211.0</v>
      </c>
      <c r="C12" s="80">
        <v>7.0</v>
      </c>
      <c r="D12" s="81" t="s">
        <v>70</v>
      </c>
      <c r="E12" s="81" t="s">
        <v>62</v>
      </c>
      <c r="F12" s="81" t="s">
        <v>62</v>
      </c>
      <c r="G12" s="81" t="s">
        <v>62</v>
      </c>
      <c r="H12" s="81" t="s">
        <v>62</v>
      </c>
      <c r="I12" s="81" t="s">
        <v>62</v>
      </c>
      <c r="J12" s="54">
        <f t="shared" si="1"/>
        <v>5</v>
      </c>
      <c r="K12" s="57">
        <f t="shared" si="2"/>
        <v>1</v>
      </c>
      <c r="L12" s="60">
        <f t="shared" si="3"/>
        <v>0.8333333333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38">
        <v>8.0</v>
      </c>
      <c r="B13" s="74">
        <v>46216.0</v>
      </c>
      <c r="C13" s="75">
        <v>8.0</v>
      </c>
      <c r="D13" s="76" t="s">
        <v>62</v>
      </c>
      <c r="E13" s="76" t="s">
        <v>62</v>
      </c>
      <c r="F13" s="76" t="s">
        <v>62</v>
      </c>
      <c r="G13" s="76" t="s">
        <v>62</v>
      </c>
      <c r="H13" s="76" t="s">
        <v>62</v>
      </c>
      <c r="I13" s="76" t="s">
        <v>62</v>
      </c>
      <c r="J13" s="54">
        <f t="shared" si="1"/>
        <v>6</v>
      </c>
      <c r="K13" s="57">
        <f t="shared" si="2"/>
        <v>0</v>
      </c>
      <c r="L13" s="60">
        <f t="shared" si="3"/>
        <v>1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38">
        <v>9.0</v>
      </c>
      <c r="B14" s="79">
        <v>46218.0</v>
      </c>
      <c r="C14" s="80">
        <v>9.0</v>
      </c>
      <c r="D14" s="81" t="s">
        <v>70</v>
      </c>
      <c r="E14" s="81" t="s">
        <v>70</v>
      </c>
      <c r="F14" s="81" t="s">
        <v>92</v>
      </c>
      <c r="G14" s="81" t="s">
        <v>62</v>
      </c>
      <c r="H14" s="81" t="s">
        <v>62</v>
      </c>
      <c r="I14" s="81" t="s">
        <v>62</v>
      </c>
      <c r="J14" s="54">
        <f t="shared" si="1"/>
        <v>4</v>
      </c>
      <c r="K14" s="57">
        <f t="shared" si="2"/>
        <v>2</v>
      </c>
      <c r="L14" s="60">
        <f t="shared" si="3"/>
        <v>0.6666666667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38">
        <v>10.0</v>
      </c>
      <c r="B15" s="74">
        <v>46237.0</v>
      </c>
      <c r="C15" s="75">
        <v>10.0</v>
      </c>
      <c r="D15" s="76" t="s">
        <v>70</v>
      </c>
      <c r="E15" s="76" t="s">
        <v>70</v>
      </c>
      <c r="F15" s="76" t="s">
        <v>62</v>
      </c>
      <c r="G15" s="76" t="s">
        <v>62</v>
      </c>
      <c r="H15" s="76" t="s">
        <v>62</v>
      </c>
      <c r="I15" s="76" t="s">
        <v>70</v>
      </c>
      <c r="J15" s="54">
        <f t="shared" si="1"/>
        <v>3</v>
      </c>
      <c r="K15" s="57">
        <f t="shared" si="2"/>
        <v>3</v>
      </c>
      <c r="L15" s="60">
        <f t="shared" si="3"/>
        <v>0.5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38">
        <v>11.0</v>
      </c>
      <c r="B16" s="79">
        <v>46244.0</v>
      </c>
      <c r="C16" s="80">
        <v>11.0</v>
      </c>
      <c r="D16" s="81" t="s">
        <v>70</v>
      </c>
      <c r="E16" s="81" t="s">
        <v>62</v>
      </c>
      <c r="F16" s="81" t="s">
        <v>62</v>
      </c>
      <c r="G16" s="81" t="s">
        <v>70</v>
      </c>
      <c r="H16" s="81" t="s">
        <v>62</v>
      </c>
      <c r="I16" s="81" t="s">
        <v>62</v>
      </c>
      <c r="J16" s="54">
        <f t="shared" si="1"/>
        <v>4</v>
      </c>
      <c r="K16" s="57">
        <f t="shared" si="2"/>
        <v>2</v>
      </c>
      <c r="L16" s="60">
        <f t="shared" si="3"/>
        <v>0.6666666667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38">
        <v>12.0</v>
      </c>
      <c r="B17" s="74"/>
      <c r="C17" s="63"/>
      <c r="D17" s="66"/>
      <c r="E17" s="66"/>
      <c r="F17" s="66"/>
      <c r="G17" s="66"/>
      <c r="H17" s="66"/>
      <c r="I17" s="66"/>
      <c r="J17" s="54">
        <f t="shared" si="1"/>
        <v>0</v>
      </c>
      <c r="K17" s="57">
        <f t="shared" si="2"/>
        <v>0</v>
      </c>
      <c r="L17" s="60">
        <f t="shared" si="3"/>
        <v>0</v>
      </c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38">
        <v>13.0</v>
      </c>
      <c r="B18" s="40"/>
      <c r="C18" s="42"/>
      <c r="D18" s="46"/>
      <c r="E18" s="46"/>
      <c r="F18" s="46"/>
      <c r="G18" s="46"/>
      <c r="H18" s="46"/>
      <c r="I18" s="46"/>
      <c r="J18" s="54">
        <f t="shared" si="1"/>
        <v>0</v>
      </c>
      <c r="K18" s="57">
        <f t="shared" si="2"/>
        <v>0</v>
      </c>
      <c r="L18" s="60">
        <f t="shared" si="3"/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38">
        <v>14.0</v>
      </c>
      <c r="B19" s="62"/>
      <c r="C19" s="63"/>
      <c r="D19" s="66"/>
      <c r="E19" s="66"/>
      <c r="F19" s="66"/>
      <c r="G19" s="66"/>
      <c r="H19" s="66"/>
      <c r="I19" s="66"/>
      <c r="J19" s="54">
        <f t="shared" si="1"/>
        <v>0</v>
      </c>
      <c r="K19" s="57">
        <f t="shared" si="2"/>
        <v>0</v>
      </c>
      <c r="L19" s="60">
        <f t="shared" si="3"/>
        <v>0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38">
        <v>15.0</v>
      </c>
      <c r="B20" s="40"/>
      <c r="C20" s="42"/>
      <c r="D20" s="46"/>
      <c r="E20" s="46"/>
      <c r="F20" s="46"/>
      <c r="G20" s="46"/>
      <c r="H20" s="46"/>
      <c r="I20" s="46"/>
      <c r="J20" s="54">
        <f t="shared" si="1"/>
        <v>0</v>
      </c>
      <c r="K20" s="57">
        <f t="shared" si="2"/>
        <v>0</v>
      </c>
      <c r="L20" s="60">
        <f t="shared" si="3"/>
        <v>0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38">
        <v>16.0</v>
      </c>
      <c r="B21" s="62"/>
      <c r="C21" s="63"/>
      <c r="D21" s="66"/>
      <c r="E21" s="66"/>
      <c r="F21" s="66"/>
      <c r="G21" s="66"/>
      <c r="H21" s="66"/>
      <c r="I21" s="66"/>
      <c r="J21" s="54">
        <f t="shared" si="1"/>
        <v>0</v>
      </c>
      <c r="K21" s="57">
        <f t="shared" si="2"/>
        <v>0</v>
      </c>
      <c r="L21" s="60">
        <f t="shared" si="3"/>
        <v>0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38">
        <v>17.0</v>
      </c>
      <c r="B22" s="40"/>
      <c r="C22" s="42"/>
      <c r="D22" s="46"/>
      <c r="E22" s="46"/>
      <c r="F22" s="46"/>
      <c r="G22" s="46"/>
      <c r="H22" s="46"/>
      <c r="I22" s="46"/>
      <c r="J22" s="54">
        <f t="shared" si="1"/>
        <v>0</v>
      </c>
      <c r="K22" s="57">
        <f t="shared" si="2"/>
        <v>0</v>
      </c>
      <c r="L22" s="60">
        <f t="shared" si="3"/>
        <v>0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38">
        <v>18.0</v>
      </c>
      <c r="B23" s="62"/>
      <c r="C23" s="63"/>
      <c r="D23" s="66"/>
      <c r="E23" s="66"/>
      <c r="F23" s="66"/>
      <c r="G23" s="66"/>
      <c r="H23" s="66"/>
      <c r="I23" s="66"/>
      <c r="J23" s="54">
        <f t="shared" si="1"/>
        <v>0</v>
      </c>
      <c r="K23" s="57">
        <f t="shared" si="2"/>
        <v>0</v>
      </c>
      <c r="L23" s="60">
        <f t="shared" si="3"/>
        <v>0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38">
        <v>19.0</v>
      </c>
      <c r="B24" s="40"/>
      <c r="C24" s="42"/>
      <c r="D24" s="46"/>
      <c r="E24" s="46"/>
      <c r="F24" s="46"/>
      <c r="G24" s="46"/>
      <c r="H24" s="46"/>
      <c r="I24" s="46"/>
      <c r="J24" s="54">
        <f t="shared" si="1"/>
        <v>0</v>
      </c>
      <c r="K24" s="57">
        <f t="shared" si="2"/>
        <v>0</v>
      </c>
      <c r="L24" s="60">
        <f t="shared" si="3"/>
        <v>0</v>
      </c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38">
        <v>20.0</v>
      </c>
      <c r="B25" s="62"/>
      <c r="C25" s="63"/>
      <c r="D25" s="66"/>
      <c r="E25" s="66"/>
      <c r="F25" s="66"/>
      <c r="G25" s="66"/>
      <c r="H25" s="66"/>
      <c r="I25" s="66"/>
      <c r="J25" s="54">
        <f t="shared" si="1"/>
        <v>0</v>
      </c>
      <c r="K25" s="57">
        <f t="shared" si="2"/>
        <v>0</v>
      </c>
      <c r="L25" s="60">
        <f t="shared" si="3"/>
        <v>0</v>
      </c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38">
        <v>21.0</v>
      </c>
      <c r="B26" s="40"/>
      <c r="C26" s="42"/>
      <c r="D26" s="46"/>
      <c r="E26" s="46"/>
      <c r="F26" s="46"/>
      <c r="G26" s="46"/>
      <c r="H26" s="46"/>
      <c r="I26" s="46"/>
      <c r="J26" s="54">
        <f t="shared" si="1"/>
        <v>0</v>
      </c>
      <c r="K26" s="57">
        <f t="shared" si="2"/>
        <v>0</v>
      </c>
      <c r="L26" s="60">
        <f t="shared" si="3"/>
        <v>0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38">
        <v>22.0</v>
      </c>
      <c r="B27" s="62"/>
      <c r="C27" s="63"/>
      <c r="D27" s="66"/>
      <c r="E27" s="66"/>
      <c r="F27" s="66"/>
      <c r="G27" s="66"/>
      <c r="H27" s="66"/>
      <c r="I27" s="66"/>
      <c r="J27" s="54">
        <f t="shared" si="1"/>
        <v>0</v>
      </c>
      <c r="K27" s="57">
        <f t="shared" si="2"/>
        <v>0</v>
      </c>
      <c r="L27" s="60">
        <f t="shared" si="3"/>
        <v>0</v>
      </c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38">
        <v>23.0</v>
      </c>
      <c r="B28" s="40"/>
      <c r="C28" s="42"/>
      <c r="D28" s="46"/>
      <c r="E28" s="46"/>
      <c r="F28" s="46"/>
      <c r="G28" s="46"/>
      <c r="H28" s="46"/>
      <c r="I28" s="46"/>
      <c r="J28" s="54">
        <f t="shared" si="1"/>
        <v>0</v>
      </c>
      <c r="K28" s="57">
        <f t="shared" si="2"/>
        <v>0</v>
      </c>
      <c r="L28" s="60">
        <f t="shared" si="3"/>
        <v>0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38">
        <v>24.0</v>
      </c>
      <c r="B29" s="62"/>
      <c r="C29" s="63"/>
      <c r="D29" s="66"/>
      <c r="E29" s="66"/>
      <c r="F29" s="66"/>
      <c r="G29" s="66"/>
      <c r="H29" s="66"/>
      <c r="I29" s="66"/>
      <c r="J29" s="54">
        <f t="shared" si="1"/>
        <v>0</v>
      </c>
      <c r="K29" s="57">
        <f t="shared" si="2"/>
        <v>0</v>
      </c>
      <c r="L29" s="60">
        <f t="shared" si="3"/>
        <v>0</v>
      </c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8">
        <v>25.0</v>
      </c>
      <c r="B30" s="40"/>
      <c r="C30" s="42"/>
      <c r="D30" s="46"/>
      <c r="E30" s="46"/>
      <c r="F30" s="46"/>
      <c r="G30" s="46"/>
      <c r="H30" s="46"/>
      <c r="I30" s="46"/>
      <c r="J30" s="54">
        <f t="shared" si="1"/>
        <v>0</v>
      </c>
      <c r="K30" s="57">
        <f t="shared" si="2"/>
        <v>0</v>
      </c>
      <c r="L30" s="60">
        <f t="shared" si="3"/>
        <v>0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38">
        <v>26.0</v>
      </c>
      <c r="B31" s="62"/>
      <c r="C31" s="63"/>
      <c r="D31" s="66"/>
      <c r="E31" s="66"/>
      <c r="F31" s="66"/>
      <c r="G31" s="66"/>
      <c r="H31" s="66"/>
      <c r="I31" s="66"/>
      <c r="J31" s="54">
        <f t="shared" si="1"/>
        <v>0</v>
      </c>
      <c r="K31" s="57">
        <f t="shared" si="2"/>
        <v>0</v>
      </c>
      <c r="L31" s="60">
        <f t="shared" si="3"/>
        <v>0</v>
      </c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38">
        <v>27.0</v>
      </c>
      <c r="B32" s="40"/>
      <c r="C32" s="42"/>
      <c r="D32" s="46"/>
      <c r="E32" s="46"/>
      <c r="F32" s="46"/>
      <c r="G32" s="46"/>
      <c r="H32" s="46"/>
      <c r="I32" s="46"/>
      <c r="J32" s="54">
        <f t="shared" si="1"/>
        <v>0</v>
      </c>
      <c r="K32" s="57">
        <f t="shared" si="2"/>
        <v>0</v>
      </c>
      <c r="L32" s="60">
        <f t="shared" si="3"/>
        <v>0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38">
        <v>28.0</v>
      </c>
      <c r="B33" s="62"/>
      <c r="C33" s="63"/>
      <c r="D33" s="66"/>
      <c r="E33" s="66"/>
      <c r="F33" s="66"/>
      <c r="G33" s="66"/>
      <c r="H33" s="66"/>
      <c r="I33" s="66"/>
      <c r="J33" s="54">
        <f t="shared" si="1"/>
        <v>0</v>
      </c>
      <c r="K33" s="57">
        <f t="shared" si="2"/>
        <v>0</v>
      </c>
      <c r="L33" s="60">
        <f t="shared" si="3"/>
        <v>0</v>
      </c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38">
        <v>29.0</v>
      </c>
      <c r="B34" s="40"/>
      <c r="C34" s="42"/>
      <c r="D34" s="46"/>
      <c r="E34" s="46"/>
      <c r="F34" s="46"/>
      <c r="G34" s="46"/>
      <c r="H34" s="46"/>
      <c r="I34" s="46"/>
      <c r="J34" s="54">
        <f t="shared" si="1"/>
        <v>0</v>
      </c>
      <c r="K34" s="57">
        <f t="shared" si="2"/>
        <v>0</v>
      </c>
      <c r="L34" s="60">
        <f t="shared" si="3"/>
        <v>0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38">
        <v>30.0</v>
      </c>
      <c r="B35" s="62"/>
      <c r="C35" s="63"/>
      <c r="D35" s="66"/>
      <c r="E35" s="66"/>
      <c r="F35" s="66"/>
      <c r="G35" s="66"/>
      <c r="H35" s="66"/>
      <c r="I35" s="66"/>
      <c r="J35" s="54">
        <f t="shared" si="1"/>
        <v>0</v>
      </c>
      <c r="K35" s="57">
        <f t="shared" si="2"/>
        <v>0</v>
      </c>
      <c r="L35" s="60">
        <f t="shared" si="3"/>
        <v>0</v>
      </c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107"/>
      <c r="B36" s="2"/>
      <c r="C36" s="2"/>
      <c r="D36" s="2"/>
      <c r="E36" s="2"/>
      <c r="F36" s="2"/>
      <c r="G36" s="2"/>
      <c r="H36" s="2"/>
      <c r="I36" s="2"/>
      <c r="J36" s="2"/>
      <c r="K36" s="2"/>
      <c r="L36" s="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108" t="s">
        <v>159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2" t="s">
        <v>10</v>
      </c>
      <c r="B38" s="109" t="s">
        <v>15</v>
      </c>
      <c r="C38" s="22" t="s">
        <v>29</v>
      </c>
      <c r="D38" s="22" t="s">
        <v>84</v>
      </c>
      <c r="E38" s="22" t="s">
        <v>82</v>
      </c>
      <c r="F38" s="22" t="s">
        <v>120</v>
      </c>
      <c r="G38" s="22" t="s">
        <v>164</v>
      </c>
      <c r="H38" s="22" t="s">
        <v>111</v>
      </c>
      <c r="I38" s="22" t="s">
        <v>165</v>
      </c>
      <c r="J38" s="22" t="s">
        <v>38</v>
      </c>
      <c r="K38" s="22" t="s">
        <v>39</v>
      </c>
      <c r="L38" s="22" t="s">
        <v>40</v>
      </c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38">
        <v>1.0</v>
      </c>
      <c r="B39" s="110">
        <v>46189.0</v>
      </c>
      <c r="C39" s="111">
        <v>1.0</v>
      </c>
      <c r="D39" s="112" t="s">
        <v>62</v>
      </c>
      <c r="E39" s="112" t="s">
        <v>62</v>
      </c>
      <c r="F39" s="112" t="s">
        <v>70</v>
      </c>
      <c r="G39" s="112" t="s">
        <v>62</v>
      </c>
      <c r="H39" s="112" t="s">
        <v>62</v>
      </c>
      <c r="I39" s="112" t="s">
        <v>62</v>
      </c>
      <c r="J39" s="54">
        <f t="shared" ref="J39:J68" si="4">COUNTIF(D39:I39,"Presente")+COUNTIF(D39:I39,"Tardanza")</f>
        <v>5</v>
      </c>
      <c r="K39" s="57">
        <f t="shared" ref="K39:K68" si="5">COUNTIF(D39:I39,"Ausente")</f>
        <v>1</v>
      </c>
      <c r="L39" s="60">
        <f t="shared" ref="L39:L68" si="6">IFERROR(J39/6,0)</f>
        <v>0.8333333333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38">
        <v>2.0</v>
      </c>
      <c r="B40" s="113">
        <v>46191.0</v>
      </c>
      <c r="C40" s="114">
        <v>2.0</v>
      </c>
      <c r="D40" s="115" t="s">
        <v>62</v>
      </c>
      <c r="E40" s="115" t="s">
        <v>92</v>
      </c>
      <c r="F40" s="115" t="s">
        <v>62</v>
      </c>
      <c r="G40" s="115" t="s">
        <v>70</v>
      </c>
      <c r="H40" s="115" t="s">
        <v>62</v>
      </c>
      <c r="I40" s="115" t="s">
        <v>62</v>
      </c>
      <c r="J40" s="54">
        <f t="shared" si="4"/>
        <v>5</v>
      </c>
      <c r="K40" s="57">
        <f t="shared" si="5"/>
        <v>1</v>
      </c>
      <c r="L40" s="60">
        <f t="shared" si="6"/>
        <v>0.8333333333</v>
      </c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38">
        <v>3.0</v>
      </c>
      <c r="B41" s="110">
        <v>46196.0</v>
      </c>
      <c r="C41" s="111">
        <v>3.0</v>
      </c>
      <c r="D41" s="112" t="s">
        <v>62</v>
      </c>
      <c r="E41" s="112" t="s">
        <v>62</v>
      </c>
      <c r="F41" s="112" t="s">
        <v>62</v>
      </c>
      <c r="G41" s="112" t="s">
        <v>62</v>
      </c>
      <c r="H41" s="112" t="s">
        <v>62</v>
      </c>
      <c r="I41" s="112" t="s">
        <v>62</v>
      </c>
      <c r="J41" s="54">
        <f t="shared" si="4"/>
        <v>6</v>
      </c>
      <c r="K41" s="57">
        <f t="shared" si="5"/>
        <v>0</v>
      </c>
      <c r="L41" s="60">
        <f t="shared" si="6"/>
        <v>1</v>
      </c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38">
        <v>4.0</v>
      </c>
      <c r="B42" s="116">
        <v>46198.0</v>
      </c>
      <c r="C42" s="117">
        <v>4.0</v>
      </c>
      <c r="D42" s="118" t="s">
        <v>62</v>
      </c>
      <c r="E42" s="118" t="s">
        <v>62</v>
      </c>
      <c r="F42" s="118" t="s">
        <v>62</v>
      </c>
      <c r="G42" s="118" t="s">
        <v>62</v>
      </c>
      <c r="H42" s="118" t="s">
        <v>62</v>
      </c>
      <c r="I42" s="118" t="s">
        <v>62</v>
      </c>
      <c r="J42" s="54">
        <f t="shared" si="4"/>
        <v>6</v>
      </c>
      <c r="K42" s="57">
        <f t="shared" si="5"/>
        <v>0</v>
      </c>
      <c r="L42" s="60">
        <f t="shared" si="6"/>
        <v>1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38">
        <v>5.0</v>
      </c>
      <c r="B43" s="119">
        <v>46203.0</v>
      </c>
      <c r="C43" s="120">
        <v>5.0</v>
      </c>
      <c r="D43" s="121" t="s">
        <v>62</v>
      </c>
      <c r="E43" s="121" t="s">
        <v>62</v>
      </c>
      <c r="F43" s="121" t="s">
        <v>62</v>
      </c>
      <c r="G43" s="121" t="s">
        <v>62</v>
      </c>
      <c r="H43" s="121" t="s">
        <v>62</v>
      </c>
      <c r="I43" s="121" t="s">
        <v>62</v>
      </c>
      <c r="J43" s="54">
        <f t="shared" si="4"/>
        <v>6</v>
      </c>
      <c r="K43" s="57">
        <f t="shared" si="5"/>
        <v>0</v>
      </c>
      <c r="L43" s="60">
        <f t="shared" si="6"/>
        <v>1</v>
      </c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38">
        <v>6.0</v>
      </c>
      <c r="B44" s="116">
        <v>46205.0</v>
      </c>
      <c r="C44" s="117">
        <v>6.0</v>
      </c>
      <c r="D44" s="118" t="s">
        <v>62</v>
      </c>
      <c r="E44" s="118" t="s">
        <v>70</v>
      </c>
      <c r="F44" s="118" t="s">
        <v>62</v>
      </c>
      <c r="G44" s="118" t="s">
        <v>62</v>
      </c>
      <c r="H44" s="118" t="s">
        <v>62</v>
      </c>
      <c r="I44" s="118" t="s">
        <v>62</v>
      </c>
      <c r="J44" s="54">
        <f t="shared" si="4"/>
        <v>5</v>
      </c>
      <c r="K44" s="57">
        <f t="shared" si="5"/>
        <v>1</v>
      </c>
      <c r="L44" s="60">
        <f t="shared" si="6"/>
        <v>0.8333333333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38">
        <v>7.0</v>
      </c>
      <c r="B45" s="119">
        <v>46210.0</v>
      </c>
      <c r="C45" s="120">
        <v>7.0</v>
      </c>
      <c r="D45" s="121" t="s">
        <v>62</v>
      </c>
      <c r="E45" s="121" t="s">
        <v>62</v>
      </c>
      <c r="F45" s="121" t="s">
        <v>94</v>
      </c>
      <c r="G45" s="121" t="s">
        <v>62</v>
      </c>
      <c r="H45" s="121" t="s">
        <v>62</v>
      </c>
      <c r="I45" s="121" t="s">
        <v>70</v>
      </c>
      <c r="J45" s="54">
        <f t="shared" si="4"/>
        <v>4</v>
      </c>
      <c r="K45" s="57">
        <f t="shared" si="5"/>
        <v>1</v>
      </c>
      <c r="L45" s="60">
        <f t="shared" si="6"/>
        <v>0.6666666667</v>
      </c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38">
        <v>8.0</v>
      </c>
      <c r="B46" s="116">
        <v>46217.0</v>
      </c>
      <c r="C46" s="117">
        <v>8.0</v>
      </c>
      <c r="D46" s="118" t="s">
        <v>70</v>
      </c>
      <c r="E46" s="118" t="s">
        <v>62</v>
      </c>
      <c r="F46" s="118" t="s">
        <v>62</v>
      </c>
      <c r="G46" s="118" t="s">
        <v>70</v>
      </c>
      <c r="H46" s="118" t="s">
        <v>62</v>
      </c>
      <c r="I46" s="118" t="s">
        <v>62</v>
      </c>
      <c r="J46" s="54">
        <f t="shared" si="4"/>
        <v>4</v>
      </c>
      <c r="K46" s="57">
        <f t="shared" si="5"/>
        <v>2</v>
      </c>
      <c r="L46" s="60">
        <f t="shared" si="6"/>
        <v>0.6666666667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38">
        <v>9.0</v>
      </c>
      <c r="B47" s="119">
        <v>46219.0</v>
      </c>
      <c r="C47" s="120">
        <v>9.0</v>
      </c>
      <c r="D47" s="121" t="s">
        <v>62</v>
      </c>
      <c r="E47" s="121" t="s">
        <v>62</v>
      </c>
      <c r="F47" s="121" t="s">
        <v>62</v>
      </c>
      <c r="G47" s="121" t="s">
        <v>70</v>
      </c>
      <c r="H47" s="121" t="s">
        <v>62</v>
      </c>
      <c r="I47" s="121" t="s">
        <v>70</v>
      </c>
      <c r="J47" s="54">
        <f t="shared" si="4"/>
        <v>4</v>
      </c>
      <c r="K47" s="57">
        <f t="shared" si="5"/>
        <v>2</v>
      </c>
      <c r="L47" s="60">
        <f t="shared" si="6"/>
        <v>0.6666666667</v>
      </c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38">
        <v>10.0</v>
      </c>
      <c r="B48" s="116">
        <v>46245.0</v>
      </c>
      <c r="C48" s="117">
        <v>10.0</v>
      </c>
      <c r="D48" s="118" t="s">
        <v>62</v>
      </c>
      <c r="E48" s="118" t="s">
        <v>62</v>
      </c>
      <c r="F48" s="118" t="s">
        <v>62</v>
      </c>
      <c r="G48" s="118" t="s">
        <v>62</v>
      </c>
      <c r="H48" s="118" t="s">
        <v>62</v>
      </c>
      <c r="I48" s="118" t="s">
        <v>62</v>
      </c>
      <c r="J48" s="54">
        <f t="shared" si="4"/>
        <v>6</v>
      </c>
      <c r="K48" s="57">
        <f t="shared" si="5"/>
        <v>0</v>
      </c>
      <c r="L48" s="60">
        <f t="shared" si="6"/>
        <v>1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38">
        <v>11.0</v>
      </c>
      <c r="B49" s="122">
        <v>46247.0</v>
      </c>
      <c r="C49" s="120">
        <v>11.0</v>
      </c>
      <c r="D49" s="121" t="s">
        <v>62</v>
      </c>
      <c r="E49" s="121" t="s">
        <v>70</v>
      </c>
      <c r="F49" s="121" t="s">
        <v>62</v>
      </c>
      <c r="G49" s="121" t="s">
        <v>62</v>
      </c>
      <c r="H49" s="121" t="s">
        <v>62</v>
      </c>
      <c r="I49" s="121" t="s">
        <v>70</v>
      </c>
      <c r="J49" s="54">
        <f t="shared" si="4"/>
        <v>4</v>
      </c>
      <c r="K49" s="57">
        <f t="shared" si="5"/>
        <v>2</v>
      </c>
      <c r="L49" s="60">
        <f t="shared" si="6"/>
        <v>0.6666666667</v>
      </c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38">
        <v>12.0</v>
      </c>
      <c r="B50" s="113"/>
      <c r="C50" s="114"/>
      <c r="D50" s="115"/>
      <c r="E50" s="115"/>
      <c r="F50" s="115"/>
      <c r="G50" s="115"/>
      <c r="H50" s="115"/>
      <c r="I50" s="115"/>
      <c r="J50" s="54">
        <f t="shared" si="4"/>
        <v>0</v>
      </c>
      <c r="K50" s="57">
        <f t="shared" si="5"/>
        <v>0</v>
      </c>
      <c r="L50" s="60">
        <f t="shared" si="6"/>
        <v>0</v>
      </c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38">
        <v>13.0</v>
      </c>
      <c r="B51" s="110"/>
      <c r="C51" s="111"/>
      <c r="D51" s="112"/>
      <c r="E51" s="112"/>
      <c r="F51" s="112"/>
      <c r="G51" s="112"/>
      <c r="H51" s="112"/>
      <c r="I51" s="112"/>
      <c r="J51" s="54">
        <f t="shared" si="4"/>
        <v>0</v>
      </c>
      <c r="K51" s="57">
        <f t="shared" si="5"/>
        <v>0</v>
      </c>
      <c r="L51" s="60">
        <f t="shared" si="6"/>
        <v>0</v>
      </c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38">
        <v>14.0</v>
      </c>
      <c r="B52" s="113"/>
      <c r="C52" s="114"/>
      <c r="D52" s="115"/>
      <c r="E52" s="115"/>
      <c r="F52" s="115"/>
      <c r="G52" s="115"/>
      <c r="H52" s="115"/>
      <c r="I52" s="115"/>
      <c r="J52" s="54">
        <f t="shared" si="4"/>
        <v>0</v>
      </c>
      <c r="K52" s="57">
        <f t="shared" si="5"/>
        <v>0</v>
      </c>
      <c r="L52" s="60">
        <f t="shared" si="6"/>
        <v>0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38">
        <v>15.0</v>
      </c>
      <c r="B53" s="110"/>
      <c r="C53" s="111"/>
      <c r="D53" s="112"/>
      <c r="E53" s="112"/>
      <c r="F53" s="112"/>
      <c r="G53" s="112"/>
      <c r="H53" s="112"/>
      <c r="I53" s="112"/>
      <c r="J53" s="54">
        <f t="shared" si="4"/>
        <v>0</v>
      </c>
      <c r="K53" s="57">
        <f t="shared" si="5"/>
        <v>0</v>
      </c>
      <c r="L53" s="60">
        <f t="shared" si="6"/>
        <v>0</v>
      </c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38">
        <v>16.0</v>
      </c>
      <c r="B54" s="113"/>
      <c r="C54" s="114"/>
      <c r="D54" s="115"/>
      <c r="E54" s="115"/>
      <c r="F54" s="115"/>
      <c r="G54" s="115"/>
      <c r="H54" s="115"/>
      <c r="I54" s="115"/>
      <c r="J54" s="54">
        <f t="shared" si="4"/>
        <v>0</v>
      </c>
      <c r="K54" s="57">
        <f t="shared" si="5"/>
        <v>0</v>
      </c>
      <c r="L54" s="60">
        <f t="shared" si="6"/>
        <v>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38">
        <v>17.0</v>
      </c>
      <c r="B55" s="110"/>
      <c r="C55" s="111"/>
      <c r="D55" s="112"/>
      <c r="E55" s="112"/>
      <c r="F55" s="112"/>
      <c r="G55" s="112"/>
      <c r="H55" s="112"/>
      <c r="I55" s="112"/>
      <c r="J55" s="54">
        <f t="shared" si="4"/>
        <v>0</v>
      </c>
      <c r="K55" s="57">
        <f t="shared" si="5"/>
        <v>0</v>
      </c>
      <c r="L55" s="60">
        <f t="shared" si="6"/>
        <v>0</v>
      </c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38">
        <v>18.0</v>
      </c>
      <c r="B56" s="113"/>
      <c r="C56" s="114"/>
      <c r="D56" s="115"/>
      <c r="E56" s="115"/>
      <c r="F56" s="115"/>
      <c r="G56" s="115"/>
      <c r="H56" s="115"/>
      <c r="I56" s="115"/>
      <c r="J56" s="54">
        <f t="shared" si="4"/>
        <v>0</v>
      </c>
      <c r="K56" s="57">
        <f t="shared" si="5"/>
        <v>0</v>
      </c>
      <c r="L56" s="60">
        <f t="shared" si="6"/>
        <v>0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38">
        <v>19.0</v>
      </c>
      <c r="B57" s="110"/>
      <c r="C57" s="111"/>
      <c r="D57" s="112"/>
      <c r="E57" s="112"/>
      <c r="F57" s="112"/>
      <c r="G57" s="112"/>
      <c r="H57" s="112"/>
      <c r="I57" s="112"/>
      <c r="J57" s="54">
        <f t="shared" si="4"/>
        <v>0</v>
      </c>
      <c r="K57" s="57">
        <f t="shared" si="5"/>
        <v>0</v>
      </c>
      <c r="L57" s="60">
        <f t="shared" si="6"/>
        <v>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38">
        <v>20.0</v>
      </c>
      <c r="B58" s="113"/>
      <c r="C58" s="114"/>
      <c r="D58" s="115"/>
      <c r="E58" s="115"/>
      <c r="F58" s="115"/>
      <c r="G58" s="115"/>
      <c r="H58" s="115"/>
      <c r="I58" s="115"/>
      <c r="J58" s="54">
        <f t="shared" si="4"/>
        <v>0</v>
      </c>
      <c r="K58" s="57">
        <f t="shared" si="5"/>
        <v>0</v>
      </c>
      <c r="L58" s="60">
        <f t="shared" si="6"/>
        <v>0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38">
        <v>21.0</v>
      </c>
      <c r="B59" s="110"/>
      <c r="C59" s="111"/>
      <c r="D59" s="112"/>
      <c r="E59" s="112"/>
      <c r="F59" s="112"/>
      <c r="G59" s="112"/>
      <c r="H59" s="112"/>
      <c r="I59" s="112"/>
      <c r="J59" s="54">
        <f t="shared" si="4"/>
        <v>0</v>
      </c>
      <c r="K59" s="57">
        <f t="shared" si="5"/>
        <v>0</v>
      </c>
      <c r="L59" s="60">
        <f t="shared" si="6"/>
        <v>0</v>
      </c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38">
        <v>22.0</v>
      </c>
      <c r="B60" s="113"/>
      <c r="C60" s="114"/>
      <c r="D60" s="115"/>
      <c r="E60" s="115"/>
      <c r="F60" s="115"/>
      <c r="G60" s="115"/>
      <c r="H60" s="115"/>
      <c r="I60" s="115"/>
      <c r="J60" s="54">
        <f t="shared" si="4"/>
        <v>0</v>
      </c>
      <c r="K60" s="57">
        <f t="shared" si="5"/>
        <v>0</v>
      </c>
      <c r="L60" s="60">
        <f t="shared" si="6"/>
        <v>0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38">
        <v>23.0</v>
      </c>
      <c r="B61" s="110"/>
      <c r="C61" s="111"/>
      <c r="D61" s="112"/>
      <c r="E61" s="112"/>
      <c r="F61" s="112"/>
      <c r="G61" s="112"/>
      <c r="H61" s="112"/>
      <c r="I61" s="112"/>
      <c r="J61" s="54">
        <f t="shared" si="4"/>
        <v>0</v>
      </c>
      <c r="K61" s="57">
        <f t="shared" si="5"/>
        <v>0</v>
      </c>
      <c r="L61" s="60">
        <f t="shared" si="6"/>
        <v>0</v>
      </c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38">
        <v>24.0</v>
      </c>
      <c r="B62" s="113"/>
      <c r="C62" s="114"/>
      <c r="D62" s="115"/>
      <c r="E62" s="115"/>
      <c r="F62" s="115"/>
      <c r="G62" s="115"/>
      <c r="H62" s="115"/>
      <c r="I62" s="115"/>
      <c r="J62" s="54">
        <f t="shared" si="4"/>
        <v>0</v>
      </c>
      <c r="K62" s="57">
        <f t="shared" si="5"/>
        <v>0</v>
      </c>
      <c r="L62" s="60">
        <f t="shared" si="6"/>
        <v>0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38">
        <v>25.0</v>
      </c>
      <c r="B63" s="110"/>
      <c r="C63" s="111"/>
      <c r="D63" s="112"/>
      <c r="E63" s="112"/>
      <c r="F63" s="112"/>
      <c r="G63" s="112"/>
      <c r="H63" s="112"/>
      <c r="I63" s="112"/>
      <c r="J63" s="54">
        <f t="shared" si="4"/>
        <v>0</v>
      </c>
      <c r="K63" s="57">
        <f t="shared" si="5"/>
        <v>0</v>
      </c>
      <c r="L63" s="60">
        <f t="shared" si="6"/>
        <v>0</v>
      </c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38">
        <v>26.0</v>
      </c>
      <c r="B64" s="113"/>
      <c r="C64" s="114"/>
      <c r="D64" s="115"/>
      <c r="E64" s="115"/>
      <c r="F64" s="115"/>
      <c r="G64" s="115"/>
      <c r="H64" s="115"/>
      <c r="I64" s="115"/>
      <c r="J64" s="54">
        <f t="shared" si="4"/>
        <v>0</v>
      </c>
      <c r="K64" s="57">
        <f t="shared" si="5"/>
        <v>0</v>
      </c>
      <c r="L64" s="60">
        <f t="shared" si="6"/>
        <v>0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38">
        <v>27.0</v>
      </c>
      <c r="B65" s="110"/>
      <c r="C65" s="111"/>
      <c r="D65" s="112"/>
      <c r="E65" s="112"/>
      <c r="F65" s="112"/>
      <c r="G65" s="112"/>
      <c r="H65" s="112"/>
      <c r="I65" s="112"/>
      <c r="J65" s="54">
        <f t="shared" si="4"/>
        <v>0</v>
      </c>
      <c r="K65" s="57">
        <f t="shared" si="5"/>
        <v>0</v>
      </c>
      <c r="L65" s="60">
        <f t="shared" si="6"/>
        <v>0</v>
      </c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38">
        <v>28.0</v>
      </c>
      <c r="B66" s="113"/>
      <c r="C66" s="114"/>
      <c r="D66" s="115"/>
      <c r="E66" s="115"/>
      <c r="F66" s="115"/>
      <c r="G66" s="115"/>
      <c r="H66" s="115"/>
      <c r="I66" s="115"/>
      <c r="J66" s="54">
        <f t="shared" si="4"/>
        <v>0</v>
      </c>
      <c r="K66" s="57">
        <f t="shared" si="5"/>
        <v>0</v>
      </c>
      <c r="L66" s="60">
        <f t="shared" si="6"/>
        <v>0</v>
      </c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38">
        <v>29.0</v>
      </c>
      <c r="B67" s="110"/>
      <c r="C67" s="111"/>
      <c r="D67" s="112"/>
      <c r="E67" s="112"/>
      <c r="F67" s="112"/>
      <c r="G67" s="112"/>
      <c r="H67" s="112"/>
      <c r="I67" s="112"/>
      <c r="J67" s="54">
        <f t="shared" si="4"/>
        <v>0</v>
      </c>
      <c r="K67" s="57">
        <f t="shared" si="5"/>
        <v>0</v>
      </c>
      <c r="L67" s="60">
        <f t="shared" si="6"/>
        <v>0</v>
      </c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8">
        <v>30.0</v>
      </c>
      <c r="B68" s="113"/>
      <c r="C68" s="114"/>
      <c r="D68" s="115"/>
      <c r="E68" s="115"/>
      <c r="F68" s="115"/>
      <c r="G68" s="115"/>
      <c r="H68" s="115"/>
      <c r="I68" s="115"/>
      <c r="J68" s="54">
        <f t="shared" si="4"/>
        <v>0</v>
      </c>
      <c r="K68" s="57">
        <f t="shared" si="5"/>
        <v>0</v>
      </c>
      <c r="L68" s="60">
        <f t="shared" si="6"/>
        <v>0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12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12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12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12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12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12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12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12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12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12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12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12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12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12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12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12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12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12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12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12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12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12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12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12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12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12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12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12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12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12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12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12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12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12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12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12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12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12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12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12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12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12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12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12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12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12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12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12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12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12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12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12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12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12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12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12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12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12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12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12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12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12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12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12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12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12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12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12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12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12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12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12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12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12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12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12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12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12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12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12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12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12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12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12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12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12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12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12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12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12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12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12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12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12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12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12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12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12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12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12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12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12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12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12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12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12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12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12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12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12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12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12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12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12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12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12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12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12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12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12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12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12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12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12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12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12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12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12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12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12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12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12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12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12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12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12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12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12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12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12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12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12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12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12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12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12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12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12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12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12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12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12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12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12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12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12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12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12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12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12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12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12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12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12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12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12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12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12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12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12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12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12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12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12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12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12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12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12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12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12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12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12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12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12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12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12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12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12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12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12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12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12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12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12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12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12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12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12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12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12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12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12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12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12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12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12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12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12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12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12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12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12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12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12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12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12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12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12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12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12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12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12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12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12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12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12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12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12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12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12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12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12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12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12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12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12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12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12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12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12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12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12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12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12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12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12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12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12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12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12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12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12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12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12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12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12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12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12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12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12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12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12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12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12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12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12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12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12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12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12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12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12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12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12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12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12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12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12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12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12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12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12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12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12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12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12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12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12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12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12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12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12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12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12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12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12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12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12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12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12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12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12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12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12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12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12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12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12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12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12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12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12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12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12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12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12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12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12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12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12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12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12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12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12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12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12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12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12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12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12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12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12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12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12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12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12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12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12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12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12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12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12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12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12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12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12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12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12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12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12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12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12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12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12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12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12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12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12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12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12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12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12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12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12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12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12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12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12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12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12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12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12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12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12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12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12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12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12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12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12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12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12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12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12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12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12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12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12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12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12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12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12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12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12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12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12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12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12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12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12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12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12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12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12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12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12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12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12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12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12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12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12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12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12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12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12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12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12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12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12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12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12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12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12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12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12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12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12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12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12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12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12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12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12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12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12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12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12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12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12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12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12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12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12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12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12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12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12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12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12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12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12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12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12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12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12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12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12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12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12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12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12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12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12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12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12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12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12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12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12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12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12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12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12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12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12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12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12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12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12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12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12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12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12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12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12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12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12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12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12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12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12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12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12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12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12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12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12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12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12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12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12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12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12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12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12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12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12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12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12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12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12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12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12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12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12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12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12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12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12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12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12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12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12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12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12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12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12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12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12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12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12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12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12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12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12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12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12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12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12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12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12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12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12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12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12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12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12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12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12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12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12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12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12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12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12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12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12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12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12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12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12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12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12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12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12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12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12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12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12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12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12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12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12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12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12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12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12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12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12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12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12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12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12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12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12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12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12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12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12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12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12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12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12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12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12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12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12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12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12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12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12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12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12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12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12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12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12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12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12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12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12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12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12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12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12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12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12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12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12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12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12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12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12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12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12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12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12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12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12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12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12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12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12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12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12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12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12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12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12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12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12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12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12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12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12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12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12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12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12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12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12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12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12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12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12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12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12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12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12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12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12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12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12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12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12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12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12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12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12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12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12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12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12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12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12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12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12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12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12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12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12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12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12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12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12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12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12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12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12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12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12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12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12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12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12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12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12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12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12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12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12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12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12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12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12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12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12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12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12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12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12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12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12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12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12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12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12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12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12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12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12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12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12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12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12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12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12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12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12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12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12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12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12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12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12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12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12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12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12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12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12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12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12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12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12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12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12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12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12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12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12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12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12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12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12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12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12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12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12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12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12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12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12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12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12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12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12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12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12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12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12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12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12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12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12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12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12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12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12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12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12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12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12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12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12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12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12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12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12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12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12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12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12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12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12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12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12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12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12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12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12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12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12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12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12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12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12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12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12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12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12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12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12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12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12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12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12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12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12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12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12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12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12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12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12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12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12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12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12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12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12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12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12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12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12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12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12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12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12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12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12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12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12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12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12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12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12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12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12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12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12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12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12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12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12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12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12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12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12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12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12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12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12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12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12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12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12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12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12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12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12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12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12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12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12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12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12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12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12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12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12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12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12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12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12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12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12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12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12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12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12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12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12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12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12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12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12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12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12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12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12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12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12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12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12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12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12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12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12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12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12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12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12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12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12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12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12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12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12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12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12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12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12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12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12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12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12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8"/>
      <c r="B997" s="12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8"/>
      <c r="B998" s="12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8"/>
      <c r="B999" s="12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8"/>
      <c r="B1000" s="12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5">
    <mergeCell ref="A1:L1"/>
    <mergeCell ref="A2:L2"/>
    <mergeCell ref="A4:L4"/>
    <mergeCell ref="A36:L36"/>
    <mergeCell ref="A37:L37"/>
  </mergeCells>
  <dataValidations>
    <dataValidation type="list" allowBlank="1" showErrorMessage="1" sqref="D6:I35 D39:I68">
      <formula1>"Presente,Ausente,Tardanza,Justificado"</formula1>
    </dataValidation>
  </dataValidations>
  <printOptions/>
  <pageMargins bottom="1.0" footer="0.0" header="0.0" left="0.75" right="0.75" top="1.0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1F76"/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.29"/>
    <col customWidth="1" min="2" max="2" width="12.43"/>
    <col customWidth="1" min="3" max="3" width="7.43"/>
    <col customWidth="1" min="4" max="4" width="40.0"/>
    <col customWidth="1" min="5" max="5" width="9.14"/>
    <col customWidth="1" min="6" max="6" width="8.71"/>
    <col customWidth="1" min="7" max="7" width="17.86"/>
    <col customWidth="1" min="8" max="8" width="17.0"/>
    <col customWidth="1" min="9" max="9" width="28.0"/>
    <col customWidth="1" min="10" max="10" width="10.0"/>
    <col customWidth="1" min="11" max="11" width="18.0"/>
    <col customWidth="1" min="12" max="12" width="14.29"/>
    <col customWidth="1" min="13" max="13" width="56.29"/>
    <col customWidth="1" min="14" max="15" width="8.71"/>
    <col customWidth="1" min="16" max="16" width="22.0"/>
    <col customWidth="1" min="17" max="26" width="8.71"/>
  </cols>
  <sheetData>
    <row r="1">
      <c r="A1" s="4" t="s">
        <v>1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9" t="s">
        <v>4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1"/>
      <c r="B3" s="13"/>
      <c r="C3" s="15"/>
      <c r="D3" s="16"/>
      <c r="E3" s="6"/>
      <c r="F3" s="6"/>
      <c r="G3" s="6"/>
      <c r="H3" s="18"/>
      <c r="I3" s="18"/>
      <c r="J3" s="6"/>
      <c r="K3" s="16"/>
      <c r="L3" s="6"/>
      <c r="M3" s="1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24" t="s">
        <v>10</v>
      </c>
      <c r="B4" s="24" t="s">
        <v>14</v>
      </c>
      <c r="C4" s="26" t="s">
        <v>15</v>
      </c>
      <c r="D4" s="24" t="s">
        <v>17</v>
      </c>
      <c r="E4" s="24" t="s">
        <v>18</v>
      </c>
      <c r="F4" s="24" t="s">
        <v>19</v>
      </c>
      <c r="G4" s="24" t="s">
        <v>20</v>
      </c>
      <c r="H4" s="24" t="s">
        <v>21</v>
      </c>
      <c r="I4" s="24" t="s">
        <v>22</v>
      </c>
      <c r="J4" s="24" t="s">
        <v>23</v>
      </c>
      <c r="K4" s="24" t="s">
        <v>13</v>
      </c>
      <c r="L4" s="24" t="s">
        <v>25</v>
      </c>
      <c r="M4" s="24" t="s">
        <v>26</v>
      </c>
      <c r="N4" s="32"/>
      <c r="O4" s="32"/>
      <c r="P4" s="33" t="s">
        <v>31</v>
      </c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43">
        <f t="shared" ref="A5:A10" si="1">IF(G5&lt;&gt;"",ROW()-4,"")</f>
        <v>1</v>
      </c>
      <c r="B5" s="48" t="str">
        <f t="shared" ref="B5:B10" si="2">IF(G5&lt;&gt;"","OT-2026-"&amp;TEXT(ROW()-4,"000"),"")</f>
        <v>OT-2026-001</v>
      </c>
      <c r="C5" s="49">
        <v>46210.0</v>
      </c>
      <c r="D5" s="53" t="s">
        <v>72</v>
      </c>
      <c r="E5" s="59">
        <f>IFERROR(VLOOKUP(D5,'🗂️ DATA_ESCUELAS'!$A:$D,2,0),"")</f>
        <v>60881800</v>
      </c>
      <c r="F5" s="59" t="str">
        <f>IFERROR(VLOOKUP(D5,'🗂️ DATA_ESCUELAS'!$A:$D,3,0),"")</f>
        <v>LA PLATA</v>
      </c>
      <c r="G5" s="64" t="s">
        <v>76</v>
      </c>
      <c r="H5" s="69" t="s">
        <v>79</v>
      </c>
      <c r="I5" s="69" t="s">
        <v>81</v>
      </c>
      <c r="J5" s="64" t="s">
        <v>78</v>
      </c>
      <c r="K5" s="77" t="s">
        <v>84</v>
      </c>
      <c r="L5" s="64" t="s">
        <v>88</v>
      </c>
      <c r="M5" s="77" t="s">
        <v>91</v>
      </c>
      <c r="N5" s="6"/>
      <c r="O5" s="6"/>
      <c r="P5" s="83" t="str">
        <f>'🏅 RANKING'!B4</f>
        <v>Kovach, Ludmila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3">
        <f t="shared" si="1"/>
        <v>2</v>
      </c>
      <c r="B6" s="48" t="str">
        <f t="shared" si="2"/>
        <v>OT-2026-002</v>
      </c>
      <c r="C6" s="49">
        <v>46210.0</v>
      </c>
      <c r="D6" s="86" t="s">
        <v>72</v>
      </c>
      <c r="E6" s="59">
        <f>IFERROR(VLOOKUP(D6,'🗂️ DATA_ESCUELAS'!$A:$D,2,0),"")</f>
        <v>60881800</v>
      </c>
      <c r="F6" s="59" t="str">
        <f>IFERROR(VLOOKUP(D6,'🗂️ DATA_ESCUELAS'!$A:$D,3,0),"")</f>
        <v>LA PLATA</v>
      </c>
      <c r="G6" s="64" t="s">
        <v>98</v>
      </c>
      <c r="H6" s="69" t="s">
        <v>79</v>
      </c>
      <c r="I6" s="69" t="s">
        <v>81</v>
      </c>
      <c r="J6" s="64" t="s">
        <v>78</v>
      </c>
      <c r="K6" s="77" t="s">
        <v>82</v>
      </c>
      <c r="L6" s="64" t="s">
        <v>88</v>
      </c>
      <c r="M6" s="91"/>
      <c r="N6" s="6"/>
      <c r="O6" s="6"/>
      <c r="P6" s="83" t="str">
        <f>'🏅 RANKING'!B5</f>
        <v>Terraza, Brian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3">
        <f t="shared" si="1"/>
        <v>3</v>
      </c>
      <c r="B7" s="48" t="str">
        <f t="shared" si="2"/>
        <v>OT-2026-003</v>
      </c>
      <c r="C7" s="93">
        <v>46210.0</v>
      </c>
      <c r="D7" s="86" t="s">
        <v>72</v>
      </c>
      <c r="E7" s="59">
        <f>IFERROR(VLOOKUP(D7,'🗂️ DATA_ESCUELAS'!$A:$D,2,0),"")</f>
        <v>60881800</v>
      </c>
      <c r="F7" s="59" t="str">
        <f>IFERROR(VLOOKUP(D7,'🗂️ DATA_ESCUELAS'!$A:$D,3,0),"")</f>
        <v>LA PLATA</v>
      </c>
      <c r="G7" s="64" t="s">
        <v>108</v>
      </c>
      <c r="H7" s="69" t="s">
        <v>109</v>
      </c>
      <c r="I7" s="69" t="s">
        <v>110</v>
      </c>
      <c r="J7" s="64" t="s">
        <v>78</v>
      </c>
      <c r="K7" s="77" t="s">
        <v>111</v>
      </c>
      <c r="L7" s="64" t="s">
        <v>112</v>
      </c>
      <c r="M7" s="77" t="s">
        <v>113</v>
      </c>
      <c r="N7" s="6"/>
      <c r="O7" s="6"/>
      <c r="P7" s="83" t="str">
        <f>'🏅 RANKING'!B6</f>
        <v>Pedrozo, Lorena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3">
        <f t="shared" si="1"/>
        <v>4</v>
      </c>
      <c r="B8" s="48" t="str">
        <f t="shared" si="2"/>
        <v>OT-2026-004</v>
      </c>
      <c r="C8" s="49">
        <v>46210.0</v>
      </c>
      <c r="D8" s="86" t="s">
        <v>72</v>
      </c>
      <c r="E8" s="59">
        <f>IFERROR(VLOOKUP(D8,'🗂️ DATA_ESCUELAS'!$A:$D,2,0),"")</f>
        <v>60881800</v>
      </c>
      <c r="F8" s="59" t="str">
        <f>IFERROR(VLOOKUP(D8,'🗂️ DATA_ESCUELAS'!$A:$D,3,0),"")</f>
        <v>LA PLATA</v>
      </c>
      <c r="G8" s="64" t="s">
        <v>117</v>
      </c>
      <c r="H8" s="69" t="s">
        <v>109</v>
      </c>
      <c r="I8" s="69" t="s">
        <v>110</v>
      </c>
      <c r="J8" s="64" t="s">
        <v>78</v>
      </c>
      <c r="K8" s="77" t="s">
        <v>111</v>
      </c>
      <c r="L8" s="64" t="s">
        <v>112</v>
      </c>
      <c r="M8" s="77" t="s">
        <v>119</v>
      </c>
      <c r="N8" s="6"/>
      <c r="O8" s="6"/>
      <c r="P8" s="83" t="str">
        <f>'🏅 RANKING'!B7</f>
        <v>Cáceres, Santiago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3">
        <f t="shared" si="1"/>
        <v>5</v>
      </c>
      <c r="B9" s="48" t="str">
        <f t="shared" si="2"/>
        <v>OT-2026-005</v>
      </c>
      <c r="C9" s="49">
        <v>46210.0</v>
      </c>
      <c r="D9" s="86" t="s">
        <v>72</v>
      </c>
      <c r="E9" s="59">
        <f>IFERROR(VLOOKUP(D9,'🗂️ DATA_ESCUELAS'!$A:$D,2,0),"")</f>
        <v>60881800</v>
      </c>
      <c r="F9" s="59" t="str">
        <f>IFERROR(VLOOKUP(D9,'🗂️ DATA_ESCUELAS'!$A:$D,3,0),"")</f>
        <v>LA PLATA</v>
      </c>
      <c r="G9" s="64" t="s">
        <v>124</v>
      </c>
      <c r="H9" s="69" t="s">
        <v>109</v>
      </c>
      <c r="I9" s="69" t="s">
        <v>110</v>
      </c>
      <c r="J9" s="64" t="s">
        <v>78</v>
      </c>
      <c r="K9" s="77" t="s">
        <v>111</v>
      </c>
      <c r="L9" s="64" t="s">
        <v>112</v>
      </c>
      <c r="M9" s="77" t="s">
        <v>126</v>
      </c>
      <c r="N9" s="6"/>
      <c r="O9" s="6"/>
      <c r="P9" s="83" t="str">
        <f>'🏅 RANKING'!B8</f>
        <v>Aguilera, Thiago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3">
        <f t="shared" si="1"/>
        <v>6</v>
      </c>
      <c r="B10" s="48" t="str">
        <f t="shared" si="2"/>
        <v>OT-2026-006</v>
      </c>
      <c r="C10" s="49">
        <v>46210.0</v>
      </c>
      <c r="D10" s="86" t="s">
        <v>72</v>
      </c>
      <c r="E10" s="59">
        <f>IFERROR(VLOOKUP(D10,'🗂️ DATA_ESCUELAS'!$A:$D,2,0),"")</f>
        <v>60881800</v>
      </c>
      <c r="F10" s="59" t="str">
        <f>IFERROR(VLOOKUP(D10,'🗂️ DATA_ESCUELAS'!$A:$D,3,0),"")</f>
        <v>LA PLATA</v>
      </c>
      <c r="G10" s="64" t="s">
        <v>128</v>
      </c>
      <c r="H10" s="69" t="s">
        <v>129</v>
      </c>
      <c r="I10" s="69" t="s">
        <v>130</v>
      </c>
      <c r="J10" s="64" t="s">
        <v>78</v>
      </c>
      <c r="K10" s="77" t="s">
        <v>111</v>
      </c>
      <c r="L10" s="64" t="s">
        <v>88</v>
      </c>
      <c r="M10" s="77" t="s">
        <v>132</v>
      </c>
      <c r="N10" s="6"/>
      <c r="O10" s="6"/>
      <c r="P10" s="83" t="str">
        <f>'🏅 RANKING'!B9</f>
        <v>Simonetti, Tomás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3">
        <f t="shared" ref="A11:A12" si="3">IF(G12&lt;&gt;"",ROW()-4,"")</f>
        <v>7</v>
      </c>
      <c r="B11" s="48" t="str">
        <f t="shared" ref="B11:B12" si="4">IF(G12&lt;&gt;"","OT-2026-"&amp;TEXT(ROW()-4,"000"),"")</f>
        <v>OT-2026-007</v>
      </c>
      <c r="C11" s="49">
        <v>46210.0</v>
      </c>
      <c r="D11" s="86" t="s">
        <v>72</v>
      </c>
      <c r="E11" s="59">
        <f>IFERROR(VLOOKUP(D11,'🗂️ DATA_ESCUELAS'!$A:$D,2,0),"")</f>
        <v>60881800</v>
      </c>
      <c r="F11" s="59" t="str">
        <f>IFERROR(VLOOKUP(D11,'🗂️ DATA_ESCUELAS'!$A:$D,3,0),"")</f>
        <v>LA PLATA</v>
      </c>
      <c r="G11" s="100" t="s">
        <v>135</v>
      </c>
      <c r="H11" s="69" t="s">
        <v>79</v>
      </c>
      <c r="I11" s="69" t="s">
        <v>136</v>
      </c>
      <c r="J11" s="64" t="s">
        <v>78</v>
      </c>
      <c r="K11" s="77" t="s">
        <v>137</v>
      </c>
      <c r="L11" s="64" t="s">
        <v>88</v>
      </c>
      <c r="M11" s="91"/>
      <c r="N11" s="6"/>
      <c r="O11" s="6"/>
      <c r="P11" s="83" t="str">
        <f>'🏅 RANKING'!B10</f>
        <v>Pinilla, Alexis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3">
        <f t="shared" si="3"/>
        <v>8</v>
      </c>
      <c r="B12" s="48" t="str">
        <f t="shared" si="4"/>
        <v>OT-2026-008</v>
      </c>
      <c r="C12" s="49">
        <v>46210.0</v>
      </c>
      <c r="D12" s="86" t="s">
        <v>72</v>
      </c>
      <c r="E12" s="59">
        <f>IFERROR(VLOOKUP(D12,'🗂️ DATA_ESCUELAS'!$A:$D,2,0),"")</f>
        <v>60881800</v>
      </c>
      <c r="F12" s="59" t="str">
        <f>IFERROR(VLOOKUP(D12,'🗂️ DATA_ESCUELAS'!$A:$D,3,0),"")</f>
        <v>LA PLATA</v>
      </c>
      <c r="G12" s="64" t="s">
        <v>140</v>
      </c>
      <c r="H12" s="69" t="s">
        <v>129</v>
      </c>
      <c r="I12" s="69" t="s">
        <v>130</v>
      </c>
      <c r="J12" s="64" t="s">
        <v>78</v>
      </c>
      <c r="K12" s="77" t="s">
        <v>111</v>
      </c>
      <c r="L12" s="64" t="s">
        <v>88</v>
      </c>
      <c r="M12" s="77" t="s">
        <v>142</v>
      </c>
      <c r="N12" s="6"/>
      <c r="O12" s="6"/>
      <c r="P12" s="83" t="str">
        <f>'🏅 RANKING'!B11</f>
        <v>Lorenzetti, Axel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3">
        <f t="shared" ref="A13:A500" si="5">IF(G13&lt;&gt;"",ROW()-4,"")</f>
        <v>9</v>
      </c>
      <c r="B13" s="48" t="str">
        <f t="shared" ref="B13:B253" si="6">IF(G13&lt;&gt;"","OT-2026-"&amp;TEXT(ROW()-4,"000"),"")</f>
        <v>OT-2026-009</v>
      </c>
      <c r="C13" s="49">
        <v>46210.0</v>
      </c>
      <c r="D13" s="86" t="s">
        <v>72</v>
      </c>
      <c r="E13" s="59">
        <f>IFERROR(VLOOKUP(D13,'🗂️ DATA_ESCUELAS'!$A:$D,2,0),"")</f>
        <v>60881800</v>
      </c>
      <c r="F13" s="59" t="str">
        <f>IFERROR(VLOOKUP(D13,'🗂️ DATA_ESCUELAS'!$A:$D,3,0),"")</f>
        <v>LA PLATA</v>
      </c>
      <c r="G13" s="64" t="s">
        <v>145</v>
      </c>
      <c r="H13" s="69" t="s">
        <v>79</v>
      </c>
      <c r="I13" s="69" t="s">
        <v>146</v>
      </c>
      <c r="J13" s="64" t="s">
        <v>78</v>
      </c>
      <c r="K13" s="77" t="s">
        <v>82</v>
      </c>
      <c r="L13" s="64" t="s">
        <v>88</v>
      </c>
      <c r="M13" s="77" t="s">
        <v>147</v>
      </c>
      <c r="N13" s="6"/>
      <c r="O13" s="6"/>
      <c r="P13" s="83" t="str">
        <f>'🏅 RANKING'!B12</f>
        <v>Leal, Benjamín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3">
        <f t="shared" si="5"/>
        <v>10</v>
      </c>
      <c r="B14" s="48" t="str">
        <f t="shared" si="6"/>
        <v>OT-2026-010</v>
      </c>
      <c r="C14" s="49">
        <v>46210.0</v>
      </c>
      <c r="D14" s="86" t="s">
        <v>72</v>
      </c>
      <c r="E14" s="59">
        <f>IFERROR(VLOOKUP(D14,'🗂️ DATA_ESCUELAS'!$A:$D,2,0),"")</f>
        <v>60881800</v>
      </c>
      <c r="F14" s="59" t="str">
        <f>IFERROR(VLOOKUP(D14,'🗂️ DATA_ESCUELAS'!$A:$D,3,0),"")</f>
        <v>LA PLATA</v>
      </c>
      <c r="G14" s="64" t="s">
        <v>152</v>
      </c>
      <c r="H14" s="69" t="s">
        <v>129</v>
      </c>
      <c r="I14" s="69" t="s">
        <v>130</v>
      </c>
      <c r="J14" s="64" t="s">
        <v>78</v>
      </c>
      <c r="K14" s="77" t="s">
        <v>111</v>
      </c>
      <c r="L14" s="64" t="s">
        <v>88</v>
      </c>
      <c r="M14" s="91"/>
      <c r="N14" s="6"/>
      <c r="O14" s="6"/>
      <c r="P14" s="83" t="str">
        <f>'🏅 RANKING'!B13</f>
        <v>Calascibetta, Felipe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3">
        <f t="shared" si="5"/>
        <v>11</v>
      </c>
      <c r="B15" s="48" t="str">
        <f t="shared" si="6"/>
        <v>OT-2026-011</v>
      </c>
      <c r="C15" s="49">
        <v>46210.0</v>
      </c>
      <c r="D15" s="86" t="s">
        <v>72</v>
      </c>
      <c r="E15" s="59">
        <f>IFERROR(VLOOKUP(D15,'🗂️ DATA_ESCUELAS'!$A:$D,2,0),"")</f>
        <v>60881800</v>
      </c>
      <c r="F15" s="59" t="str">
        <f>IFERROR(VLOOKUP(D15,'🗂️ DATA_ESCUELAS'!$A:$D,3,0),"")</f>
        <v>LA PLATA</v>
      </c>
      <c r="G15" s="64" t="s">
        <v>158</v>
      </c>
      <c r="H15" s="69" t="s">
        <v>79</v>
      </c>
      <c r="I15" s="69" t="s">
        <v>146</v>
      </c>
      <c r="J15" s="64" t="s">
        <v>78</v>
      </c>
      <c r="K15" s="77" t="s">
        <v>84</v>
      </c>
      <c r="L15" s="64" t="s">
        <v>88</v>
      </c>
      <c r="M15" s="91"/>
      <c r="N15" s="6"/>
      <c r="O15" s="6"/>
      <c r="P15" s="83" t="str">
        <f>'🏅 RANKING'!B14</f>
        <v>Mottin, Francisco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3">
        <f t="shared" si="5"/>
        <v>12</v>
      </c>
      <c r="B16" s="48" t="str">
        <f t="shared" si="6"/>
        <v>OT-2026-012</v>
      </c>
      <c r="C16" s="49">
        <v>46210.0</v>
      </c>
      <c r="D16" s="86" t="s">
        <v>72</v>
      </c>
      <c r="E16" s="59">
        <f>IFERROR(VLOOKUP(D16,'🗂️ DATA_ESCUELAS'!$A:$D,2,0),"")</f>
        <v>60881800</v>
      </c>
      <c r="F16" s="59" t="str">
        <f>IFERROR(VLOOKUP(D16,'🗂️ DATA_ESCUELAS'!$A:$D,3,0),"")</f>
        <v>LA PLATA</v>
      </c>
      <c r="G16" s="64" t="s">
        <v>128</v>
      </c>
      <c r="H16" s="69" t="s">
        <v>79</v>
      </c>
      <c r="I16" s="69" t="s">
        <v>136</v>
      </c>
      <c r="J16" s="64" t="s">
        <v>78</v>
      </c>
      <c r="K16" s="77" t="s">
        <v>137</v>
      </c>
      <c r="L16" s="64" t="s">
        <v>88</v>
      </c>
      <c r="M16" s="91"/>
      <c r="N16" s="6"/>
      <c r="O16" s="6"/>
      <c r="P16" s="83" t="str">
        <f>'🏅 RANKING'!B15</f>
        <v>Cappelletti, Sofía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3">
        <f t="shared" si="5"/>
        <v>13</v>
      </c>
      <c r="B17" s="48" t="str">
        <f t="shared" si="6"/>
        <v>OT-2026-013</v>
      </c>
      <c r="C17" s="49">
        <v>46210.0</v>
      </c>
      <c r="D17" s="86" t="s">
        <v>72</v>
      </c>
      <c r="E17" s="59">
        <f>IFERROR(VLOOKUP(D17,'🗂️ DATA_ESCUELAS'!$A:$D,2,0),"")</f>
        <v>60881800</v>
      </c>
      <c r="F17" s="59" t="str">
        <f>IFERROR(VLOOKUP(D17,'🗂️ DATA_ESCUELAS'!$A:$D,3,0),"")</f>
        <v>LA PLATA</v>
      </c>
      <c r="G17" s="64" t="s">
        <v>172</v>
      </c>
      <c r="H17" s="69" t="s">
        <v>79</v>
      </c>
      <c r="I17" s="69" t="s">
        <v>136</v>
      </c>
      <c r="J17" s="64" t="s">
        <v>78</v>
      </c>
      <c r="K17" s="77" t="s">
        <v>137</v>
      </c>
      <c r="L17" s="64" t="s">
        <v>88</v>
      </c>
      <c r="M17" s="91"/>
      <c r="N17" s="6"/>
      <c r="O17" s="6"/>
      <c r="P17" s="83" t="s">
        <v>137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3">
        <f t="shared" si="5"/>
        <v>14</v>
      </c>
      <c r="B18" s="48" t="str">
        <f t="shared" si="6"/>
        <v>OT-2026-014</v>
      </c>
      <c r="C18" s="49">
        <v>46210.0</v>
      </c>
      <c r="D18" s="86" t="s">
        <v>72</v>
      </c>
      <c r="E18" s="59">
        <f>IFERROR(VLOOKUP(D18,'🗂️ DATA_ESCUELAS'!$A:$D,2,0),"")</f>
        <v>60881800</v>
      </c>
      <c r="F18" s="59" t="str">
        <f>IFERROR(VLOOKUP(D18,'🗂️ DATA_ESCUELAS'!$A:$D,3,0),"")</f>
        <v>LA PLATA</v>
      </c>
      <c r="G18" s="64" t="s">
        <v>177</v>
      </c>
      <c r="H18" s="69" t="s">
        <v>79</v>
      </c>
      <c r="I18" s="69" t="s">
        <v>146</v>
      </c>
      <c r="J18" s="64" t="s">
        <v>78</v>
      </c>
      <c r="K18" s="77" t="s">
        <v>137</v>
      </c>
      <c r="L18" s="64" t="s">
        <v>112</v>
      </c>
      <c r="M18" s="77" t="s">
        <v>178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43">
        <f t="shared" si="5"/>
        <v>15</v>
      </c>
      <c r="B19" s="48" t="str">
        <f t="shared" si="6"/>
        <v>OT-2026-015</v>
      </c>
      <c r="C19" s="49">
        <v>46210.0</v>
      </c>
      <c r="D19" s="86" t="s">
        <v>72</v>
      </c>
      <c r="E19" s="59">
        <f>IFERROR(VLOOKUP(D19,'🗂️ DATA_ESCUELAS'!$A:$D,2,0),"")</f>
        <v>60881800</v>
      </c>
      <c r="F19" s="59" t="str">
        <f>IFERROR(VLOOKUP(D19,'🗂️ DATA_ESCUELAS'!$A:$D,3,0),"")</f>
        <v>LA PLATA</v>
      </c>
      <c r="G19" s="64" t="s">
        <v>128</v>
      </c>
      <c r="H19" s="69" t="s">
        <v>79</v>
      </c>
      <c r="I19" s="69" t="s">
        <v>146</v>
      </c>
      <c r="J19" s="64" t="s">
        <v>78</v>
      </c>
      <c r="K19" s="77" t="s">
        <v>111</v>
      </c>
      <c r="L19" s="64" t="s">
        <v>88</v>
      </c>
      <c r="M19" s="77" t="s">
        <v>184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43">
        <f t="shared" si="5"/>
        <v>16</v>
      </c>
      <c r="B20" s="48" t="str">
        <f t="shared" si="6"/>
        <v>OT-2026-016</v>
      </c>
      <c r="C20" s="49">
        <v>46210.0</v>
      </c>
      <c r="D20" s="86" t="s">
        <v>72</v>
      </c>
      <c r="E20" s="59">
        <f>IFERROR(VLOOKUP(D20,'🗂️ DATA_ESCUELAS'!$A:$D,2,0),"")</f>
        <v>60881800</v>
      </c>
      <c r="F20" s="59" t="str">
        <f>IFERROR(VLOOKUP(D20,'🗂️ DATA_ESCUELAS'!$A:$D,3,0),"")</f>
        <v>LA PLATA</v>
      </c>
      <c r="G20" s="64" t="s">
        <v>188</v>
      </c>
      <c r="H20" s="69" t="s">
        <v>189</v>
      </c>
      <c r="I20" s="69" t="s">
        <v>110</v>
      </c>
      <c r="J20" s="59"/>
      <c r="K20" s="77" t="s">
        <v>137</v>
      </c>
      <c r="L20" s="64" t="s">
        <v>112</v>
      </c>
      <c r="M20" s="77" t="s">
        <v>191</v>
      </c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3">
        <f t="shared" si="5"/>
        <v>17</v>
      </c>
      <c r="B21" s="48" t="str">
        <f t="shared" si="6"/>
        <v>OT-2026-017</v>
      </c>
      <c r="C21" s="49">
        <v>46210.0</v>
      </c>
      <c r="D21" s="86" t="s">
        <v>72</v>
      </c>
      <c r="E21" s="59">
        <f>IFERROR(VLOOKUP(D21,'🗂️ DATA_ESCUELAS'!$A:$D,2,0),"")</f>
        <v>60881800</v>
      </c>
      <c r="F21" s="59" t="str">
        <f>IFERROR(VLOOKUP(D21,'🗂️ DATA_ESCUELAS'!$A:$D,3,0),"")</f>
        <v>LA PLATA</v>
      </c>
      <c r="G21" s="64" t="s">
        <v>194</v>
      </c>
      <c r="H21" s="69" t="s">
        <v>189</v>
      </c>
      <c r="I21" s="69" t="s">
        <v>110</v>
      </c>
      <c r="J21" s="59"/>
      <c r="K21" s="77" t="s">
        <v>137</v>
      </c>
      <c r="L21" s="64" t="s">
        <v>88</v>
      </c>
      <c r="M21" s="91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3">
        <f t="shared" si="5"/>
        <v>18</v>
      </c>
      <c r="B22" s="48" t="str">
        <f t="shared" si="6"/>
        <v>OT-2026-018</v>
      </c>
      <c r="C22" s="49">
        <v>46210.0</v>
      </c>
      <c r="D22" s="86" t="s">
        <v>72</v>
      </c>
      <c r="E22" s="59">
        <f>IFERROR(VLOOKUP(D22,'🗂️ DATA_ESCUELAS'!$A:$D,2,0),"")</f>
        <v>60881800</v>
      </c>
      <c r="F22" s="59" t="str">
        <f>IFERROR(VLOOKUP(D22,'🗂️ DATA_ESCUELAS'!$A:$D,3,0),"")</f>
        <v>LA PLATA</v>
      </c>
      <c r="G22" s="64" t="s">
        <v>198</v>
      </c>
      <c r="H22" s="69" t="s">
        <v>189</v>
      </c>
      <c r="I22" s="69" t="s">
        <v>110</v>
      </c>
      <c r="J22" s="59"/>
      <c r="K22" s="77" t="s">
        <v>137</v>
      </c>
      <c r="L22" s="64" t="s">
        <v>88</v>
      </c>
      <c r="M22" s="91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43">
        <f t="shared" si="5"/>
        <v>19</v>
      </c>
      <c r="B23" s="48" t="str">
        <f t="shared" si="6"/>
        <v>OT-2026-019</v>
      </c>
      <c r="C23" s="49">
        <v>46210.0</v>
      </c>
      <c r="D23" s="86" t="s">
        <v>72</v>
      </c>
      <c r="E23" s="59">
        <f>IFERROR(VLOOKUP(D23,'🗂️ DATA_ESCUELAS'!$A:$D,2,0),"")</f>
        <v>60881800</v>
      </c>
      <c r="F23" s="59" t="str">
        <f>IFERROR(VLOOKUP(D23,'🗂️ DATA_ESCUELAS'!$A:$D,3,0),"")</f>
        <v>LA PLATA</v>
      </c>
      <c r="G23" s="64" t="s">
        <v>205</v>
      </c>
      <c r="H23" s="69" t="s">
        <v>189</v>
      </c>
      <c r="I23" s="69" t="s">
        <v>110</v>
      </c>
      <c r="J23" s="59"/>
      <c r="K23" s="77" t="s">
        <v>137</v>
      </c>
      <c r="L23" s="64" t="s">
        <v>88</v>
      </c>
      <c r="M23" s="91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3">
        <f t="shared" si="5"/>
        <v>20</v>
      </c>
      <c r="B24" s="48" t="str">
        <f t="shared" si="6"/>
        <v>OT-2026-020</v>
      </c>
      <c r="C24" s="49">
        <v>46210.0</v>
      </c>
      <c r="D24" s="86" t="s">
        <v>72</v>
      </c>
      <c r="E24" s="59">
        <f>IFERROR(VLOOKUP(D24,'🗂️ DATA_ESCUELAS'!$A:$D,2,0),"")</f>
        <v>60881800</v>
      </c>
      <c r="F24" s="59" t="str">
        <f>IFERROR(VLOOKUP(D24,'🗂️ DATA_ESCUELAS'!$A:$D,3,0),"")</f>
        <v>LA PLATA</v>
      </c>
      <c r="G24" s="64" t="s">
        <v>211</v>
      </c>
      <c r="H24" s="69" t="s">
        <v>189</v>
      </c>
      <c r="I24" s="69" t="s">
        <v>110</v>
      </c>
      <c r="J24" s="59"/>
      <c r="K24" s="77" t="s">
        <v>137</v>
      </c>
      <c r="L24" s="64" t="s">
        <v>112</v>
      </c>
      <c r="M24" s="77" t="s">
        <v>213</v>
      </c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3" t="str">
        <f t="shared" si="5"/>
        <v/>
      </c>
      <c r="B25" s="48" t="str">
        <f t="shared" si="6"/>
        <v/>
      </c>
      <c r="C25" s="123"/>
      <c r="D25" s="124"/>
      <c r="E25" s="59" t="str">
        <f>IFERROR(VLOOKUP(D25,'🗂️ DATA_ESCUELAS'!$A:$D,2,0),"")</f>
        <v/>
      </c>
      <c r="F25" s="59" t="str">
        <f>IFERROR(VLOOKUP(D25,'🗂️ DATA_ESCUELAS'!$A:$D,3,0),"")</f>
        <v/>
      </c>
      <c r="G25" s="59"/>
      <c r="H25" s="125"/>
      <c r="I25" s="125"/>
      <c r="J25" s="59"/>
      <c r="K25" s="91"/>
      <c r="L25" s="59"/>
      <c r="M25" s="91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3" t="str">
        <f t="shared" si="5"/>
        <v/>
      </c>
      <c r="B26" s="48" t="str">
        <f t="shared" si="6"/>
        <v/>
      </c>
      <c r="C26" s="123"/>
      <c r="D26" s="124"/>
      <c r="E26" s="59" t="str">
        <f>IFERROR(VLOOKUP(D26,'🗂️ DATA_ESCUELAS'!$A:$D,2,0),"")</f>
        <v/>
      </c>
      <c r="F26" s="59" t="str">
        <f>IFERROR(VLOOKUP(D26,'🗂️ DATA_ESCUELAS'!$A:$D,3,0),"")</f>
        <v/>
      </c>
      <c r="G26" s="59"/>
      <c r="H26" s="125"/>
      <c r="I26" s="125"/>
      <c r="J26" s="59"/>
      <c r="K26" s="91"/>
      <c r="L26" s="59"/>
      <c r="M26" s="91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3" t="str">
        <f t="shared" si="5"/>
        <v/>
      </c>
      <c r="B27" s="48" t="str">
        <f t="shared" si="6"/>
        <v/>
      </c>
      <c r="C27" s="123"/>
      <c r="D27" s="124"/>
      <c r="E27" s="59" t="str">
        <f>IFERROR(VLOOKUP(D27,'🗂️ DATA_ESCUELAS'!$A:$D,2,0),"")</f>
        <v/>
      </c>
      <c r="F27" s="59" t="str">
        <f>IFERROR(VLOOKUP(D27,'🗂️ DATA_ESCUELAS'!$A:$D,3,0),"")</f>
        <v/>
      </c>
      <c r="G27" s="59"/>
      <c r="H27" s="125"/>
      <c r="I27" s="125"/>
      <c r="J27" s="59"/>
      <c r="K27" s="91"/>
      <c r="L27" s="59"/>
      <c r="M27" s="91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3" t="str">
        <f t="shared" si="5"/>
        <v/>
      </c>
      <c r="B28" s="48" t="str">
        <f t="shared" si="6"/>
        <v/>
      </c>
      <c r="C28" s="123"/>
      <c r="D28" s="124"/>
      <c r="E28" s="59" t="str">
        <f>IFERROR(VLOOKUP(D28,'🗂️ DATA_ESCUELAS'!$A:$D,2,0),"")</f>
        <v/>
      </c>
      <c r="F28" s="59" t="str">
        <f>IFERROR(VLOOKUP(D28,'🗂️ DATA_ESCUELAS'!$A:$D,3,0),"")</f>
        <v/>
      </c>
      <c r="G28" s="59"/>
      <c r="H28" s="125"/>
      <c r="I28" s="125"/>
      <c r="J28" s="59"/>
      <c r="K28" s="91"/>
      <c r="L28" s="59"/>
      <c r="M28" s="91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3" t="str">
        <f t="shared" si="5"/>
        <v/>
      </c>
      <c r="B29" s="48" t="str">
        <f t="shared" si="6"/>
        <v/>
      </c>
      <c r="C29" s="123"/>
      <c r="D29" s="124"/>
      <c r="E29" s="59" t="str">
        <f>IFERROR(VLOOKUP(D29,'🗂️ DATA_ESCUELAS'!$A:$D,2,0),"")</f>
        <v/>
      </c>
      <c r="F29" s="59" t="str">
        <f>IFERROR(VLOOKUP(D29,'🗂️ DATA_ESCUELAS'!$A:$D,3,0),"")</f>
        <v/>
      </c>
      <c r="G29" s="59"/>
      <c r="H29" s="125"/>
      <c r="I29" s="125"/>
      <c r="J29" s="59"/>
      <c r="K29" s="91"/>
      <c r="L29" s="59"/>
      <c r="M29" s="91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3" t="str">
        <f t="shared" si="5"/>
        <v/>
      </c>
      <c r="B30" s="48" t="str">
        <f t="shared" si="6"/>
        <v/>
      </c>
      <c r="C30" s="123"/>
      <c r="D30" s="124"/>
      <c r="E30" s="59" t="str">
        <f>IFERROR(VLOOKUP(D30,'🗂️ DATA_ESCUELAS'!$A:$D,2,0),"")</f>
        <v/>
      </c>
      <c r="F30" s="59" t="str">
        <f>IFERROR(VLOOKUP(D30,'🗂️ DATA_ESCUELAS'!$A:$D,3,0),"")</f>
        <v/>
      </c>
      <c r="G30" s="59"/>
      <c r="H30" s="125"/>
      <c r="I30" s="125"/>
      <c r="J30" s="59"/>
      <c r="K30" s="91"/>
      <c r="L30" s="59"/>
      <c r="M30" s="91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43" t="str">
        <f t="shared" si="5"/>
        <v/>
      </c>
      <c r="B31" s="48" t="str">
        <f t="shared" si="6"/>
        <v/>
      </c>
      <c r="C31" s="123"/>
      <c r="D31" s="124"/>
      <c r="E31" s="59" t="str">
        <f>IFERROR(VLOOKUP(D31,'🗂️ DATA_ESCUELAS'!$A:$D,2,0),"")</f>
        <v/>
      </c>
      <c r="F31" s="59" t="str">
        <f>IFERROR(VLOOKUP(D31,'🗂️ DATA_ESCUELAS'!$A:$D,3,0),"")</f>
        <v/>
      </c>
      <c r="G31" s="59"/>
      <c r="H31" s="125"/>
      <c r="I31" s="125"/>
      <c r="J31" s="59"/>
      <c r="K31" s="91"/>
      <c r="L31" s="59"/>
      <c r="M31" s="91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43" t="str">
        <f t="shared" si="5"/>
        <v/>
      </c>
      <c r="B32" s="48" t="str">
        <f t="shared" si="6"/>
        <v/>
      </c>
      <c r="C32" s="123"/>
      <c r="D32" s="124"/>
      <c r="E32" s="59" t="str">
        <f>IFERROR(VLOOKUP(D32,'🗂️ DATA_ESCUELAS'!$A:$D,2,0),"")</f>
        <v/>
      </c>
      <c r="F32" s="59" t="str">
        <f>IFERROR(VLOOKUP(D32,'🗂️ DATA_ESCUELAS'!$A:$D,3,0),"")</f>
        <v/>
      </c>
      <c r="G32" s="59"/>
      <c r="H32" s="125"/>
      <c r="I32" s="125"/>
      <c r="J32" s="59"/>
      <c r="K32" s="91"/>
      <c r="L32" s="59"/>
      <c r="M32" s="91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3" t="str">
        <f t="shared" si="5"/>
        <v/>
      </c>
      <c r="B33" s="48" t="str">
        <f t="shared" si="6"/>
        <v/>
      </c>
      <c r="C33" s="123"/>
      <c r="D33" s="124"/>
      <c r="E33" s="59" t="str">
        <f>IFERROR(VLOOKUP(D33,'🗂️ DATA_ESCUELAS'!$A:$D,2,0),"")</f>
        <v/>
      </c>
      <c r="F33" s="59" t="str">
        <f>IFERROR(VLOOKUP(D33,'🗂️ DATA_ESCUELAS'!$A:$D,3,0),"")</f>
        <v/>
      </c>
      <c r="G33" s="59"/>
      <c r="H33" s="125"/>
      <c r="I33" s="125"/>
      <c r="J33" s="59"/>
      <c r="K33" s="91"/>
      <c r="L33" s="59"/>
      <c r="M33" s="91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3" t="str">
        <f t="shared" si="5"/>
        <v/>
      </c>
      <c r="B34" s="48" t="str">
        <f t="shared" si="6"/>
        <v/>
      </c>
      <c r="C34" s="123"/>
      <c r="D34" s="124"/>
      <c r="E34" s="59" t="str">
        <f>IFERROR(VLOOKUP(D34,'🗂️ DATA_ESCUELAS'!$A:$D,2,0),"")</f>
        <v/>
      </c>
      <c r="F34" s="59" t="str">
        <f>IFERROR(VLOOKUP(D34,'🗂️ DATA_ESCUELAS'!$A:$D,3,0),"")</f>
        <v/>
      </c>
      <c r="G34" s="59"/>
      <c r="H34" s="125"/>
      <c r="I34" s="125"/>
      <c r="J34" s="59"/>
      <c r="K34" s="91"/>
      <c r="L34" s="59"/>
      <c r="M34" s="91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3" t="str">
        <f t="shared" si="5"/>
        <v/>
      </c>
      <c r="B35" s="48" t="str">
        <f t="shared" si="6"/>
        <v/>
      </c>
      <c r="C35" s="123"/>
      <c r="D35" s="124"/>
      <c r="E35" s="59" t="str">
        <f>IFERROR(VLOOKUP(D35,'🗂️ DATA_ESCUELAS'!$A:$D,2,0),"")</f>
        <v/>
      </c>
      <c r="F35" s="59" t="str">
        <f>IFERROR(VLOOKUP(D35,'🗂️ DATA_ESCUELAS'!$A:$D,3,0),"")</f>
        <v/>
      </c>
      <c r="G35" s="59"/>
      <c r="H35" s="125"/>
      <c r="I35" s="125"/>
      <c r="J35" s="59"/>
      <c r="K35" s="91"/>
      <c r="L35" s="59"/>
      <c r="M35" s="91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3" t="str">
        <f t="shared" si="5"/>
        <v/>
      </c>
      <c r="B36" s="48" t="str">
        <f t="shared" si="6"/>
        <v/>
      </c>
      <c r="C36" s="123"/>
      <c r="D36" s="124"/>
      <c r="E36" s="59" t="str">
        <f>IFERROR(VLOOKUP(D36,'🗂️ DATA_ESCUELAS'!$A:$D,2,0),"")</f>
        <v/>
      </c>
      <c r="F36" s="59" t="str">
        <f>IFERROR(VLOOKUP(D36,'🗂️ DATA_ESCUELAS'!$A:$D,3,0),"")</f>
        <v/>
      </c>
      <c r="G36" s="59"/>
      <c r="H36" s="125"/>
      <c r="I36" s="125"/>
      <c r="J36" s="59"/>
      <c r="K36" s="91"/>
      <c r="L36" s="59"/>
      <c r="M36" s="91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43" t="str">
        <f t="shared" si="5"/>
        <v/>
      </c>
      <c r="B37" s="48" t="str">
        <f t="shared" si="6"/>
        <v/>
      </c>
      <c r="C37" s="123"/>
      <c r="D37" s="124"/>
      <c r="E37" s="59" t="str">
        <f>IFERROR(VLOOKUP(D37,'🗂️ DATA_ESCUELAS'!$A:$D,2,0),"")</f>
        <v/>
      </c>
      <c r="F37" s="59" t="str">
        <f>IFERROR(VLOOKUP(D37,'🗂️ DATA_ESCUELAS'!$A:$D,3,0),"")</f>
        <v/>
      </c>
      <c r="G37" s="59"/>
      <c r="H37" s="125"/>
      <c r="I37" s="125"/>
      <c r="J37" s="59"/>
      <c r="K37" s="91"/>
      <c r="L37" s="59"/>
      <c r="M37" s="91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3" t="str">
        <f t="shared" si="5"/>
        <v/>
      </c>
      <c r="B38" s="48" t="str">
        <f t="shared" si="6"/>
        <v/>
      </c>
      <c r="C38" s="123"/>
      <c r="D38" s="124"/>
      <c r="E38" s="59" t="str">
        <f>IFERROR(VLOOKUP(D38,'🗂️ DATA_ESCUELAS'!$A:$D,2,0),"")</f>
        <v/>
      </c>
      <c r="F38" s="59" t="str">
        <f>IFERROR(VLOOKUP(D38,'🗂️ DATA_ESCUELAS'!$A:$D,3,0),"")</f>
        <v/>
      </c>
      <c r="G38" s="59"/>
      <c r="H38" s="125"/>
      <c r="I38" s="125"/>
      <c r="J38" s="59"/>
      <c r="K38" s="91"/>
      <c r="L38" s="59"/>
      <c r="M38" s="91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43" t="str">
        <f t="shared" si="5"/>
        <v/>
      </c>
      <c r="B39" s="48" t="str">
        <f t="shared" si="6"/>
        <v/>
      </c>
      <c r="C39" s="123"/>
      <c r="D39" s="124"/>
      <c r="E39" s="59" t="str">
        <f>IFERROR(VLOOKUP(D39,'🗂️ DATA_ESCUELAS'!$A:$D,2,0),"")</f>
        <v/>
      </c>
      <c r="F39" s="59" t="str">
        <f>IFERROR(VLOOKUP(D39,'🗂️ DATA_ESCUELAS'!$A:$D,3,0),"")</f>
        <v/>
      </c>
      <c r="G39" s="59"/>
      <c r="H39" s="125"/>
      <c r="I39" s="125"/>
      <c r="J39" s="59"/>
      <c r="K39" s="91"/>
      <c r="L39" s="59"/>
      <c r="M39" s="91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3" t="str">
        <f t="shared" si="5"/>
        <v/>
      </c>
      <c r="B40" s="48" t="str">
        <f t="shared" si="6"/>
        <v/>
      </c>
      <c r="C40" s="123"/>
      <c r="D40" s="124"/>
      <c r="E40" s="59" t="str">
        <f>IFERROR(VLOOKUP(D40,'🗂️ DATA_ESCUELAS'!$A:$D,2,0),"")</f>
        <v/>
      </c>
      <c r="F40" s="59" t="str">
        <f>IFERROR(VLOOKUP(D40,'🗂️ DATA_ESCUELAS'!$A:$D,3,0),"")</f>
        <v/>
      </c>
      <c r="G40" s="59"/>
      <c r="H40" s="125"/>
      <c r="I40" s="125"/>
      <c r="J40" s="59"/>
      <c r="K40" s="91"/>
      <c r="L40" s="59"/>
      <c r="M40" s="91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43" t="str">
        <f t="shared" si="5"/>
        <v/>
      </c>
      <c r="B41" s="48" t="str">
        <f t="shared" si="6"/>
        <v/>
      </c>
      <c r="C41" s="123"/>
      <c r="D41" s="124"/>
      <c r="E41" s="59" t="str">
        <f>IFERROR(VLOOKUP(D41,'🗂️ DATA_ESCUELAS'!$A:$D,2,0),"")</f>
        <v/>
      </c>
      <c r="F41" s="59" t="str">
        <f>IFERROR(VLOOKUP(D41,'🗂️ DATA_ESCUELAS'!$A:$D,3,0),"")</f>
        <v/>
      </c>
      <c r="G41" s="59"/>
      <c r="H41" s="125"/>
      <c r="I41" s="125"/>
      <c r="J41" s="59"/>
      <c r="K41" s="91"/>
      <c r="L41" s="59"/>
      <c r="M41" s="91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3" t="str">
        <f t="shared" si="5"/>
        <v/>
      </c>
      <c r="B42" s="48" t="str">
        <f t="shared" si="6"/>
        <v/>
      </c>
      <c r="C42" s="123"/>
      <c r="D42" s="124"/>
      <c r="E42" s="59" t="str">
        <f>IFERROR(VLOOKUP(D42,'🗂️ DATA_ESCUELAS'!$A:$D,2,0),"")</f>
        <v/>
      </c>
      <c r="F42" s="59" t="str">
        <f>IFERROR(VLOOKUP(D42,'🗂️ DATA_ESCUELAS'!$A:$D,3,0),"")</f>
        <v/>
      </c>
      <c r="G42" s="59"/>
      <c r="H42" s="125"/>
      <c r="I42" s="125"/>
      <c r="J42" s="59"/>
      <c r="K42" s="91"/>
      <c r="L42" s="59"/>
      <c r="M42" s="91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3" t="str">
        <f t="shared" si="5"/>
        <v/>
      </c>
      <c r="B43" s="48" t="str">
        <f t="shared" si="6"/>
        <v/>
      </c>
      <c r="C43" s="123"/>
      <c r="D43" s="124"/>
      <c r="E43" s="59" t="str">
        <f>IFERROR(VLOOKUP(D43,'🗂️ DATA_ESCUELAS'!$A:$D,2,0),"")</f>
        <v/>
      </c>
      <c r="F43" s="59" t="str">
        <f>IFERROR(VLOOKUP(D43,'🗂️ DATA_ESCUELAS'!$A:$D,3,0),"")</f>
        <v/>
      </c>
      <c r="G43" s="59"/>
      <c r="H43" s="125"/>
      <c r="I43" s="125"/>
      <c r="J43" s="59"/>
      <c r="K43" s="91"/>
      <c r="L43" s="59"/>
      <c r="M43" s="91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3" t="str">
        <f t="shared" si="5"/>
        <v/>
      </c>
      <c r="B44" s="48" t="str">
        <f t="shared" si="6"/>
        <v/>
      </c>
      <c r="C44" s="123"/>
      <c r="D44" s="124"/>
      <c r="E44" s="59" t="str">
        <f>IFERROR(VLOOKUP(D44,'🗂️ DATA_ESCUELAS'!$A:$D,2,0),"")</f>
        <v/>
      </c>
      <c r="F44" s="59" t="str">
        <f>IFERROR(VLOOKUP(D44,'🗂️ DATA_ESCUELAS'!$A:$D,3,0),"")</f>
        <v/>
      </c>
      <c r="G44" s="59"/>
      <c r="H44" s="125"/>
      <c r="I44" s="125"/>
      <c r="J44" s="59"/>
      <c r="K44" s="91"/>
      <c r="L44" s="59"/>
      <c r="M44" s="91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3" t="str">
        <f t="shared" si="5"/>
        <v/>
      </c>
      <c r="B45" s="48" t="str">
        <f t="shared" si="6"/>
        <v/>
      </c>
      <c r="C45" s="123"/>
      <c r="D45" s="124"/>
      <c r="E45" s="59" t="str">
        <f>IFERROR(VLOOKUP(D45,'🗂️ DATA_ESCUELAS'!$A:$D,2,0),"")</f>
        <v/>
      </c>
      <c r="F45" s="59" t="str">
        <f>IFERROR(VLOOKUP(D45,'🗂️ DATA_ESCUELAS'!$A:$D,3,0),"")</f>
        <v/>
      </c>
      <c r="G45" s="59"/>
      <c r="H45" s="125"/>
      <c r="I45" s="125"/>
      <c r="J45" s="59"/>
      <c r="K45" s="91"/>
      <c r="L45" s="59"/>
      <c r="M45" s="91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3" t="str">
        <f t="shared" si="5"/>
        <v/>
      </c>
      <c r="B46" s="48" t="str">
        <f t="shared" si="6"/>
        <v/>
      </c>
      <c r="C46" s="123"/>
      <c r="D46" s="124"/>
      <c r="E46" s="59" t="str">
        <f>IFERROR(VLOOKUP(D46,'🗂️ DATA_ESCUELAS'!$A:$D,2,0),"")</f>
        <v/>
      </c>
      <c r="F46" s="59" t="str">
        <f>IFERROR(VLOOKUP(D46,'🗂️ DATA_ESCUELAS'!$A:$D,3,0),"")</f>
        <v/>
      </c>
      <c r="G46" s="59"/>
      <c r="H46" s="125"/>
      <c r="I46" s="125"/>
      <c r="J46" s="59"/>
      <c r="K46" s="91"/>
      <c r="L46" s="59"/>
      <c r="M46" s="91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3" t="str">
        <f t="shared" si="5"/>
        <v/>
      </c>
      <c r="B47" s="48" t="str">
        <f t="shared" si="6"/>
        <v/>
      </c>
      <c r="C47" s="123"/>
      <c r="D47" s="124"/>
      <c r="E47" s="59" t="str">
        <f>IFERROR(VLOOKUP(D47,'🗂️ DATA_ESCUELAS'!$A:$D,2,0),"")</f>
        <v/>
      </c>
      <c r="F47" s="59" t="str">
        <f>IFERROR(VLOOKUP(D47,'🗂️ DATA_ESCUELAS'!$A:$D,3,0),"")</f>
        <v/>
      </c>
      <c r="G47" s="59"/>
      <c r="H47" s="125"/>
      <c r="I47" s="125"/>
      <c r="J47" s="59"/>
      <c r="K47" s="91"/>
      <c r="L47" s="59"/>
      <c r="M47" s="91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3" t="str">
        <f t="shared" si="5"/>
        <v/>
      </c>
      <c r="B48" s="48" t="str">
        <f t="shared" si="6"/>
        <v/>
      </c>
      <c r="C48" s="123"/>
      <c r="D48" s="124"/>
      <c r="E48" s="59" t="str">
        <f>IFERROR(VLOOKUP(D48,'🗂️ DATA_ESCUELAS'!$A:$D,2,0),"")</f>
        <v/>
      </c>
      <c r="F48" s="59" t="str">
        <f>IFERROR(VLOOKUP(D48,'🗂️ DATA_ESCUELAS'!$A:$D,3,0),"")</f>
        <v/>
      </c>
      <c r="G48" s="59"/>
      <c r="H48" s="125"/>
      <c r="I48" s="125"/>
      <c r="J48" s="59"/>
      <c r="K48" s="91"/>
      <c r="L48" s="59"/>
      <c r="M48" s="91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3" t="str">
        <f t="shared" si="5"/>
        <v/>
      </c>
      <c r="B49" s="48" t="str">
        <f t="shared" si="6"/>
        <v/>
      </c>
      <c r="C49" s="123"/>
      <c r="D49" s="124"/>
      <c r="E49" s="59" t="str">
        <f>IFERROR(VLOOKUP(D49,'🗂️ DATA_ESCUELAS'!$A:$D,2,0),"")</f>
        <v/>
      </c>
      <c r="F49" s="59" t="str">
        <f>IFERROR(VLOOKUP(D49,'🗂️ DATA_ESCUELAS'!$A:$D,3,0),"")</f>
        <v/>
      </c>
      <c r="G49" s="59"/>
      <c r="H49" s="125"/>
      <c r="I49" s="125"/>
      <c r="J49" s="59"/>
      <c r="K49" s="91"/>
      <c r="L49" s="59"/>
      <c r="M49" s="91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43" t="str">
        <f t="shared" si="5"/>
        <v/>
      </c>
      <c r="B50" s="48" t="str">
        <f t="shared" si="6"/>
        <v/>
      </c>
      <c r="C50" s="123"/>
      <c r="D50" s="124"/>
      <c r="E50" s="59" t="str">
        <f>IFERROR(VLOOKUP(D50,'🗂️ DATA_ESCUELAS'!$A:$D,2,0),"")</f>
        <v/>
      </c>
      <c r="F50" s="59" t="str">
        <f>IFERROR(VLOOKUP(D50,'🗂️ DATA_ESCUELAS'!$A:$D,3,0),"")</f>
        <v/>
      </c>
      <c r="G50" s="59"/>
      <c r="H50" s="125"/>
      <c r="I50" s="125"/>
      <c r="J50" s="59"/>
      <c r="K50" s="91"/>
      <c r="L50" s="59"/>
      <c r="M50" s="91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3" t="str">
        <f t="shared" si="5"/>
        <v/>
      </c>
      <c r="B51" s="48" t="str">
        <f t="shared" si="6"/>
        <v/>
      </c>
      <c r="C51" s="123"/>
      <c r="D51" s="124"/>
      <c r="E51" s="59" t="str">
        <f>IFERROR(VLOOKUP(D51,'🗂️ DATA_ESCUELAS'!$A:$D,2,0),"")</f>
        <v/>
      </c>
      <c r="F51" s="59" t="str">
        <f>IFERROR(VLOOKUP(D51,'🗂️ DATA_ESCUELAS'!$A:$D,3,0),"")</f>
        <v/>
      </c>
      <c r="G51" s="59"/>
      <c r="H51" s="125"/>
      <c r="I51" s="125"/>
      <c r="J51" s="59"/>
      <c r="K51" s="91"/>
      <c r="L51" s="59"/>
      <c r="M51" s="91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3" t="str">
        <f t="shared" si="5"/>
        <v/>
      </c>
      <c r="B52" s="48" t="str">
        <f t="shared" si="6"/>
        <v/>
      </c>
      <c r="C52" s="123"/>
      <c r="D52" s="124"/>
      <c r="E52" s="59" t="str">
        <f>IFERROR(VLOOKUP(D52,'🗂️ DATA_ESCUELAS'!$A:$D,2,0),"")</f>
        <v/>
      </c>
      <c r="F52" s="59" t="str">
        <f>IFERROR(VLOOKUP(D52,'🗂️ DATA_ESCUELAS'!$A:$D,3,0),"")</f>
        <v/>
      </c>
      <c r="G52" s="59"/>
      <c r="H52" s="125"/>
      <c r="I52" s="125"/>
      <c r="J52" s="59"/>
      <c r="K52" s="91"/>
      <c r="L52" s="59"/>
      <c r="M52" s="91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3" t="str">
        <f t="shared" si="5"/>
        <v/>
      </c>
      <c r="B53" s="48" t="str">
        <f t="shared" si="6"/>
        <v/>
      </c>
      <c r="C53" s="123"/>
      <c r="D53" s="124"/>
      <c r="E53" s="59" t="str">
        <f>IFERROR(VLOOKUP(D53,'🗂️ DATA_ESCUELAS'!$A:$D,2,0),"")</f>
        <v/>
      </c>
      <c r="F53" s="59" t="str">
        <f>IFERROR(VLOOKUP(D53,'🗂️ DATA_ESCUELAS'!$A:$D,3,0),"")</f>
        <v/>
      </c>
      <c r="G53" s="59"/>
      <c r="H53" s="125"/>
      <c r="I53" s="125"/>
      <c r="J53" s="59"/>
      <c r="K53" s="91"/>
      <c r="L53" s="59"/>
      <c r="M53" s="91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3" t="str">
        <f t="shared" si="5"/>
        <v/>
      </c>
      <c r="B54" s="48" t="str">
        <f t="shared" si="6"/>
        <v/>
      </c>
      <c r="C54" s="123"/>
      <c r="D54" s="124"/>
      <c r="E54" s="59" t="str">
        <f>IFERROR(VLOOKUP(D54,'🗂️ DATA_ESCUELAS'!$A:$D,2,0),"")</f>
        <v/>
      </c>
      <c r="F54" s="59" t="str">
        <f>IFERROR(VLOOKUP(D54,'🗂️ DATA_ESCUELAS'!$A:$D,3,0),"")</f>
        <v/>
      </c>
      <c r="G54" s="59"/>
      <c r="H54" s="125"/>
      <c r="I54" s="125"/>
      <c r="J54" s="59"/>
      <c r="K54" s="91"/>
      <c r="L54" s="59"/>
      <c r="M54" s="91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3" t="str">
        <f t="shared" si="5"/>
        <v/>
      </c>
      <c r="B55" s="48" t="str">
        <f t="shared" si="6"/>
        <v/>
      </c>
      <c r="C55" s="123"/>
      <c r="D55" s="124"/>
      <c r="E55" s="59" t="str">
        <f>IFERROR(VLOOKUP(D55,'🗂️ DATA_ESCUELAS'!$A:$D,2,0),"")</f>
        <v/>
      </c>
      <c r="F55" s="59" t="str">
        <f>IFERROR(VLOOKUP(D55,'🗂️ DATA_ESCUELAS'!$A:$D,3,0),"")</f>
        <v/>
      </c>
      <c r="G55" s="59"/>
      <c r="H55" s="125"/>
      <c r="I55" s="125"/>
      <c r="J55" s="59"/>
      <c r="K55" s="91"/>
      <c r="L55" s="59"/>
      <c r="M55" s="91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3" t="str">
        <f t="shared" si="5"/>
        <v/>
      </c>
      <c r="B56" s="48" t="str">
        <f t="shared" si="6"/>
        <v/>
      </c>
      <c r="C56" s="123"/>
      <c r="D56" s="124"/>
      <c r="E56" s="59" t="str">
        <f>IFERROR(VLOOKUP(D56,'🗂️ DATA_ESCUELAS'!$A:$D,2,0),"")</f>
        <v/>
      </c>
      <c r="F56" s="59" t="str">
        <f>IFERROR(VLOOKUP(D56,'🗂️ DATA_ESCUELAS'!$A:$D,3,0),"")</f>
        <v/>
      </c>
      <c r="G56" s="59"/>
      <c r="H56" s="125"/>
      <c r="I56" s="125"/>
      <c r="J56" s="59"/>
      <c r="K56" s="91"/>
      <c r="L56" s="59"/>
      <c r="M56" s="91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3" t="str">
        <f t="shared" si="5"/>
        <v/>
      </c>
      <c r="B57" s="48" t="str">
        <f t="shared" si="6"/>
        <v/>
      </c>
      <c r="C57" s="123"/>
      <c r="D57" s="124"/>
      <c r="E57" s="59" t="str">
        <f>IFERROR(VLOOKUP(D57,'🗂️ DATA_ESCUELAS'!$A:$D,2,0),"")</f>
        <v/>
      </c>
      <c r="F57" s="59" t="str">
        <f>IFERROR(VLOOKUP(D57,'🗂️ DATA_ESCUELAS'!$A:$D,3,0),"")</f>
        <v/>
      </c>
      <c r="G57" s="59"/>
      <c r="H57" s="125"/>
      <c r="I57" s="125"/>
      <c r="J57" s="59"/>
      <c r="K57" s="91"/>
      <c r="L57" s="59"/>
      <c r="M57" s="91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3" t="str">
        <f t="shared" si="5"/>
        <v/>
      </c>
      <c r="B58" s="48" t="str">
        <f t="shared" si="6"/>
        <v/>
      </c>
      <c r="C58" s="123"/>
      <c r="D58" s="124"/>
      <c r="E58" s="59" t="str">
        <f>IFERROR(VLOOKUP(D58,'🗂️ DATA_ESCUELAS'!$A:$D,2,0),"")</f>
        <v/>
      </c>
      <c r="F58" s="59" t="str">
        <f>IFERROR(VLOOKUP(D58,'🗂️ DATA_ESCUELAS'!$A:$D,3,0),"")</f>
        <v/>
      </c>
      <c r="G58" s="59"/>
      <c r="H58" s="125"/>
      <c r="I58" s="125"/>
      <c r="J58" s="59"/>
      <c r="K58" s="91"/>
      <c r="L58" s="59"/>
      <c r="M58" s="91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3" t="str">
        <f t="shared" si="5"/>
        <v/>
      </c>
      <c r="B59" s="48" t="str">
        <f t="shared" si="6"/>
        <v/>
      </c>
      <c r="C59" s="123"/>
      <c r="D59" s="124"/>
      <c r="E59" s="59" t="str">
        <f>IFERROR(VLOOKUP(D59,'🗂️ DATA_ESCUELAS'!$A:$D,2,0),"")</f>
        <v/>
      </c>
      <c r="F59" s="59" t="str">
        <f>IFERROR(VLOOKUP(D59,'🗂️ DATA_ESCUELAS'!$A:$D,3,0),"")</f>
        <v/>
      </c>
      <c r="G59" s="59"/>
      <c r="H59" s="125"/>
      <c r="I59" s="125"/>
      <c r="J59" s="59"/>
      <c r="K59" s="91"/>
      <c r="L59" s="59"/>
      <c r="M59" s="91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43" t="str">
        <f t="shared" si="5"/>
        <v/>
      </c>
      <c r="B60" s="48" t="str">
        <f t="shared" si="6"/>
        <v/>
      </c>
      <c r="C60" s="123"/>
      <c r="D60" s="124"/>
      <c r="E60" s="59" t="str">
        <f>IFERROR(VLOOKUP(D60,'🗂️ DATA_ESCUELAS'!$A:$D,2,0),"")</f>
        <v/>
      </c>
      <c r="F60" s="59" t="str">
        <f>IFERROR(VLOOKUP(D60,'🗂️ DATA_ESCUELAS'!$A:$D,3,0),"")</f>
        <v/>
      </c>
      <c r="G60" s="59"/>
      <c r="H60" s="125"/>
      <c r="I60" s="125"/>
      <c r="J60" s="59"/>
      <c r="K60" s="91"/>
      <c r="L60" s="59"/>
      <c r="M60" s="91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43" t="str">
        <f t="shared" si="5"/>
        <v/>
      </c>
      <c r="B61" s="48" t="str">
        <f t="shared" si="6"/>
        <v/>
      </c>
      <c r="C61" s="123"/>
      <c r="D61" s="124"/>
      <c r="E61" s="59" t="str">
        <f>IFERROR(VLOOKUP(D61,'🗂️ DATA_ESCUELAS'!$A:$D,2,0),"")</f>
        <v/>
      </c>
      <c r="F61" s="59" t="str">
        <f>IFERROR(VLOOKUP(D61,'🗂️ DATA_ESCUELAS'!$A:$D,3,0),"")</f>
        <v/>
      </c>
      <c r="G61" s="59"/>
      <c r="H61" s="125"/>
      <c r="I61" s="125"/>
      <c r="J61" s="59"/>
      <c r="K61" s="91"/>
      <c r="L61" s="59"/>
      <c r="M61" s="91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43" t="str">
        <f t="shared" si="5"/>
        <v/>
      </c>
      <c r="B62" s="48" t="str">
        <f t="shared" si="6"/>
        <v/>
      </c>
      <c r="C62" s="123"/>
      <c r="D62" s="124"/>
      <c r="E62" s="59" t="str">
        <f>IFERROR(VLOOKUP(D62,'🗂️ DATA_ESCUELAS'!$A:$D,2,0),"")</f>
        <v/>
      </c>
      <c r="F62" s="59" t="str">
        <f>IFERROR(VLOOKUP(D62,'🗂️ DATA_ESCUELAS'!$A:$D,3,0),"")</f>
        <v/>
      </c>
      <c r="G62" s="59"/>
      <c r="H62" s="125"/>
      <c r="I62" s="125"/>
      <c r="J62" s="59"/>
      <c r="K62" s="91"/>
      <c r="L62" s="59"/>
      <c r="M62" s="91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43" t="str">
        <f t="shared" si="5"/>
        <v/>
      </c>
      <c r="B63" s="48" t="str">
        <f t="shared" si="6"/>
        <v/>
      </c>
      <c r="C63" s="123"/>
      <c r="D63" s="124"/>
      <c r="E63" s="59" t="str">
        <f>IFERROR(VLOOKUP(D63,'🗂️ DATA_ESCUELAS'!$A:$D,2,0),"")</f>
        <v/>
      </c>
      <c r="F63" s="59" t="str">
        <f>IFERROR(VLOOKUP(D63,'🗂️ DATA_ESCUELAS'!$A:$D,3,0),"")</f>
        <v/>
      </c>
      <c r="G63" s="59"/>
      <c r="H63" s="125"/>
      <c r="I63" s="125"/>
      <c r="J63" s="59"/>
      <c r="K63" s="91"/>
      <c r="L63" s="59"/>
      <c r="M63" s="91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43" t="str">
        <f t="shared" si="5"/>
        <v/>
      </c>
      <c r="B64" s="48" t="str">
        <f t="shared" si="6"/>
        <v/>
      </c>
      <c r="C64" s="123"/>
      <c r="D64" s="124"/>
      <c r="E64" s="59" t="str">
        <f>IFERROR(VLOOKUP(D64,'🗂️ DATA_ESCUELAS'!$A:$D,2,0),"")</f>
        <v/>
      </c>
      <c r="F64" s="59" t="str">
        <f>IFERROR(VLOOKUP(D64,'🗂️ DATA_ESCUELAS'!$A:$D,3,0),"")</f>
        <v/>
      </c>
      <c r="G64" s="59"/>
      <c r="H64" s="125"/>
      <c r="I64" s="125"/>
      <c r="J64" s="59"/>
      <c r="K64" s="91"/>
      <c r="L64" s="59"/>
      <c r="M64" s="91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43" t="str">
        <f t="shared" si="5"/>
        <v/>
      </c>
      <c r="B65" s="48" t="str">
        <f t="shared" si="6"/>
        <v/>
      </c>
      <c r="C65" s="123"/>
      <c r="D65" s="124"/>
      <c r="E65" s="59" t="str">
        <f>IFERROR(VLOOKUP(D65,'🗂️ DATA_ESCUELAS'!$A:$D,2,0),"")</f>
        <v/>
      </c>
      <c r="F65" s="59" t="str">
        <f>IFERROR(VLOOKUP(D65,'🗂️ DATA_ESCUELAS'!$A:$D,3,0),"")</f>
        <v/>
      </c>
      <c r="G65" s="59"/>
      <c r="H65" s="125"/>
      <c r="I65" s="125"/>
      <c r="J65" s="59"/>
      <c r="K65" s="91"/>
      <c r="L65" s="59"/>
      <c r="M65" s="91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3" t="str">
        <f t="shared" si="5"/>
        <v/>
      </c>
      <c r="B66" s="48" t="str">
        <f t="shared" si="6"/>
        <v/>
      </c>
      <c r="C66" s="123"/>
      <c r="D66" s="124"/>
      <c r="E66" s="59" t="str">
        <f>IFERROR(VLOOKUP(D66,'🗂️ DATA_ESCUELAS'!$A:$D,2,0),"")</f>
        <v/>
      </c>
      <c r="F66" s="59" t="str">
        <f>IFERROR(VLOOKUP(D66,'🗂️ DATA_ESCUELAS'!$A:$D,3,0),"")</f>
        <v/>
      </c>
      <c r="G66" s="59"/>
      <c r="H66" s="125"/>
      <c r="I66" s="125"/>
      <c r="J66" s="59"/>
      <c r="K66" s="91"/>
      <c r="L66" s="59"/>
      <c r="M66" s="91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3" t="str">
        <f t="shared" si="5"/>
        <v/>
      </c>
      <c r="B67" s="48" t="str">
        <f t="shared" si="6"/>
        <v/>
      </c>
      <c r="C67" s="123"/>
      <c r="D67" s="124"/>
      <c r="E67" s="59" t="str">
        <f>IFERROR(VLOOKUP(D67,'🗂️ DATA_ESCUELAS'!$A:$D,2,0),"")</f>
        <v/>
      </c>
      <c r="F67" s="59" t="str">
        <f>IFERROR(VLOOKUP(D67,'🗂️ DATA_ESCUELAS'!$A:$D,3,0),"")</f>
        <v/>
      </c>
      <c r="G67" s="59"/>
      <c r="H67" s="125"/>
      <c r="I67" s="125"/>
      <c r="J67" s="59"/>
      <c r="K67" s="91"/>
      <c r="L67" s="59"/>
      <c r="M67" s="91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43" t="str">
        <f t="shared" si="5"/>
        <v/>
      </c>
      <c r="B68" s="48" t="str">
        <f t="shared" si="6"/>
        <v/>
      </c>
      <c r="C68" s="123"/>
      <c r="D68" s="124"/>
      <c r="E68" s="59" t="str">
        <f>IFERROR(VLOOKUP(D68,'🗂️ DATA_ESCUELAS'!$A:$D,2,0),"")</f>
        <v/>
      </c>
      <c r="F68" s="59" t="str">
        <f>IFERROR(VLOOKUP(D68,'🗂️ DATA_ESCUELAS'!$A:$D,3,0),"")</f>
        <v/>
      </c>
      <c r="G68" s="59"/>
      <c r="H68" s="125"/>
      <c r="I68" s="125"/>
      <c r="J68" s="59"/>
      <c r="K68" s="91"/>
      <c r="L68" s="59"/>
      <c r="M68" s="91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3" t="str">
        <f t="shared" si="5"/>
        <v/>
      </c>
      <c r="B69" s="48" t="str">
        <f t="shared" si="6"/>
        <v/>
      </c>
      <c r="C69" s="123"/>
      <c r="D69" s="124"/>
      <c r="E69" s="59" t="str">
        <f>IFERROR(VLOOKUP(D69,'🗂️ DATA_ESCUELAS'!$A:$D,2,0),"")</f>
        <v/>
      </c>
      <c r="F69" s="59" t="str">
        <f>IFERROR(VLOOKUP(D69,'🗂️ DATA_ESCUELAS'!$A:$D,3,0),"")</f>
        <v/>
      </c>
      <c r="G69" s="59"/>
      <c r="H69" s="125"/>
      <c r="I69" s="125"/>
      <c r="J69" s="59"/>
      <c r="K69" s="91"/>
      <c r="L69" s="59"/>
      <c r="M69" s="91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43" t="str">
        <f t="shared" si="5"/>
        <v/>
      </c>
      <c r="B70" s="48" t="str">
        <f t="shared" si="6"/>
        <v/>
      </c>
      <c r="C70" s="123"/>
      <c r="D70" s="124"/>
      <c r="E70" s="59" t="str">
        <f>IFERROR(VLOOKUP(D70,'🗂️ DATA_ESCUELAS'!$A:$D,2,0),"")</f>
        <v/>
      </c>
      <c r="F70" s="59" t="str">
        <f>IFERROR(VLOOKUP(D70,'🗂️ DATA_ESCUELAS'!$A:$D,3,0),"")</f>
        <v/>
      </c>
      <c r="G70" s="59"/>
      <c r="H70" s="125"/>
      <c r="I70" s="125"/>
      <c r="J70" s="59"/>
      <c r="K70" s="91"/>
      <c r="L70" s="59"/>
      <c r="M70" s="91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3" t="str">
        <f t="shared" si="5"/>
        <v/>
      </c>
      <c r="B71" s="48" t="str">
        <f t="shared" si="6"/>
        <v/>
      </c>
      <c r="C71" s="123"/>
      <c r="D71" s="124"/>
      <c r="E71" s="59" t="str">
        <f>IFERROR(VLOOKUP(D71,'🗂️ DATA_ESCUELAS'!$A:$D,2,0),"")</f>
        <v/>
      </c>
      <c r="F71" s="59" t="str">
        <f>IFERROR(VLOOKUP(D71,'🗂️ DATA_ESCUELAS'!$A:$D,3,0),"")</f>
        <v/>
      </c>
      <c r="G71" s="59"/>
      <c r="H71" s="125"/>
      <c r="I71" s="125"/>
      <c r="J71" s="59"/>
      <c r="K71" s="91"/>
      <c r="L71" s="59"/>
      <c r="M71" s="91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43" t="str">
        <f t="shared" si="5"/>
        <v/>
      </c>
      <c r="B72" s="48" t="str">
        <f t="shared" si="6"/>
        <v/>
      </c>
      <c r="C72" s="123"/>
      <c r="D72" s="124"/>
      <c r="E72" s="59" t="str">
        <f>IFERROR(VLOOKUP(D72,'🗂️ DATA_ESCUELAS'!$A:$D,2,0),"")</f>
        <v/>
      </c>
      <c r="F72" s="59" t="str">
        <f>IFERROR(VLOOKUP(D72,'🗂️ DATA_ESCUELAS'!$A:$D,3,0),"")</f>
        <v/>
      </c>
      <c r="G72" s="59"/>
      <c r="H72" s="125"/>
      <c r="I72" s="125"/>
      <c r="J72" s="59"/>
      <c r="K72" s="91"/>
      <c r="L72" s="59"/>
      <c r="M72" s="91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3" t="str">
        <f t="shared" si="5"/>
        <v/>
      </c>
      <c r="B73" s="48" t="str">
        <f t="shared" si="6"/>
        <v/>
      </c>
      <c r="C73" s="123"/>
      <c r="D73" s="124"/>
      <c r="E73" s="59" t="str">
        <f>IFERROR(VLOOKUP(D73,'🗂️ DATA_ESCUELAS'!$A:$D,2,0),"")</f>
        <v/>
      </c>
      <c r="F73" s="59" t="str">
        <f>IFERROR(VLOOKUP(D73,'🗂️ DATA_ESCUELAS'!$A:$D,3,0),"")</f>
        <v/>
      </c>
      <c r="G73" s="59"/>
      <c r="H73" s="125"/>
      <c r="I73" s="125"/>
      <c r="J73" s="59"/>
      <c r="K73" s="91"/>
      <c r="L73" s="59"/>
      <c r="M73" s="91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43" t="str">
        <f t="shared" si="5"/>
        <v/>
      </c>
      <c r="B74" s="48" t="str">
        <f t="shared" si="6"/>
        <v/>
      </c>
      <c r="C74" s="123"/>
      <c r="D74" s="124"/>
      <c r="E74" s="59" t="str">
        <f>IFERROR(VLOOKUP(D74,'🗂️ DATA_ESCUELAS'!$A:$D,2,0),"")</f>
        <v/>
      </c>
      <c r="F74" s="59" t="str">
        <f>IFERROR(VLOOKUP(D74,'🗂️ DATA_ESCUELAS'!$A:$D,3,0),"")</f>
        <v/>
      </c>
      <c r="G74" s="59"/>
      <c r="H74" s="125"/>
      <c r="I74" s="125"/>
      <c r="J74" s="59"/>
      <c r="K74" s="91"/>
      <c r="L74" s="59"/>
      <c r="M74" s="91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43" t="str">
        <f t="shared" si="5"/>
        <v/>
      </c>
      <c r="B75" s="48" t="str">
        <f t="shared" si="6"/>
        <v/>
      </c>
      <c r="C75" s="123"/>
      <c r="D75" s="124"/>
      <c r="E75" s="59" t="str">
        <f>IFERROR(VLOOKUP(D75,'🗂️ DATA_ESCUELAS'!$A:$D,2,0),"")</f>
        <v/>
      </c>
      <c r="F75" s="59" t="str">
        <f>IFERROR(VLOOKUP(D75,'🗂️ DATA_ESCUELAS'!$A:$D,3,0),"")</f>
        <v/>
      </c>
      <c r="G75" s="59"/>
      <c r="H75" s="125"/>
      <c r="I75" s="125"/>
      <c r="J75" s="59"/>
      <c r="K75" s="91"/>
      <c r="L75" s="59"/>
      <c r="M75" s="91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43" t="str">
        <f t="shared" si="5"/>
        <v/>
      </c>
      <c r="B76" s="48" t="str">
        <f t="shared" si="6"/>
        <v/>
      </c>
      <c r="C76" s="123"/>
      <c r="D76" s="124"/>
      <c r="E76" s="59" t="str">
        <f>IFERROR(VLOOKUP(D76,'🗂️ DATA_ESCUELAS'!$A:$D,2,0),"")</f>
        <v/>
      </c>
      <c r="F76" s="59" t="str">
        <f>IFERROR(VLOOKUP(D76,'🗂️ DATA_ESCUELAS'!$A:$D,3,0),"")</f>
        <v/>
      </c>
      <c r="G76" s="59"/>
      <c r="H76" s="125"/>
      <c r="I76" s="125"/>
      <c r="J76" s="59"/>
      <c r="K76" s="91"/>
      <c r="L76" s="59"/>
      <c r="M76" s="91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43" t="str">
        <f t="shared" si="5"/>
        <v/>
      </c>
      <c r="B77" s="48" t="str">
        <f t="shared" si="6"/>
        <v/>
      </c>
      <c r="C77" s="123"/>
      <c r="D77" s="124"/>
      <c r="E77" s="59" t="str">
        <f>IFERROR(VLOOKUP(D77,'🗂️ DATA_ESCUELAS'!$A:$D,2,0),"")</f>
        <v/>
      </c>
      <c r="F77" s="59" t="str">
        <f>IFERROR(VLOOKUP(D77,'🗂️ DATA_ESCUELAS'!$A:$D,3,0),"")</f>
        <v/>
      </c>
      <c r="G77" s="59"/>
      <c r="H77" s="125"/>
      <c r="I77" s="125"/>
      <c r="J77" s="59"/>
      <c r="K77" s="91"/>
      <c r="L77" s="59"/>
      <c r="M77" s="91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43" t="str">
        <f t="shared" si="5"/>
        <v/>
      </c>
      <c r="B78" s="48" t="str">
        <f t="shared" si="6"/>
        <v/>
      </c>
      <c r="C78" s="123"/>
      <c r="D78" s="124"/>
      <c r="E78" s="59" t="str">
        <f>IFERROR(VLOOKUP(D78,'🗂️ DATA_ESCUELAS'!$A:$D,2,0),"")</f>
        <v/>
      </c>
      <c r="F78" s="59" t="str">
        <f>IFERROR(VLOOKUP(D78,'🗂️ DATA_ESCUELAS'!$A:$D,3,0),"")</f>
        <v/>
      </c>
      <c r="G78" s="59"/>
      <c r="H78" s="125"/>
      <c r="I78" s="125"/>
      <c r="J78" s="59"/>
      <c r="K78" s="91"/>
      <c r="L78" s="59"/>
      <c r="M78" s="91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43" t="str">
        <f t="shared" si="5"/>
        <v/>
      </c>
      <c r="B79" s="48" t="str">
        <f t="shared" si="6"/>
        <v/>
      </c>
      <c r="C79" s="123"/>
      <c r="D79" s="124"/>
      <c r="E79" s="59" t="str">
        <f>IFERROR(VLOOKUP(D79,'🗂️ DATA_ESCUELAS'!$A:$D,2,0),"")</f>
        <v/>
      </c>
      <c r="F79" s="59" t="str">
        <f>IFERROR(VLOOKUP(D79,'🗂️ DATA_ESCUELAS'!$A:$D,3,0),"")</f>
        <v/>
      </c>
      <c r="G79" s="59"/>
      <c r="H79" s="125"/>
      <c r="I79" s="125"/>
      <c r="J79" s="59"/>
      <c r="K79" s="91"/>
      <c r="L79" s="59"/>
      <c r="M79" s="91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43" t="str">
        <f t="shared" si="5"/>
        <v/>
      </c>
      <c r="B80" s="48" t="str">
        <f t="shared" si="6"/>
        <v/>
      </c>
      <c r="C80" s="123"/>
      <c r="D80" s="124"/>
      <c r="E80" s="59" t="str">
        <f>IFERROR(VLOOKUP(D80,'🗂️ DATA_ESCUELAS'!$A:$D,2,0),"")</f>
        <v/>
      </c>
      <c r="F80" s="59" t="str">
        <f>IFERROR(VLOOKUP(D80,'🗂️ DATA_ESCUELAS'!$A:$D,3,0),"")</f>
        <v/>
      </c>
      <c r="G80" s="59"/>
      <c r="H80" s="125"/>
      <c r="I80" s="125"/>
      <c r="J80" s="59"/>
      <c r="K80" s="91"/>
      <c r="L80" s="59"/>
      <c r="M80" s="91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43" t="str">
        <f t="shared" si="5"/>
        <v/>
      </c>
      <c r="B81" s="48" t="str">
        <f t="shared" si="6"/>
        <v/>
      </c>
      <c r="C81" s="123"/>
      <c r="D81" s="124"/>
      <c r="E81" s="59" t="str">
        <f>IFERROR(VLOOKUP(D81,'🗂️ DATA_ESCUELAS'!$A:$D,2,0),"")</f>
        <v/>
      </c>
      <c r="F81" s="59" t="str">
        <f>IFERROR(VLOOKUP(D81,'🗂️ DATA_ESCUELAS'!$A:$D,3,0),"")</f>
        <v/>
      </c>
      <c r="G81" s="59"/>
      <c r="H81" s="125"/>
      <c r="I81" s="125"/>
      <c r="J81" s="59"/>
      <c r="K81" s="91"/>
      <c r="L81" s="59"/>
      <c r="M81" s="91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43" t="str">
        <f t="shared" si="5"/>
        <v/>
      </c>
      <c r="B82" s="48" t="str">
        <f t="shared" si="6"/>
        <v/>
      </c>
      <c r="C82" s="123"/>
      <c r="D82" s="124"/>
      <c r="E82" s="59" t="str">
        <f>IFERROR(VLOOKUP(D82,'🗂️ DATA_ESCUELAS'!$A:$D,2,0),"")</f>
        <v/>
      </c>
      <c r="F82" s="59" t="str">
        <f>IFERROR(VLOOKUP(D82,'🗂️ DATA_ESCUELAS'!$A:$D,3,0),"")</f>
        <v/>
      </c>
      <c r="G82" s="59"/>
      <c r="H82" s="125"/>
      <c r="I82" s="125"/>
      <c r="J82" s="59"/>
      <c r="K82" s="91"/>
      <c r="L82" s="59"/>
      <c r="M82" s="91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43" t="str">
        <f t="shared" si="5"/>
        <v/>
      </c>
      <c r="B83" s="48" t="str">
        <f t="shared" si="6"/>
        <v/>
      </c>
      <c r="C83" s="123"/>
      <c r="D83" s="124"/>
      <c r="E83" s="59" t="str">
        <f>IFERROR(VLOOKUP(D83,'🗂️ DATA_ESCUELAS'!$A:$D,2,0),"")</f>
        <v/>
      </c>
      <c r="F83" s="59" t="str">
        <f>IFERROR(VLOOKUP(D83,'🗂️ DATA_ESCUELAS'!$A:$D,3,0),"")</f>
        <v/>
      </c>
      <c r="G83" s="59"/>
      <c r="H83" s="125"/>
      <c r="I83" s="125"/>
      <c r="J83" s="59"/>
      <c r="K83" s="91"/>
      <c r="L83" s="59"/>
      <c r="M83" s="91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43" t="str">
        <f t="shared" si="5"/>
        <v/>
      </c>
      <c r="B84" s="48" t="str">
        <f t="shared" si="6"/>
        <v/>
      </c>
      <c r="C84" s="123"/>
      <c r="D84" s="124"/>
      <c r="E84" s="59" t="str">
        <f>IFERROR(VLOOKUP(D84,'🗂️ DATA_ESCUELAS'!$A:$D,2,0),"")</f>
        <v/>
      </c>
      <c r="F84" s="59" t="str">
        <f>IFERROR(VLOOKUP(D84,'🗂️ DATA_ESCUELAS'!$A:$D,3,0),"")</f>
        <v/>
      </c>
      <c r="G84" s="59"/>
      <c r="H84" s="125"/>
      <c r="I84" s="125"/>
      <c r="J84" s="59"/>
      <c r="K84" s="91"/>
      <c r="L84" s="59"/>
      <c r="M84" s="91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43" t="str">
        <f t="shared" si="5"/>
        <v/>
      </c>
      <c r="B85" s="48" t="str">
        <f t="shared" si="6"/>
        <v/>
      </c>
      <c r="C85" s="123"/>
      <c r="D85" s="124"/>
      <c r="E85" s="59" t="str">
        <f>IFERROR(VLOOKUP(D85,'🗂️ DATA_ESCUELAS'!$A:$D,2,0),"")</f>
        <v/>
      </c>
      <c r="F85" s="59" t="str">
        <f>IFERROR(VLOOKUP(D85,'🗂️ DATA_ESCUELAS'!$A:$D,3,0),"")</f>
        <v/>
      </c>
      <c r="G85" s="59"/>
      <c r="H85" s="125"/>
      <c r="I85" s="125"/>
      <c r="J85" s="59"/>
      <c r="K85" s="91"/>
      <c r="L85" s="59"/>
      <c r="M85" s="91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43" t="str">
        <f t="shared" si="5"/>
        <v/>
      </c>
      <c r="B86" s="48" t="str">
        <f t="shared" si="6"/>
        <v/>
      </c>
      <c r="C86" s="123"/>
      <c r="D86" s="124"/>
      <c r="E86" s="59" t="str">
        <f>IFERROR(VLOOKUP(D86,'🗂️ DATA_ESCUELAS'!$A:$D,2,0),"")</f>
        <v/>
      </c>
      <c r="F86" s="59" t="str">
        <f>IFERROR(VLOOKUP(D86,'🗂️ DATA_ESCUELAS'!$A:$D,3,0),"")</f>
        <v/>
      </c>
      <c r="G86" s="59"/>
      <c r="H86" s="125"/>
      <c r="I86" s="125"/>
      <c r="J86" s="59"/>
      <c r="K86" s="91"/>
      <c r="L86" s="59"/>
      <c r="M86" s="91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43" t="str">
        <f t="shared" si="5"/>
        <v/>
      </c>
      <c r="B87" s="48" t="str">
        <f t="shared" si="6"/>
        <v/>
      </c>
      <c r="C87" s="123"/>
      <c r="D87" s="124"/>
      <c r="E87" s="59" t="str">
        <f>IFERROR(VLOOKUP(D87,'🗂️ DATA_ESCUELAS'!$A:$D,2,0),"")</f>
        <v/>
      </c>
      <c r="F87" s="59" t="str">
        <f>IFERROR(VLOOKUP(D87,'🗂️ DATA_ESCUELAS'!$A:$D,3,0),"")</f>
        <v/>
      </c>
      <c r="G87" s="59"/>
      <c r="H87" s="125"/>
      <c r="I87" s="125"/>
      <c r="J87" s="59"/>
      <c r="K87" s="91"/>
      <c r="L87" s="59"/>
      <c r="M87" s="91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43" t="str">
        <f t="shared" si="5"/>
        <v/>
      </c>
      <c r="B88" s="48" t="str">
        <f t="shared" si="6"/>
        <v/>
      </c>
      <c r="C88" s="123"/>
      <c r="D88" s="124"/>
      <c r="E88" s="59" t="str">
        <f>IFERROR(VLOOKUP(D88,'🗂️ DATA_ESCUELAS'!$A:$D,2,0),"")</f>
        <v/>
      </c>
      <c r="F88" s="59" t="str">
        <f>IFERROR(VLOOKUP(D88,'🗂️ DATA_ESCUELAS'!$A:$D,3,0),"")</f>
        <v/>
      </c>
      <c r="G88" s="59"/>
      <c r="H88" s="125"/>
      <c r="I88" s="125"/>
      <c r="J88" s="59"/>
      <c r="K88" s="91"/>
      <c r="L88" s="59"/>
      <c r="M88" s="91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43" t="str">
        <f t="shared" si="5"/>
        <v/>
      </c>
      <c r="B89" s="48" t="str">
        <f t="shared" si="6"/>
        <v/>
      </c>
      <c r="C89" s="123"/>
      <c r="D89" s="124"/>
      <c r="E89" s="59" t="str">
        <f>IFERROR(VLOOKUP(D89,'🗂️ DATA_ESCUELAS'!$A:$D,2,0),"")</f>
        <v/>
      </c>
      <c r="F89" s="59" t="str">
        <f>IFERROR(VLOOKUP(D89,'🗂️ DATA_ESCUELAS'!$A:$D,3,0),"")</f>
        <v/>
      </c>
      <c r="G89" s="59"/>
      <c r="H89" s="125"/>
      <c r="I89" s="125"/>
      <c r="J89" s="59"/>
      <c r="K89" s="91"/>
      <c r="L89" s="59"/>
      <c r="M89" s="91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43" t="str">
        <f t="shared" si="5"/>
        <v/>
      </c>
      <c r="B90" s="48" t="str">
        <f t="shared" si="6"/>
        <v/>
      </c>
      <c r="C90" s="123"/>
      <c r="D90" s="124"/>
      <c r="E90" s="59" t="str">
        <f>IFERROR(VLOOKUP(D90,'🗂️ DATA_ESCUELAS'!$A:$D,2,0),"")</f>
        <v/>
      </c>
      <c r="F90" s="59" t="str">
        <f>IFERROR(VLOOKUP(D90,'🗂️ DATA_ESCUELAS'!$A:$D,3,0),"")</f>
        <v/>
      </c>
      <c r="G90" s="59"/>
      <c r="H90" s="125"/>
      <c r="I90" s="125"/>
      <c r="J90" s="59"/>
      <c r="K90" s="91"/>
      <c r="L90" s="59"/>
      <c r="M90" s="91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43" t="str">
        <f t="shared" si="5"/>
        <v/>
      </c>
      <c r="B91" s="48" t="str">
        <f t="shared" si="6"/>
        <v/>
      </c>
      <c r="C91" s="123"/>
      <c r="D91" s="124"/>
      <c r="E91" s="59" t="str">
        <f>IFERROR(VLOOKUP(D91,'🗂️ DATA_ESCUELAS'!$A:$D,2,0),"")</f>
        <v/>
      </c>
      <c r="F91" s="59" t="str">
        <f>IFERROR(VLOOKUP(D91,'🗂️ DATA_ESCUELAS'!$A:$D,3,0),"")</f>
        <v/>
      </c>
      <c r="G91" s="59"/>
      <c r="H91" s="125"/>
      <c r="I91" s="125"/>
      <c r="J91" s="59"/>
      <c r="K91" s="91"/>
      <c r="L91" s="59"/>
      <c r="M91" s="91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43" t="str">
        <f t="shared" si="5"/>
        <v/>
      </c>
      <c r="B92" s="48" t="str">
        <f t="shared" si="6"/>
        <v/>
      </c>
      <c r="C92" s="123"/>
      <c r="D92" s="124"/>
      <c r="E92" s="59" t="str">
        <f>IFERROR(VLOOKUP(D92,'🗂️ DATA_ESCUELAS'!$A:$D,2,0),"")</f>
        <v/>
      </c>
      <c r="F92" s="59" t="str">
        <f>IFERROR(VLOOKUP(D92,'🗂️ DATA_ESCUELAS'!$A:$D,3,0),"")</f>
        <v/>
      </c>
      <c r="G92" s="59"/>
      <c r="H92" s="125"/>
      <c r="I92" s="125"/>
      <c r="J92" s="59"/>
      <c r="K92" s="91"/>
      <c r="L92" s="59"/>
      <c r="M92" s="91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43" t="str">
        <f t="shared" si="5"/>
        <v/>
      </c>
      <c r="B93" s="48" t="str">
        <f t="shared" si="6"/>
        <v/>
      </c>
      <c r="C93" s="123"/>
      <c r="D93" s="124"/>
      <c r="E93" s="59" t="str">
        <f>IFERROR(VLOOKUP(D93,'🗂️ DATA_ESCUELAS'!$A:$D,2,0),"")</f>
        <v/>
      </c>
      <c r="F93" s="59" t="str">
        <f>IFERROR(VLOOKUP(D93,'🗂️ DATA_ESCUELAS'!$A:$D,3,0),"")</f>
        <v/>
      </c>
      <c r="G93" s="59"/>
      <c r="H93" s="125"/>
      <c r="I93" s="125"/>
      <c r="J93" s="59"/>
      <c r="K93" s="91"/>
      <c r="L93" s="59"/>
      <c r="M93" s="91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43" t="str">
        <f t="shared" si="5"/>
        <v/>
      </c>
      <c r="B94" s="48" t="str">
        <f t="shared" si="6"/>
        <v/>
      </c>
      <c r="C94" s="123"/>
      <c r="D94" s="124"/>
      <c r="E94" s="59" t="str">
        <f>IFERROR(VLOOKUP(D94,'🗂️ DATA_ESCUELAS'!$A:$D,2,0),"")</f>
        <v/>
      </c>
      <c r="F94" s="59" t="str">
        <f>IFERROR(VLOOKUP(D94,'🗂️ DATA_ESCUELAS'!$A:$D,3,0),"")</f>
        <v/>
      </c>
      <c r="G94" s="59"/>
      <c r="H94" s="125"/>
      <c r="I94" s="125"/>
      <c r="J94" s="59"/>
      <c r="K94" s="91"/>
      <c r="L94" s="59"/>
      <c r="M94" s="91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43" t="str">
        <f t="shared" si="5"/>
        <v/>
      </c>
      <c r="B95" s="48" t="str">
        <f t="shared" si="6"/>
        <v/>
      </c>
      <c r="C95" s="123"/>
      <c r="D95" s="124"/>
      <c r="E95" s="59" t="str">
        <f>IFERROR(VLOOKUP(D95,'🗂️ DATA_ESCUELAS'!$A:$D,2,0),"")</f>
        <v/>
      </c>
      <c r="F95" s="59" t="str">
        <f>IFERROR(VLOOKUP(D95,'🗂️ DATA_ESCUELAS'!$A:$D,3,0),"")</f>
        <v/>
      </c>
      <c r="G95" s="59"/>
      <c r="H95" s="125"/>
      <c r="I95" s="125"/>
      <c r="J95" s="59"/>
      <c r="K95" s="91"/>
      <c r="L95" s="59"/>
      <c r="M95" s="91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43" t="str">
        <f t="shared" si="5"/>
        <v/>
      </c>
      <c r="B96" s="48" t="str">
        <f t="shared" si="6"/>
        <v/>
      </c>
      <c r="C96" s="123"/>
      <c r="D96" s="124"/>
      <c r="E96" s="59" t="str">
        <f>IFERROR(VLOOKUP(D96,'🗂️ DATA_ESCUELAS'!$A:$D,2,0),"")</f>
        <v/>
      </c>
      <c r="F96" s="59" t="str">
        <f>IFERROR(VLOOKUP(D96,'🗂️ DATA_ESCUELAS'!$A:$D,3,0),"")</f>
        <v/>
      </c>
      <c r="G96" s="59"/>
      <c r="H96" s="125"/>
      <c r="I96" s="125"/>
      <c r="J96" s="59"/>
      <c r="K96" s="91"/>
      <c r="L96" s="59"/>
      <c r="M96" s="91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43" t="str">
        <f t="shared" si="5"/>
        <v/>
      </c>
      <c r="B97" s="48" t="str">
        <f t="shared" si="6"/>
        <v/>
      </c>
      <c r="C97" s="123"/>
      <c r="D97" s="124"/>
      <c r="E97" s="59" t="str">
        <f>IFERROR(VLOOKUP(D97,'🗂️ DATA_ESCUELAS'!$A:$D,2,0),"")</f>
        <v/>
      </c>
      <c r="F97" s="59" t="str">
        <f>IFERROR(VLOOKUP(D97,'🗂️ DATA_ESCUELAS'!$A:$D,3,0),"")</f>
        <v/>
      </c>
      <c r="G97" s="59"/>
      <c r="H97" s="125"/>
      <c r="I97" s="125"/>
      <c r="J97" s="59"/>
      <c r="K97" s="91"/>
      <c r="L97" s="59"/>
      <c r="M97" s="91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43" t="str">
        <f t="shared" si="5"/>
        <v/>
      </c>
      <c r="B98" s="48" t="str">
        <f t="shared" si="6"/>
        <v/>
      </c>
      <c r="C98" s="123"/>
      <c r="D98" s="124"/>
      <c r="E98" s="59" t="str">
        <f>IFERROR(VLOOKUP(D98,'🗂️ DATA_ESCUELAS'!$A:$D,2,0),"")</f>
        <v/>
      </c>
      <c r="F98" s="59" t="str">
        <f>IFERROR(VLOOKUP(D98,'🗂️ DATA_ESCUELAS'!$A:$D,3,0),"")</f>
        <v/>
      </c>
      <c r="G98" s="59"/>
      <c r="H98" s="125"/>
      <c r="I98" s="125"/>
      <c r="J98" s="59"/>
      <c r="K98" s="91"/>
      <c r="L98" s="59"/>
      <c r="M98" s="91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43" t="str">
        <f t="shared" si="5"/>
        <v/>
      </c>
      <c r="B99" s="48" t="str">
        <f t="shared" si="6"/>
        <v/>
      </c>
      <c r="C99" s="123"/>
      <c r="D99" s="124"/>
      <c r="E99" s="59" t="str">
        <f>IFERROR(VLOOKUP(D99,'🗂️ DATA_ESCUELAS'!$A:$D,2,0),"")</f>
        <v/>
      </c>
      <c r="F99" s="59" t="str">
        <f>IFERROR(VLOOKUP(D99,'🗂️ DATA_ESCUELAS'!$A:$D,3,0),"")</f>
        <v/>
      </c>
      <c r="G99" s="59"/>
      <c r="H99" s="125"/>
      <c r="I99" s="125"/>
      <c r="J99" s="59"/>
      <c r="K99" s="91"/>
      <c r="L99" s="59"/>
      <c r="M99" s="91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43" t="str">
        <f t="shared" si="5"/>
        <v/>
      </c>
      <c r="B100" s="48" t="str">
        <f t="shared" si="6"/>
        <v/>
      </c>
      <c r="C100" s="123"/>
      <c r="D100" s="124"/>
      <c r="E100" s="59" t="str">
        <f>IFERROR(VLOOKUP(D100,'🗂️ DATA_ESCUELAS'!$A:$D,2,0),"")</f>
        <v/>
      </c>
      <c r="F100" s="59" t="str">
        <f>IFERROR(VLOOKUP(D100,'🗂️ DATA_ESCUELAS'!$A:$D,3,0),"")</f>
        <v/>
      </c>
      <c r="G100" s="59"/>
      <c r="H100" s="125"/>
      <c r="I100" s="125"/>
      <c r="J100" s="59"/>
      <c r="K100" s="91"/>
      <c r="L100" s="59"/>
      <c r="M100" s="91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43" t="str">
        <f t="shared" si="5"/>
        <v/>
      </c>
      <c r="B101" s="48" t="str">
        <f t="shared" si="6"/>
        <v/>
      </c>
      <c r="C101" s="123"/>
      <c r="D101" s="124"/>
      <c r="E101" s="59" t="str">
        <f>IFERROR(VLOOKUP(D101,'🗂️ DATA_ESCUELAS'!$A:$D,2,0),"")</f>
        <v/>
      </c>
      <c r="F101" s="59" t="str">
        <f>IFERROR(VLOOKUP(D101,'🗂️ DATA_ESCUELAS'!$A:$D,3,0),"")</f>
        <v/>
      </c>
      <c r="G101" s="59"/>
      <c r="H101" s="125"/>
      <c r="I101" s="125"/>
      <c r="J101" s="59"/>
      <c r="K101" s="91"/>
      <c r="L101" s="59"/>
      <c r="M101" s="91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43" t="str">
        <f t="shared" si="5"/>
        <v/>
      </c>
      <c r="B102" s="48" t="str">
        <f t="shared" si="6"/>
        <v/>
      </c>
      <c r="C102" s="123"/>
      <c r="D102" s="124"/>
      <c r="E102" s="59" t="str">
        <f>IFERROR(VLOOKUP(D102,'🗂️ DATA_ESCUELAS'!$A:$D,2,0),"")</f>
        <v/>
      </c>
      <c r="F102" s="59" t="str">
        <f>IFERROR(VLOOKUP(D102,'🗂️ DATA_ESCUELAS'!$A:$D,3,0),"")</f>
        <v/>
      </c>
      <c r="G102" s="59"/>
      <c r="H102" s="125"/>
      <c r="I102" s="125"/>
      <c r="J102" s="59"/>
      <c r="K102" s="91"/>
      <c r="L102" s="59"/>
      <c r="M102" s="91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43" t="str">
        <f t="shared" si="5"/>
        <v/>
      </c>
      <c r="B103" s="48" t="str">
        <f t="shared" si="6"/>
        <v/>
      </c>
      <c r="C103" s="123"/>
      <c r="D103" s="124"/>
      <c r="E103" s="59" t="str">
        <f>IFERROR(VLOOKUP(D103,'🗂️ DATA_ESCUELAS'!$A:$D,2,0),"")</f>
        <v/>
      </c>
      <c r="F103" s="59" t="str">
        <f>IFERROR(VLOOKUP(D103,'🗂️ DATA_ESCUELAS'!$A:$D,3,0),"")</f>
        <v/>
      </c>
      <c r="G103" s="59"/>
      <c r="H103" s="125"/>
      <c r="I103" s="125"/>
      <c r="J103" s="59"/>
      <c r="K103" s="91"/>
      <c r="L103" s="59"/>
      <c r="M103" s="91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43" t="str">
        <f t="shared" si="5"/>
        <v/>
      </c>
      <c r="B104" s="48" t="str">
        <f t="shared" si="6"/>
        <v/>
      </c>
      <c r="C104" s="123"/>
      <c r="D104" s="124"/>
      <c r="E104" s="59" t="str">
        <f>IFERROR(VLOOKUP(D104,'🗂️ DATA_ESCUELAS'!$A:$D,2,0),"")</f>
        <v/>
      </c>
      <c r="F104" s="59" t="str">
        <f>IFERROR(VLOOKUP(D104,'🗂️ DATA_ESCUELAS'!$A:$D,3,0),"")</f>
        <v/>
      </c>
      <c r="G104" s="59"/>
      <c r="H104" s="125"/>
      <c r="I104" s="125"/>
      <c r="J104" s="59"/>
      <c r="K104" s="91"/>
      <c r="L104" s="59"/>
      <c r="M104" s="91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43" t="str">
        <f t="shared" si="5"/>
        <v/>
      </c>
      <c r="B105" s="48" t="str">
        <f t="shared" si="6"/>
        <v/>
      </c>
      <c r="C105" s="123"/>
      <c r="D105" s="124"/>
      <c r="E105" s="59" t="str">
        <f>IFERROR(VLOOKUP(D105,'🗂️ DATA_ESCUELAS'!$A:$D,2,0),"")</f>
        <v/>
      </c>
      <c r="F105" s="59" t="str">
        <f>IFERROR(VLOOKUP(D105,'🗂️ DATA_ESCUELAS'!$A:$D,3,0),"")</f>
        <v/>
      </c>
      <c r="G105" s="59"/>
      <c r="H105" s="125"/>
      <c r="I105" s="125"/>
      <c r="J105" s="59"/>
      <c r="K105" s="91"/>
      <c r="L105" s="59"/>
      <c r="M105" s="91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43" t="str">
        <f t="shared" si="5"/>
        <v/>
      </c>
      <c r="B106" s="48" t="str">
        <f t="shared" si="6"/>
        <v/>
      </c>
      <c r="C106" s="123"/>
      <c r="D106" s="124"/>
      <c r="E106" s="59" t="str">
        <f>IFERROR(VLOOKUP(D106,'🗂️ DATA_ESCUELAS'!$A:$D,2,0),"")</f>
        <v/>
      </c>
      <c r="F106" s="59" t="str">
        <f>IFERROR(VLOOKUP(D106,'🗂️ DATA_ESCUELAS'!$A:$D,3,0),"")</f>
        <v/>
      </c>
      <c r="G106" s="59"/>
      <c r="H106" s="125"/>
      <c r="I106" s="125"/>
      <c r="J106" s="59"/>
      <c r="K106" s="91"/>
      <c r="L106" s="59"/>
      <c r="M106" s="91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43" t="str">
        <f t="shared" si="5"/>
        <v/>
      </c>
      <c r="B107" s="48" t="str">
        <f t="shared" si="6"/>
        <v/>
      </c>
      <c r="C107" s="123"/>
      <c r="D107" s="124"/>
      <c r="E107" s="59" t="str">
        <f>IFERROR(VLOOKUP(D107,'🗂️ DATA_ESCUELAS'!$A:$D,2,0),"")</f>
        <v/>
      </c>
      <c r="F107" s="59" t="str">
        <f>IFERROR(VLOOKUP(D107,'🗂️ DATA_ESCUELAS'!$A:$D,3,0),"")</f>
        <v/>
      </c>
      <c r="G107" s="59"/>
      <c r="H107" s="125"/>
      <c r="I107" s="125"/>
      <c r="J107" s="59"/>
      <c r="K107" s="91"/>
      <c r="L107" s="59"/>
      <c r="M107" s="91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43" t="str">
        <f t="shared" si="5"/>
        <v/>
      </c>
      <c r="B108" s="48" t="str">
        <f t="shared" si="6"/>
        <v/>
      </c>
      <c r="C108" s="123"/>
      <c r="D108" s="124"/>
      <c r="E108" s="59" t="str">
        <f>IFERROR(VLOOKUP(D108,'🗂️ DATA_ESCUELAS'!$A:$D,2,0),"")</f>
        <v/>
      </c>
      <c r="F108" s="59" t="str">
        <f>IFERROR(VLOOKUP(D108,'🗂️ DATA_ESCUELAS'!$A:$D,3,0),"")</f>
        <v/>
      </c>
      <c r="G108" s="59"/>
      <c r="H108" s="125"/>
      <c r="I108" s="125"/>
      <c r="J108" s="59"/>
      <c r="K108" s="91"/>
      <c r="L108" s="59"/>
      <c r="M108" s="91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43" t="str">
        <f t="shared" si="5"/>
        <v/>
      </c>
      <c r="B109" s="48" t="str">
        <f t="shared" si="6"/>
        <v/>
      </c>
      <c r="C109" s="123"/>
      <c r="D109" s="124"/>
      <c r="E109" s="59" t="str">
        <f>IFERROR(VLOOKUP(D109,'🗂️ DATA_ESCUELAS'!$A:$D,2,0),"")</f>
        <v/>
      </c>
      <c r="F109" s="59" t="str">
        <f>IFERROR(VLOOKUP(D109,'🗂️ DATA_ESCUELAS'!$A:$D,3,0),"")</f>
        <v/>
      </c>
      <c r="G109" s="59"/>
      <c r="H109" s="125"/>
      <c r="I109" s="125"/>
      <c r="J109" s="59"/>
      <c r="K109" s="91"/>
      <c r="L109" s="59"/>
      <c r="M109" s="91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43" t="str">
        <f t="shared" si="5"/>
        <v/>
      </c>
      <c r="B110" s="48" t="str">
        <f t="shared" si="6"/>
        <v/>
      </c>
      <c r="C110" s="123"/>
      <c r="D110" s="124"/>
      <c r="E110" s="59" t="str">
        <f>IFERROR(VLOOKUP(D110,'🗂️ DATA_ESCUELAS'!$A:$D,2,0),"")</f>
        <v/>
      </c>
      <c r="F110" s="59" t="str">
        <f>IFERROR(VLOOKUP(D110,'🗂️ DATA_ESCUELAS'!$A:$D,3,0),"")</f>
        <v/>
      </c>
      <c r="G110" s="59"/>
      <c r="H110" s="125"/>
      <c r="I110" s="125"/>
      <c r="J110" s="59"/>
      <c r="K110" s="91"/>
      <c r="L110" s="59"/>
      <c r="M110" s="91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43" t="str">
        <f t="shared" si="5"/>
        <v/>
      </c>
      <c r="B111" s="48" t="str">
        <f t="shared" si="6"/>
        <v/>
      </c>
      <c r="C111" s="123"/>
      <c r="D111" s="124"/>
      <c r="E111" s="59" t="str">
        <f>IFERROR(VLOOKUP(D111,'🗂️ DATA_ESCUELAS'!$A:$D,2,0),"")</f>
        <v/>
      </c>
      <c r="F111" s="59" t="str">
        <f>IFERROR(VLOOKUP(D111,'🗂️ DATA_ESCUELAS'!$A:$D,3,0),"")</f>
        <v/>
      </c>
      <c r="G111" s="59"/>
      <c r="H111" s="125"/>
      <c r="I111" s="125"/>
      <c r="J111" s="59"/>
      <c r="K111" s="91"/>
      <c r="L111" s="59"/>
      <c r="M111" s="91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43" t="str">
        <f t="shared" si="5"/>
        <v/>
      </c>
      <c r="B112" s="48" t="str">
        <f t="shared" si="6"/>
        <v/>
      </c>
      <c r="C112" s="123"/>
      <c r="D112" s="124"/>
      <c r="E112" s="59" t="str">
        <f>IFERROR(VLOOKUP(D112,'🗂️ DATA_ESCUELAS'!$A:$D,2,0),"")</f>
        <v/>
      </c>
      <c r="F112" s="59" t="str">
        <f>IFERROR(VLOOKUP(D112,'🗂️ DATA_ESCUELAS'!$A:$D,3,0),"")</f>
        <v/>
      </c>
      <c r="G112" s="59"/>
      <c r="H112" s="125"/>
      <c r="I112" s="125"/>
      <c r="J112" s="59"/>
      <c r="K112" s="91"/>
      <c r="L112" s="59"/>
      <c r="M112" s="91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43" t="str">
        <f t="shared" si="5"/>
        <v/>
      </c>
      <c r="B113" s="48" t="str">
        <f t="shared" si="6"/>
        <v/>
      </c>
      <c r="C113" s="123"/>
      <c r="D113" s="124"/>
      <c r="E113" s="59" t="str">
        <f>IFERROR(VLOOKUP(D113,'🗂️ DATA_ESCUELAS'!$A:$D,2,0),"")</f>
        <v/>
      </c>
      <c r="F113" s="59" t="str">
        <f>IFERROR(VLOOKUP(D113,'🗂️ DATA_ESCUELAS'!$A:$D,3,0),"")</f>
        <v/>
      </c>
      <c r="G113" s="59"/>
      <c r="H113" s="125"/>
      <c r="I113" s="125"/>
      <c r="J113" s="59"/>
      <c r="K113" s="91"/>
      <c r="L113" s="59"/>
      <c r="M113" s="91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43" t="str">
        <f t="shared" si="5"/>
        <v/>
      </c>
      <c r="B114" s="48" t="str">
        <f t="shared" si="6"/>
        <v/>
      </c>
      <c r="C114" s="123"/>
      <c r="D114" s="124"/>
      <c r="E114" s="59" t="str">
        <f>IFERROR(VLOOKUP(D114,'🗂️ DATA_ESCUELAS'!$A:$D,2,0),"")</f>
        <v/>
      </c>
      <c r="F114" s="59" t="str">
        <f>IFERROR(VLOOKUP(D114,'🗂️ DATA_ESCUELAS'!$A:$D,3,0),"")</f>
        <v/>
      </c>
      <c r="G114" s="59"/>
      <c r="H114" s="125"/>
      <c r="I114" s="125"/>
      <c r="J114" s="59"/>
      <c r="K114" s="91"/>
      <c r="L114" s="59"/>
      <c r="M114" s="91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43" t="str">
        <f t="shared" si="5"/>
        <v/>
      </c>
      <c r="B115" s="48" t="str">
        <f t="shared" si="6"/>
        <v/>
      </c>
      <c r="C115" s="123"/>
      <c r="D115" s="124"/>
      <c r="E115" s="59" t="str">
        <f>IFERROR(VLOOKUP(D115,'🗂️ DATA_ESCUELAS'!$A:$D,2,0),"")</f>
        <v/>
      </c>
      <c r="F115" s="59" t="str">
        <f>IFERROR(VLOOKUP(D115,'🗂️ DATA_ESCUELAS'!$A:$D,3,0),"")</f>
        <v/>
      </c>
      <c r="G115" s="59"/>
      <c r="H115" s="125"/>
      <c r="I115" s="125"/>
      <c r="J115" s="59"/>
      <c r="K115" s="91"/>
      <c r="L115" s="59"/>
      <c r="M115" s="91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43" t="str">
        <f t="shared" si="5"/>
        <v/>
      </c>
      <c r="B116" s="48" t="str">
        <f t="shared" si="6"/>
        <v/>
      </c>
      <c r="C116" s="123"/>
      <c r="D116" s="124"/>
      <c r="E116" s="59" t="str">
        <f>IFERROR(VLOOKUP(D116,'🗂️ DATA_ESCUELAS'!$A:$D,2,0),"")</f>
        <v/>
      </c>
      <c r="F116" s="59" t="str">
        <f>IFERROR(VLOOKUP(D116,'🗂️ DATA_ESCUELAS'!$A:$D,3,0),"")</f>
        <v/>
      </c>
      <c r="G116" s="59"/>
      <c r="H116" s="125"/>
      <c r="I116" s="125"/>
      <c r="J116" s="59"/>
      <c r="K116" s="91"/>
      <c r="L116" s="59"/>
      <c r="M116" s="91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43" t="str">
        <f t="shared" si="5"/>
        <v/>
      </c>
      <c r="B117" s="48" t="str">
        <f t="shared" si="6"/>
        <v/>
      </c>
      <c r="C117" s="123"/>
      <c r="D117" s="124"/>
      <c r="E117" s="59" t="str">
        <f>IFERROR(VLOOKUP(D117,'🗂️ DATA_ESCUELAS'!$A:$D,2,0),"")</f>
        <v/>
      </c>
      <c r="F117" s="59" t="str">
        <f>IFERROR(VLOOKUP(D117,'🗂️ DATA_ESCUELAS'!$A:$D,3,0),"")</f>
        <v/>
      </c>
      <c r="G117" s="59"/>
      <c r="H117" s="125"/>
      <c r="I117" s="125"/>
      <c r="J117" s="59"/>
      <c r="K117" s="91"/>
      <c r="L117" s="59"/>
      <c r="M117" s="91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43" t="str">
        <f t="shared" si="5"/>
        <v/>
      </c>
      <c r="B118" s="48" t="str">
        <f t="shared" si="6"/>
        <v/>
      </c>
      <c r="C118" s="123"/>
      <c r="D118" s="124"/>
      <c r="E118" s="59" t="str">
        <f>IFERROR(VLOOKUP(D118,'🗂️ DATA_ESCUELAS'!$A:$D,2,0),"")</f>
        <v/>
      </c>
      <c r="F118" s="59" t="str">
        <f>IFERROR(VLOOKUP(D118,'🗂️ DATA_ESCUELAS'!$A:$D,3,0),"")</f>
        <v/>
      </c>
      <c r="G118" s="59"/>
      <c r="H118" s="125"/>
      <c r="I118" s="125"/>
      <c r="J118" s="59"/>
      <c r="K118" s="91"/>
      <c r="L118" s="59"/>
      <c r="M118" s="91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43" t="str">
        <f t="shared" si="5"/>
        <v/>
      </c>
      <c r="B119" s="48" t="str">
        <f t="shared" si="6"/>
        <v/>
      </c>
      <c r="C119" s="123"/>
      <c r="D119" s="124"/>
      <c r="E119" s="59" t="str">
        <f>IFERROR(VLOOKUP(D119,'🗂️ DATA_ESCUELAS'!$A:$D,2,0),"")</f>
        <v/>
      </c>
      <c r="F119" s="59" t="str">
        <f>IFERROR(VLOOKUP(D119,'🗂️ DATA_ESCUELAS'!$A:$D,3,0),"")</f>
        <v/>
      </c>
      <c r="G119" s="59"/>
      <c r="H119" s="125"/>
      <c r="I119" s="125"/>
      <c r="J119" s="59"/>
      <c r="K119" s="91"/>
      <c r="L119" s="59"/>
      <c r="M119" s="91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43" t="str">
        <f t="shared" si="5"/>
        <v/>
      </c>
      <c r="B120" s="48" t="str">
        <f t="shared" si="6"/>
        <v/>
      </c>
      <c r="C120" s="123"/>
      <c r="D120" s="124"/>
      <c r="E120" s="59" t="str">
        <f>IFERROR(VLOOKUP(D120,'🗂️ DATA_ESCUELAS'!$A:$D,2,0),"")</f>
        <v/>
      </c>
      <c r="F120" s="59" t="str">
        <f>IFERROR(VLOOKUP(D120,'🗂️ DATA_ESCUELAS'!$A:$D,3,0),"")</f>
        <v/>
      </c>
      <c r="G120" s="59"/>
      <c r="H120" s="125"/>
      <c r="I120" s="125"/>
      <c r="J120" s="59"/>
      <c r="K120" s="91"/>
      <c r="L120" s="59"/>
      <c r="M120" s="91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43" t="str">
        <f t="shared" si="5"/>
        <v/>
      </c>
      <c r="B121" s="48" t="str">
        <f t="shared" si="6"/>
        <v/>
      </c>
      <c r="C121" s="123"/>
      <c r="D121" s="124"/>
      <c r="E121" s="59" t="str">
        <f>IFERROR(VLOOKUP(D121,'🗂️ DATA_ESCUELAS'!$A:$D,2,0),"")</f>
        <v/>
      </c>
      <c r="F121" s="59" t="str">
        <f>IFERROR(VLOOKUP(D121,'🗂️ DATA_ESCUELAS'!$A:$D,3,0),"")</f>
        <v/>
      </c>
      <c r="G121" s="59"/>
      <c r="H121" s="125"/>
      <c r="I121" s="125"/>
      <c r="J121" s="59"/>
      <c r="K121" s="91"/>
      <c r="L121" s="59"/>
      <c r="M121" s="91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43" t="str">
        <f t="shared" si="5"/>
        <v/>
      </c>
      <c r="B122" s="48" t="str">
        <f t="shared" si="6"/>
        <v/>
      </c>
      <c r="C122" s="123"/>
      <c r="D122" s="124"/>
      <c r="E122" s="59" t="str">
        <f>IFERROR(VLOOKUP(D122,'🗂️ DATA_ESCUELAS'!$A:$D,2,0),"")</f>
        <v/>
      </c>
      <c r="F122" s="59" t="str">
        <f>IFERROR(VLOOKUP(D122,'🗂️ DATA_ESCUELAS'!$A:$D,3,0),"")</f>
        <v/>
      </c>
      <c r="G122" s="59"/>
      <c r="H122" s="125"/>
      <c r="I122" s="125"/>
      <c r="J122" s="59"/>
      <c r="K122" s="91"/>
      <c r="L122" s="59"/>
      <c r="M122" s="91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43" t="str">
        <f t="shared" si="5"/>
        <v/>
      </c>
      <c r="B123" s="48" t="str">
        <f t="shared" si="6"/>
        <v/>
      </c>
      <c r="C123" s="123"/>
      <c r="D123" s="124"/>
      <c r="E123" s="59" t="str">
        <f>IFERROR(VLOOKUP(D123,'🗂️ DATA_ESCUELAS'!$A:$D,2,0),"")</f>
        <v/>
      </c>
      <c r="F123" s="59" t="str">
        <f>IFERROR(VLOOKUP(D123,'🗂️ DATA_ESCUELAS'!$A:$D,3,0),"")</f>
        <v/>
      </c>
      <c r="G123" s="59"/>
      <c r="H123" s="125"/>
      <c r="I123" s="125"/>
      <c r="J123" s="59"/>
      <c r="K123" s="91"/>
      <c r="L123" s="59"/>
      <c r="M123" s="91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43" t="str">
        <f t="shared" si="5"/>
        <v/>
      </c>
      <c r="B124" s="48" t="str">
        <f t="shared" si="6"/>
        <v/>
      </c>
      <c r="C124" s="123"/>
      <c r="D124" s="124"/>
      <c r="E124" s="59" t="str">
        <f>IFERROR(VLOOKUP(D124,'🗂️ DATA_ESCUELAS'!$A:$D,2,0),"")</f>
        <v/>
      </c>
      <c r="F124" s="59" t="str">
        <f>IFERROR(VLOOKUP(D124,'🗂️ DATA_ESCUELAS'!$A:$D,3,0),"")</f>
        <v/>
      </c>
      <c r="G124" s="59"/>
      <c r="H124" s="125"/>
      <c r="I124" s="125"/>
      <c r="J124" s="59"/>
      <c r="K124" s="91"/>
      <c r="L124" s="59"/>
      <c r="M124" s="91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43" t="str">
        <f t="shared" si="5"/>
        <v/>
      </c>
      <c r="B125" s="48" t="str">
        <f t="shared" si="6"/>
        <v/>
      </c>
      <c r="C125" s="123"/>
      <c r="D125" s="124"/>
      <c r="E125" s="59" t="str">
        <f>IFERROR(VLOOKUP(D125,'🗂️ DATA_ESCUELAS'!$A:$D,2,0),"")</f>
        <v/>
      </c>
      <c r="F125" s="59" t="str">
        <f>IFERROR(VLOOKUP(D125,'🗂️ DATA_ESCUELAS'!$A:$D,3,0),"")</f>
        <v/>
      </c>
      <c r="G125" s="59"/>
      <c r="H125" s="125"/>
      <c r="I125" s="125"/>
      <c r="J125" s="59"/>
      <c r="K125" s="91"/>
      <c r="L125" s="59"/>
      <c r="M125" s="91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43" t="str">
        <f t="shared" si="5"/>
        <v/>
      </c>
      <c r="B126" s="48" t="str">
        <f t="shared" si="6"/>
        <v/>
      </c>
      <c r="C126" s="123"/>
      <c r="D126" s="124"/>
      <c r="E126" s="59" t="str">
        <f>IFERROR(VLOOKUP(D126,'🗂️ DATA_ESCUELAS'!$A:$D,2,0),"")</f>
        <v/>
      </c>
      <c r="F126" s="59" t="str">
        <f>IFERROR(VLOOKUP(D126,'🗂️ DATA_ESCUELAS'!$A:$D,3,0),"")</f>
        <v/>
      </c>
      <c r="G126" s="59"/>
      <c r="H126" s="125"/>
      <c r="I126" s="125"/>
      <c r="J126" s="59"/>
      <c r="K126" s="91"/>
      <c r="L126" s="59"/>
      <c r="M126" s="91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43" t="str">
        <f t="shared" si="5"/>
        <v/>
      </c>
      <c r="B127" s="48" t="str">
        <f t="shared" si="6"/>
        <v/>
      </c>
      <c r="C127" s="123"/>
      <c r="D127" s="124"/>
      <c r="E127" s="59" t="str">
        <f>IFERROR(VLOOKUP(D127,'🗂️ DATA_ESCUELAS'!$A:$D,2,0),"")</f>
        <v/>
      </c>
      <c r="F127" s="59" t="str">
        <f>IFERROR(VLOOKUP(D127,'🗂️ DATA_ESCUELAS'!$A:$D,3,0),"")</f>
        <v/>
      </c>
      <c r="G127" s="59"/>
      <c r="H127" s="125"/>
      <c r="I127" s="125"/>
      <c r="J127" s="59"/>
      <c r="K127" s="91"/>
      <c r="L127" s="59"/>
      <c r="M127" s="91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43" t="str">
        <f t="shared" si="5"/>
        <v/>
      </c>
      <c r="B128" s="48" t="str">
        <f t="shared" si="6"/>
        <v/>
      </c>
      <c r="C128" s="123"/>
      <c r="D128" s="124"/>
      <c r="E128" s="59" t="str">
        <f>IFERROR(VLOOKUP(D128,'🗂️ DATA_ESCUELAS'!$A:$D,2,0),"")</f>
        <v/>
      </c>
      <c r="F128" s="59" t="str">
        <f>IFERROR(VLOOKUP(D128,'🗂️ DATA_ESCUELAS'!$A:$D,3,0),"")</f>
        <v/>
      </c>
      <c r="G128" s="59"/>
      <c r="H128" s="125"/>
      <c r="I128" s="125"/>
      <c r="J128" s="59"/>
      <c r="K128" s="91"/>
      <c r="L128" s="59"/>
      <c r="M128" s="91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43" t="str">
        <f t="shared" si="5"/>
        <v/>
      </c>
      <c r="B129" s="48" t="str">
        <f t="shared" si="6"/>
        <v/>
      </c>
      <c r="C129" s="123"/>
      <c r="D129" s="124"/>
      <c r="E129" s="59" t="str">
        <f>IFERROR(VLOOKUP(D129,'🗂️ DATA_ESCUELAS'!$A:$D,2,0),"")</f>
        <v/>
      </c>
      <c r="F129" s="59" t="str">
        <f>IFERROR(VLOOKUP(D129,'🗂️ DATA_ESCUELAS'!$A:$D,3,0),"")</f>
        <v/>
      </c>
      <c r="G129" s="59"/>
      <c r="H129" s="125"/>
      <c r="I129" s="125"/>
      <c r="J129" s="59"/>
      <c r="K129" s="91"/>
      <c r="L129" s="59"/>
      <c r="M129" s="91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43" t="str">
        <f t="shared" si="5"/>
        <v/>
      </c>
      <c r="B130" s="48" t="str">
        <f t="shared" si="6"/>
        <v/>
      </c>
      <c r="C130" s="123"/>
      <c r="D130" s="124"/>
      <c r="E130" s="59" t="str">
        <f>IFERROR(VLOOKUP(D130,'🗂️ DATA_ESCUELAS'!$A:$D,2,0),"")</f>
        <v/>
      </c>
      <c r="F130" s="59" t="str">
        <f>IFERROR(VLOOKUP(D130,'🗂️ DATA_ESCUELAS'!$A:$D,3,0),"")</f>
        <v/>
      </c>
      <c r="G130" s="59"/>
      <c r="H130" s="125"/>
      <c r="I130" s="125"/>
      <c r="J130" s="59"/>
      <c r="K130" s="91"/>
      <c r="L130" s="59"/>
      <c r="M130" s="91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43" t="str">
        <f t="shared" si="5"/>
        <v/>
      </c>
      <c r="B131" s="48" t="str">
        <f t="shared" si="6"/>
        <v/>
      </c>
      <c r="C131" s="123"/>
      <c r="D131" s="124"/>
      <c r="E131" s="59" t="str">
        <f>IFERROR(VLOOKUP(D131,'🗂️ DATA_ESCUELAS'!$A:$D,2,0),"")</f>
        <v/>
      </c>
      <c r="F131" s="59" t="str">
        <f>IFERROR(VLOOKUP(D131,'🗂️ DATA_ESCUELAS'!$A:$D,3,0),"")</f>
        <v/>
      </c>
      <c r="G131" s="59"/>
      <c r="H131" s="125"/>
      <c r="I131" s="125"/>
      <c r="J131" s="59"/>
      <c r="K131" s="91"/>
      <c r="L131" s="59"/>
      <c r="M131" s="91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43" t="str">
        <f t="shared" si="5"/>
        <v/>
      </c>
      <c r="B132" s="48" t="str">
        <f t="shared" si="6"/>
        <v/>
      </c>
      <c r="C132" s="123"/>
      <c r="D132" s="124"/>
      <c r="E132" s="59" t="str">
        <f>IFERROR(VLOOKUP(D132,'🗂️ DATA_ESCUELAS'!$A:$D,2,0),"")</f>
        <v/>
      </c>
      <c r="F132" s="59" t="str">
        <f>IFERROR(VLOOKUP(D132,'🗂️ DATA_ESCUELAS'!$A:$D,3,0),"")</f>
        <v/>
      </c>
      <c r="G132" s="59"/>
      <c r="H132" s="125"/>
      <c r="I132" s="125"/>
      <c r="J132" s="59"/>
      <c r="K132" s="91"/>
      <c r="L132" s="59"/>
      <c r="M132" s="91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43" t="str">
        <f t="shared" si="5"/>
        <v/>
      </c>
      <c r="B133" s="48" t="str">
        <f t="shared" si="6"/>
        <v/>
      </c>
      <c r="C133" s="123"/>
      <c r="D133" s="124"/>
      <c r="E133" s="59" t="str">
        <f>IFERROR(VLOOKUP(D133,'🗂️ DATA_ESCUELAS'!$A:$D,2,0),"")</f>
        <v/>
      </c>
      <c r="F133" s="59" t="str">
        <f>IFERROR(VLOOKUP(D133,'🗂️ DATA_ESCUELAS'!$A:$D,3,0),"")</f>
        <v/>
      </c>
      <c r="G133" s="59"/>
      <c r="H133" s="125"/>
      <c r="I133" s="125"/>
      <c r="J133" s="59"/>
      <c r="K133" s="91"/>
      <c r="L133" s="59"/>
      <c r="M133" s="91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43" t="str">
        <f t="shared" si="5"/>
        <v/>
      </c>
      <c r="B134" s="48" t="str">
        <f t="shared" si="6"/>
        <v/>
      </c>
      <c r="C134" s="123"/>
      <c r="D134" s="124"/>
      <c r="E134" s="59" t="str">
        <f>IFERROR(VLOOKUP(D134,'🗂️ DATA_ESCUELAS'!$A:$D,2,0),"")</f>
        <v/>
      </c>
      <c r="F134" s="59" t="str">
        <f>IFERROR(VLOOKUP(D134,'🗂️ DATA_ESCUELAS'!$A:$D,3,0),"")</f>
        <v/>
      </c>
      <c r="G134" s="59"/>
      <c r="H134" s="125"/>
      <c r="I134" s="125"/>
      <c r="J134" s="59"/>
      <c r="K134" s="91"/>
      <c r="L134" s="59"/>
      <c r="M134" s="91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43" t="str">
        <f t="shared" si="5"/>
        <v/>
      </c>
      <c r="B135" s="48" t="str">
        <f t="shared" si="6"/>
        <v/>
      </c>
      <c r="C135" s="123"/>
      <c r="D135" s="124"/>
      <c r="E135" s="59" t="str">
        <f>IFERROR(VLOOKUP(D135,'🗂️ DATA_ESCUELAS'!$A:$D,2,0),"")</f>
        <v/>
      </c>
      <c r="F135" s="59" t="str">
        <f>IFERROR(VLOOKUP(D135,'🗂️ DATA_ESCUELAS'!$A:$D,3,0),"")</f>
        <v/>
      </c>
      <c r="G135" s="59"/>
      <c r="H135" s="125"/>
      <c r="I135" s="125"/>
      <c r="J135" s="59"/>
      <c r="K135" s="91"/>
      <c r="L135" s="59"/>
      <c r="M135" s="91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43" t="str">
        <f t="shared" si="5"/>
        <v/>
      </c>
      <c r="B136" s="48" t="str">
        <f t="shared" si="6"/>
        <v/>
      </c>
      <c r="C136" s="123"/>
      <c r="D136" s="124"/>
      <c r="E136" s="59" t="str">
        <f>IFERROR(VLOOKUP(D136,'🗂️ DATA_ESCUELAS'!$A:$D,2,0),"")</f>
        <v/>
      </c>
      <c r="F136" s="59" t="str">
        <f>IFERROR(VLOOKUP(D136,'🗂️ DATA_ESCUELAS'!$A:$D,3,0),"")</f>
        <v/>
      </c>
      <c r="G136" s="59"/>
      <c r="H136" s="125"/>
      <c r="I136" s="125"/>
      <c r="J136" s="59"/>
      <c r="K136" s="91"/>
      <c r="L136" s="59"/>
      <c r="M136" s="91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43" t="str">
        <f t="shared" si="5"/>
        <v/>
      </c>
      <c r="B137" s="48" t="str">
        <f t="shared" si="6"/>
        <v/>
      </c>
      <c r="C137" s="123"/>
      <c r="D137" s="124"/>
      <c r="E137" s="59" t="str">
        <f>IFERROR(VLOOKUP(D137,'🗂️ DATA_ESCUELAS'!$A:$D,2,0),"")</f>
        <v/>
      </c>
      <c r="F137" s="59" t="str">
        <f>IFERROR(VLOOKUP(D137,'🗂️ DATA_ESCUELAS'!$A:$D,3,0),"")</f>
        <v/>
      </c>
      <c r="G137" s="59"/>
      <c r="H137" s="125"/>
      <c r="I137" s="125"/>
      <c r="J137" s="59"/>
      <c r="K137" s="91"/>
      <c r="L137" s="59"/>
      <c r="M137" s="91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43" t="str">
        <f t="shared" si="5"/>
        <v/>
      </c>
      <c r="B138" s="48" t="str">
        <f t="shared" si="6"/>
        <v/>
      </c>
      <c r="C138" s="123"/>
      <c r="D138" s="124"/>
      <c r="E138" s="59" t="str">
        <f>IFERROR(VLOOKUP(D138,'🗂️ DATA_ESCUELAS'!$A:$D,2,0),"")</f>
        <v/>
      </c>
      <c r="F138" s="59" t="str">
        <f>IFERROR(VLOOKUP(D138,'🗂️ DATA_ESCUELAS'!$A:$D,3,0),"")</f>
        <v/>
      </c>
      <c r="G138" s="59"/>
      <c r="H138" s="125"/>
      <c r="I138" s="125"/>
      <c r="J138" s="59"/>
      <c r="K138" s="91"/>
      <c r="L138" s="59"/>
      <c r="M138" s="91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43" t="str">
        <f t="shared" si="5"/>
        <v/>
      </c>
      <c r="B139" s="48" t="str">
        <f t="shared" si="6"/>
        <v/>
      </c>
      <c r="C139" s="123"/>
      <c r="D139" s="124"/>
      <c r="E139" s="59" t="str">
        <f>IFERROR(VLOOKUP(D139,'🗂️ DATA_ESCUELAS'!$A:$D,2,0),"")</f>
        <v/>
      </c>
      <c r="F139" s="59" t="str">
        <f>IFERROR(VLOOKUP(D139,'🗂️ DATA_ESCUELAS'!$A:$D,3,0),"")</f>
        <v/>
      </c>
      <c r="G139" s="59"/>
      <c r="H139" s="125"/>
      <c r="I139" s="125"/>
      <c r="J139" s="59"/>
      <c r="K139" s="91"/>
      <c r="L139" s="59"/>
      <c r="M139" s="91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43" t="str">
        <f t="shared" si="5"/>
        <v/>
      </c>
      <c r="B140" s="48" t="str">
        <f t="shared" si="6"/>
        <v/>
      </c>
      <c r="C140" s="123"/>
      <c r="D140" s="124"/>
      <c r="E140" s="59" t="str">
        <f>IFERROR(VLOOKUP(D140,'🗂️ DATA_ESCUELAS'!$A:$D,2,0),"")</f>
        <v/>
      </c>
      <c r="F140" s="59" t="str">
        <f>IFERROR(VLOOKUP(D140,'🗂️ DATA_ESCUELAS'!$A:$D,3,0),"")</f>
        <v/>
      </c>
      <c r="G140" s="59"/>
      <c r="H140" s="125"/>
      <c r="I140" s="125"/>
      <c r="J140" s="59"/>
      <c r="K140" s="91"/>
      <c r="L140" s="59"/>
      <c r="M140" s="91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43" t="str">
        <f t="shared" si="5"/>
        <v/>
      </c>
      <c r="B141" s="48" t="str">
        <f t="shared" si="6"/>
        <v/>
      </c>
      <c r="C141" s="123"/>
      <c r="D141" s="124"/>
      <c r="E141" s="59" t="str">
        <f>IFERROR(VLOOKUP(D141,'🗂️ DATA_ESCUELAS'!$A:$D,2,0),"")</f>
        <v/>
      </c>
      <c r="F141" s="59" t="str">
        <f>IFERROR(VLOOKUP(D141,'🗂️ DATA_ESCUELAS'!$A:$D,3,0),"")</f>
        <v/>
      </c>
      <c r="G141" s="59"/>
      <c r="H141" s="125"/>
      <c r="I141" s="125"/>
      <c r="J141" s="59"/>
      <c r="K141" s="91"/>
      <c r="L141" s="59"/>
      <c r="M141" s="91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43" t="str">
        <f t="shared" si="5"/>
        <v/>
      </c>
      <c r="B142" s="48" t="str">
        <f t="shared" si="6"/>
        <v/>
      </c>
      <c r="C142" s="123"/>
      <c r="D142" s="124"/>
      <c r="E142" s="59" t="str">
        <f>IFERROR(VLOOKUP(D142,'🗂️ DATA_ESCUELAS'!$A:$D,2,0),"")</f>
        <v/>
      </c>
      <c r="F142" s="59" t="str">
        <f>IFERROR(VLOOKUP(D142,'🗂️ DATA_ESCUELAS'!$A:$D,3,0),"")</f>
        <v/>
      </c>
      <c r="G142" s="59"/>
      <c r="H142" s="125"/>
      <c r="I142" s="125"/>
      <c r="J142" s="59"/>
      <c r="K142" s="91"/>
      <c r="L142" s="59"/>
      <c r="M142" s="91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43" t="str">
        <f t="shared" si="5"/>
        <v/>
      </c>
      <c r="B143" s="48" t="str">
        <f t="shared" si="6"/>
        <v/>
      </c>
      <c r="C143" s="123"/>
      <c r="D143" s="124"/>
      <c r="E143" s="59" t="str">
        <f>IFERROR(VLOOKUP(D143,'🗂️ DATA_ESCUELAS'!$A:$D,2,0),"")</f>
        <v/>
      </c>
      <c r="F143" s="59" t="str">
        <f>IFERROR(VLOOKUP(D143,'🗂️ DATA_ESCUELAS'!$A:$D,3,0),"")</f>
        <v/>
      </c>
      <c r="G143" s="59"/>
      <c r="H143" s="125"/>
      <c r="I143" s="125"/>
      <c r="J143" s="59"/>
      <c r="K143" s="91"/>
      <c r="L143" s="59"/>
      <c r="M143" s="91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43" t="str">
        <f t="shared" si="5"/>
        <v/>
      </c>
      <c r="B144" s="48" t="str">
        <f t="shared" si="6"/>
        <v/>
      </c>
      <c r="C144" s="123"/>
      <c r="D144" s="124"/>
      <c r="E144" s="59" t="str">
        <f>IFERROR(VLOOKUP(D144,'🗂️ DATA_ESCUELAS'!$A:$D,2,0),"")</f>
        <v/>
      </c>
      <c r="F144" s="59" t="str">
        <f>IFERROR(VLOOKUP(D144,'🗂️ DATA_ESCUELAS'!$A:$D,3,0),"")</f>
        <v/>
      </c>
      <c r="G144" s="59"/>
      <c r="H144" s="125"/>
      <c r="I144" s="125"/>
      <c r="J144" s="59"/>
      <c r="K144" s="91"/>
      <c r="L144" s="59"/>
      <c r="M144" s="91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43" t="str">
        <f t="shared" si="5"/>
        <v/>
      </c>
      <c r="B145" s="48" t="str">
        <f t="shared" si="6"/>
        <v/>
      </c>
      <c r="C145" s="123"/>
      <c r="D145" s="124"/>
      <c r="E145" s="59" t="str">
        <f>IFERROR(VLOOKUP(D145,'🗂️ DATA_ESCUELAS'!$A:$D,2,0),"")</f>
        <v/>
      </c>
      <c r="F145" s="59" t="str">
        <f>IFERROR(VLOOKUP(D145,'🗂️ DATA_ESCUELAS'!$A:$D,3,0),"")</f>
        <v/>
      </c>
      <c r="G145" s="59"/>
      <c r="H145" s="125"/>
      <c r="I145" s="125"/>
      <c r="J145" s="59"/>
      <c r="K145" s="91"/>
      <c r="L145" s="59"/>
      <c r="M145" s="91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43" t="str">
        <f t="shared" si="5"/>
        <v/>
      </c>
      <c r="B146" s="48" t="str">
        <f t="shared" si="6"/>
        <v/>
      </c>
      <c r="C146" s="123"/>
      <c r="D146" s="124"/>
      <c r="E146" s="59" t="str">
        <f>IFERROR(VLOOKUP(D146,'🗂️ DATA_ESCUELAS'!$A:$D,2,0),"")</f>
        <v/>
      </c>
      <c r="F146" s="59" t="str">
        <f>IFERROR(VLOOKUP(D146,'🗂️ DATA_ESCUELAS'!$A:$D,3,0),"")</f>
        <v/>
      </c>
      <c r="G146" s="59"/>
      <c r="H146" s="125"/>
      <c r="I146" s="125"/>
      <c r="J146" s="59"/>
      <c r="K146" s="91"/>
      <c r="L146" s="59"/>
      <c r="M146" s="91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43" t="str">
        <f t="shared" si="5"/>
        <v/>
      </c>
      <c r="B147" s="48" t="str">
        <f t="shared" si="6"/>
        <v/>
      </c>
      <c r="C147" s="123"/>
      <c r="D147" s="124"/>
      <c r="E147" s="59" t="str">
        <f>IFERROR(VLOOKUP(D147,'🗂️ DATA_ESCUELAS'!$A:$D,2,0),"")</f>
        <v/>
      </c>
      <c r="F147" s="59" t="str">
        <f>IFERROR(VLOOKUP(D147,'🗂️ DATA_ESCUELAS'!$A:$D,3,0),"")</f>
        <v/>
      </c>
      <c r="G147" s="59"/>
      <c r="H147" s="125"/>
      <c r="I147" s="125"/>
      <c r="J147" s="59"/>
      <c r="K147" s="91"/>
      <c r="L147" s="59"/>
      <c r="M147" s="91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43" t="str">
        <f t="shared" si="5"/>
        <v/>
      </c>
      <c r="B148" s="48" t="str">
        <f t="shared" si="6"/>
        <v/>
      </c>
      <c r="C148" s="123"/>
      <c r="D148" s="124"/>
      <c r="E148" s="59" t="str">
        <f>IFERROR(VLOOKUP(D148,'🗂️ DATA_ESCUELAS'!$A:$D,2,0),"")</f>
        <v/>
      </c>
      <c r="F148" s="59" t="str">
        <f>IFERROR(VLOOKUP(D148,'🗂️ DATA_ESCUELAS'!$A:$D,3,0),"")</f>
        <v/>
      </c>
      <c r="G148" s="59"/>
      <c r="H148" s="125"/>
      <c r="I148" s="125"/>
      <c r="J148" s="59"/>
      <c r="K148" s="91"/>
      <c r="L148" s="59"/>
      <c r="M148" s="91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43" t="str">
        <f t="shared" si="5"/>
        <v/>
      </c>
      <c r="B149" s="48" t="str">
        <f t="shared" si="6"/>
        <v/>
      </c>
      <c r="C149" s="123"/>
      <c r="D149" s="124"/>
      <c r="E149" s="59" t="str">
        <f>IFERROR(VLOOKUP(D149,'🗂️ DATA_ESCUELAS'!$A:$D,2,0),"")</f>
        <v/>
      </c>
      <c r="F149" s="59" t="str">
        <f>IFERROR(VLOOKUP(D149,'🗂️ DATA_ESCUELAS'!$A:$D,3,0),"")</f>
        <v/>
      </c>
      <c r="G149" s="59"/>
      <c r="H149" s="125"/>
      <c r="I149" s="125"/>
      <c r="J149" s="59"/>
      <c r="K149" s="91"/>
      <c r="L149" s="59"/>
      <c r="M149" s="91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43" t="str">
        <f t="shared" si="5"/>
        <v/>
      </c>
      <c r="B150" s="48" t="str">
        <f t="shared" si="6"/>
        <v/>
      </c>
      <c r="C150" s="123"/>
      <c r="D150" s="124"/>
      <c r="E150" s="59" t="str">
        <f>IFERROR(VLOOKUP(D150,'🗂️ DATA_ESCUELAS'!$A:$D,2,0),"")</f>
        <v/>
      </c>
      <c r="F150" s="59" t="str">
        <f>IFERROR(VLOOKUP(D150,'🗂️ DATA_ESCUELAS'!$A:$D,3,0),"")</f>
        <v/>
      </c>
      <c r="G150" s="59"/>
      <c r="H150" s="125"/>
      <c r="I150" s="125"/>
      <c r="J150" s="59"/>
      <c r="K150" s="91"/>
      <c r="L150" s="59"/>
      <c r="M150" s="91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43" t="str">
        <f t="shared" si="5"/>
        <v/>
      </c>
      <c r="B151" s="48" t="str">
        <f t="shared" si="6"/>
        <v/>
      </c>
      <c r="C151" s="123"/>
      <c r="D151" s="124"/>
      <c r="E151" s="59" t="str">
        <f>IFERROR(VLOOKUP(D151,'🗂️ DATA_ESCUELAS'!$A:$D,2,0),"")</f>
        <v/>
      </c>
      <c r="F151" s="59" t="str">
        <f>IFERROR(VLOOKUP(D151,'🗂️ DATA_ESCUELAS'!$A:$D,3,0),"")</f>
        <v/>
      </c>
      <c r="G151" s="59"/>
      <c r="H151" s="125"/>
      <c r="I151" s="125"/>
      <c r="J151" s="59"/>
      <c r="K151" s="91"/>
      <c r="L151" s="59"/>
      <c r="M151" s="91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43" t="str">
        <f t="shared" si="5"/>
        <v/>
      </c>
      <c r="B152" s="48" t="str">
        <f t="shared" si="6"/>
        <v/>
      </c>
      <c r="C152" s="123"/>
      <c r="D152" s="124"/>
      <c r="E152" s="59" t="str">
        <f>IFERROR(VLOOKUP(D152,'🗂️ DATA_ESCUELAS'!$A:$D,2,0),"")</f>
        <v/>
      </c>
      <c r="F152" s="59" t="str">
        <f>IFERROR(VLOOKUP(D152,'🗂️ DATA_ESCUELAS'!$A:$D,3,0),"")</f>
        <v/>
      </c>
      <c r="G152" s="59"/>
      <c r="H152" s="125"/>
      <c r="I152" s="125"/>
      <c r="J152" s="59"/>
      <c r="K152" s="91"/>
      <c r="L152" s="59"/>
      <c r="M152" s="91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43" t="str">
        <f t="shared" si="5"/>
        <v/>
      </c>
      <c r="B153" s="48" t="str">
        <f t="shared" si="6"/>
        <v/>
      </c>
      <c r="C153" s="123"/>
      <c r="D153" s="124"/>
      <c r="E153" s="59" t="str">
        <f>IFERROR(VLOOKUP(D153,'🗂️ DATA_ESCUELAS'!$A:$D,2,0),"")</f>
        <v/>
      </c>
      <c r="F153" s="59" t="str">
        <f>IFERROR(VLOOKUP(D153,'🗂️ DATA_ESCUELAS'!$A:$D,3,0),"")</f>
        <v/>
      </c>
      <c r="G153" s="59"/>
      <c r="H153" s="125"/>
      <c r="I153" s="125"/>
      <c r="J153" s="59"/>
      <c r="K153" s="91"/>
      <c r="L153" s="59"/>
      <c r="M153" s="91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43" t="str">
        <f t="shared" si="5"/>
        <v/>
      </c>
      <c r="B154" s="48" t="str">
        <f t="shared" si="6"/>
        <v/>
      </c>
      <c r="C154" s="123"/>
      <c r="D154" s="124"/>
      <c r="E154" s="59" t="str">
        <f>IFERROR(VLOOKUP(D154,'🗂️ DATA_ESCUELAS'!$A:$D,2,0),"")</f>
        <v/>
      </c>
      <c r="F154" s="59" t="str">
        <f>IFERROR(VLOOKUP(D154,'🗂️ DATA_ESCUELAS'!$A:$D,3,0),"")</f>
        <v/>
      </c>
      <c r="G154" s="59"/>
      <c r="H154" s="125"/>
      <c r="I154" s="125"/>
      <c r="J154" s="59"/>
      <c r="K154" s="91"/>
      <c r="L154" s="59"/>
      <c r="M154" s="91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43" t="str">
        <f t="shared" si="5"/>
        <v/>
      </c>
      <c r="B155" s="48" t="str">
        <f t="shared" si="6"/>
        <v/>
      </c>
      <c r="C155" s="123"/>
      <c r="D155" s="124"/>
      <c r="E155" s="59" t="str">
        <f>IFERROR(VLOOKUP(D155,'🗂️ DATA_ESCUELAS'!$A:$D,2,0),"")</f>
        <v/>
      </c>
      <c r="F155" s="59" t="str">
        <f>IFERROR(VLOOKUP(D155,'🗂️ DATA_ESCUELAS'!$A:$D,3,0),"")</f>
        <v/>
      </c>
      <c r="G155" s="59"/>
      <c r="H155" s="125"/>
      <c r="I155" s="125"/>
      <c r="J155" s="59"/>
      <c r="K155" s="91"/>
      <c r="L155" s="59"/>
      <c r="M155" s="91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43" t="str">
        <f t="shared" si="5"/>
        <v/>
      </c>
      <c r="B156" s="48" t="str">
        <f t="shared" si="6"/>
        <v/>
      </c>
      <c r="C156" s="123"/>
      <c r="D156" s="124"/>
      <c r="E156" s="59" t="str">
        <f>IFERROR(VLOOKUP(D156,'🗂️ DATA_ESCUELAS'!$A:$D,2,0),"")</f>
        <v/>
      </c>
      <c r="F156" s="59" t="str">
        <f>IFERROR(VLOOKUP(D156,'🗂️ DATA_ESCUELAS'!$A:$D,3,0),"")</f>
        <v/>
      </c>
      <c r="G156" s="59"/>
      <c r="H156" s="125"/>
      <c r="I156" s="125"/>
      <c r="J156" s="59"/>
      <c r="K156" s="91"/>
      <c r="L156" s="59"/>
      <c r="M156" s="91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43" t="str">
        <f t="shared" si="5"/>
        <v/>
      </c>
      <c r="B157" s="48" t="str">
        <f t="shared" si="6"/>
        <v/>
      </c>
      <c r="C157" s="123"/>
      <c r="D157" s="124"/>
      <c r="E157" s="59" t="str">
        <f>IFERROR(VLOOKUP(D157,'🗂️ DATA_ESCUELAS'!$A:$D,2,0),"")</f>
        <v/>
      </c>
      <c r="F157" s="59" t="str">
        <f>IFERROR(VLOOKUP(D157,'🗂️ DATA_ESCUELAS'!$A:$D,3,0),"")</f>
        <v/>
      </c>
      <c r="G157" s="59"/>
      <c r="H157" s="125"/>
      <c r="I157" s="125"/>
      <c r="J157" s="59"/>
      <c r="K157" s="91"/>
      <c r="L157" s="59"/>
      <c r="M157" s="91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43" t="str">
        <f t="shared" si="5"/>
        <v/>
      </c>
      <c r="B158" s="48" t="str">
        <f t="shared" si="6"/>
        <v/>
      </c>
      <c r="C158" s="123"/>
      <c r="D158" s="124"/>
      <c r="E158" s="59" t="str">
        <f>IFERROR(VLOOKUP(D158,'🗂️ DATA_ESCUELAS'!$A:$D,2,0),"")</f>
        <v/>
      </c>
      <c r="F158" s="59" t="str">
        <f>IFERROR(VLOOKUP(D158,'🗂️ DATA_ESCUELAS'!$A:$D,3,0),"")</f>
        <v/>
      </c>
      <c r="G158" s="59"/>
      <c r="H158" s="125"/>
      <c r="I158" s="125"/>
      <c r="J158" s="59"/>
      <c r="K158" s="91"/>
      <c r="L158" s="59"/>
      <c r="M158" s="91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43" t="str">
        <f t="shared" si="5"/>
        <v/>
      </c>
      <c r="B159" s="48" t="str">
        <f t="shared" si="6"/>
        <v/>
      </c>
      <c r="C159" s="123"/>
      <c r="D159" s="124"/>
      <c r="E159" s="59" t="str">
        <f>IFERROR(VLOOKUP(D159,'🗂️ DATA_ESCUELAS'!$A:$D,2,0),"")</f>
        <v/>
      </c>
      <c r="F159" s="59" t="str">
        <f>IFERROR(VLOOKUP(D159,'🗂️ DATA_ESCUELAS'!$A:$D,3,0),"")</f>
        <v/>
      </c>
      <c r="G159" s="59"/>
      <c r="H159" s="125"/>
      <c r="I159" s="125"/>
      <c r="J159" s="59"/>
      <c r="K159" s="91"/>
      <c r="L159" s="59"/>
      <c r="M159" s="91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43" t="str">
        <f t="shared" si="5"/>
        <v/>
      </c>
      <c r="B160" s="48" t="str">
        <f t="shared" si="6"/>
        <v/>
      </c>
      <c r="C160" s="123"/>
      <c r="D160" s="124"/>
      <c r="E160" s="59" t="str">
        <f>IFERROR(VLOOKUP(D160,'🗂️ DATA_ESCUELAS'!$A:$D,2,0),"")</f>
        <v/>
      </c>
      <c r="F160" s="59" t="str">
        <f>IFERROR(VLOOKUP(D160,'🗂️ DATA_ESCUELAS'!$A:$D,3,0),"")</f>
        <v/>
      </c>
      <c r="G160" s="59"/>
      <c r="H160" s="125"/>
      <c r="I160" s="125"/>
      <c r="J160" s="59"/>
      <c r="K160" s="91"/>
      <c r="L160" s="59"/>
      <c r="M160" s="91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43" t="str">
        <f t="shared" si="5"/>
        <v/>
      </c>
      <c r="B161" s="48" t="str">
        <f t="shared" si="6"/>
        <v/>
      </c>
      <c r="C161" s="123"/>
      <c r="D161" s="124"/>
      <c r="E161" s="59" t="str">
        <f>IFERROR(VLOOKUP(D161,'🗂️ DATA_ESCUELAS'!$A:$D,2,0),"")</f>
        <v/>
      </c>
      <c r="F161" s="59" t="str">
        <f>IFERROR(VLOOKUP(D161,'🗂️ DATA_ESCUELAS'!$A:$D,3,0),"")</f>
        <v/>
      </c>
      <c r="G161" s="59"/>
      <c r="H161" s="125"/>
      <c r="I161" s="125"/>
      <c r="J161" s="59"/>
      <c r="K161" s="91"/>
      <c r="L161" s="59"/>
      <c r="M161" s="91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43" t="str">
        <f t="shared" si="5"/>
        <v/>
      </c>
      <c r="B162" s="48" t="str">
        <f t="shared" si="6"/>
        <v/>
      </c>
      <c r="C162" s="123"/>
      <c r="D162" s="124"/>
      <c r="E162" s="59" t="str">
        <f>IFERROR(VLOOKUP(D162,'🗂️ DATA_ESCUELAS'!$A:$D,2,0),"")</f>
        <v/>
      </c>
      <c r="F162" s="59" t="str">
        <f>IFERROR(VLOOKUP(D162,'🗂️ DATA_ESCUELAS'!$A:$D,3,0),"")</f>
        <v/>
      </c>
      <c r="G162" s="59"/>
      <c r="H162" s="125"/>
      <c r="I162" s="125"/>
      <c r="J162" s="59"/>
      <c r="K162" s="91"/>
      <c r="L162" s="59"/>
      <c r="M162" s="91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43" t="str">
        <f t="shared" si="5"/>
        <v/>
      </c>
      <c r="B163" s="48" t="str">
        <f t="shared" si="6"/>
        <v/>
      </c>
      <c r="C163" s="123"/>
      <c r="D163" s="124"/>
      <c r="E163" s="59" t="str">
        <f>IFERROR(VLOOKUP(D163,'🗂️ DATA_ESCUELAS'!$A:$D,2,0),"")</f>
        <v/>
      </c>
      <c r="F163" s="59" t="str">
        <f>IFERROR(VLOOKUP(D163,'🗂️ DATA_ESCUELAS'!$A:$D,3,0),"")</f>
        <v/>
      </c>
      <c r="G163" s="59"/>
      <c r="H163" s="125"/>
      <c r="I163" s="125"/>
      <c r="J163" s="59"/>
      <c r="K163" s="91"/>
      <c r="L163" s="59"/>
      <c r="M163" s="91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43" t="str">
        <f t="shared" si="5"/>
        <v/>
      </c>
      <c r="B164" s="48" t="str">
        <f t="shared" si="6"/>
        <v/>
      </c>
      <c r="C164" s="123"/>
      <c r="D164" s="124"/>
      <c r="E164" s="59" t="str">
        <f>IFERROR(VLOOKUP(D164,'🗂️ DATA_ESCUELAS'!$A:$D,2,0),"")</f>
        <v/>
      </c>
      <c r="F164" s="59" t="str">
        <f>IFERROR(VLOOKUP(D164,'🗂️ DATA_ESCUELAS'!$A:$D,3,0),"")</f>
        <v/>
      </c>
      <c r="G164" s="59"/>
      <c r="H164" s="125"/>
      <c r="I164" s="125"/>
      <c r="J164" s="59"/>
      <c r="K164" s="91"/>
      <c r="L164" s="59"/>
      <c r="M164" s="91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43" t="str">
        <f t="shared" si="5"/>
        <v/>
      </c>
      <c r="B165" s="48" t="str">
        <f t="shared" si="6"/>
        <v/>
      </c>
      <c r="C165" s="123"/>
      <c r="D165" s="124"/>
      <c r="E165" s="59" t="str">
        <f>IFERROR(VLOOKUP(D165,'🗂️ DATA_ESCUELAS'!$A:$D,2,0),"")</f>
        <v/>
      </c>
      <c r="F165" s="59" t="str">
        <f>IFERROR(VLOOKUP(D165,'🗂️ DATA_ESCUELAS'!$A:$D,3,0),"")</f>
        <v/>
      </c>
      <c r="G165" s="59"/>
      <c r="H165" s="125"/>
      <c r="I165" s="125"/>
      <c r="J165" s="59"/>
      <c r="K165" s="91"/>
      <c r="L165" s="59"/>
      <c r="M165" s="91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43" t="str">
        <f t="shared" si="5"/>
        <v/>
      </c>
      <c r="B166" s="48" t="str">
        <f t="shared" si="6"/>
        <v/>
      </c>
      <c r="C166" s="123"/>
      <c r="D166" s="124"/>
      <c r="E166" s="59" t="str">
        <f>IFERROR(VLOOKUP(D166,'🗂️ DATA_ESCUELAS'!$A:$D,2,0),"")</f>
        <v/>
      </c>
      <c r="F166" s="59" t="str">
        <f>IFERROR(VLOOKUP(D166,'🗂️ DATA_ESCUELAS'!$A:$D,3,0),"")</f>
        <v/>
      </c>
      <c r="G166" s="59"/>
      <c r="H166" s="125"/>
      <c r="I166" s="125"/>
      <c r="J166" s="59"/>
      <c r="K166" s="91"/>
      <c r="L166" s="59"/>
      <c r="M166" s="91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43" t="str">
        <f t="shared" si="5"/>
        <v/>
      </c>
      <c r="B167" s="48" t="str">
        <f t="shared" si="6"/>
        <v/>
      </c>
      <c r="C167" s="123"/>
      <c r="D167" s="124"/>
      <c r="E167" s="59" t="str">
        <f>IFERROR(VLOOKUP(D167,'🗂️ DATA_ESCUELAS'!$A:$D,2,0),"")</f>
        <v/>
      </c>
      <c r="F167" s="59" t="str">
        <f>IFERROR(VLOOKUP(D167,'🗂️ DATA_ESCUELAS'!$A:$D,3,0),"")</f>
        <v/>
      </c>
      <c r="G167" s="59"/>
      <c r="H167" s="125"/>
      <c r="I167" s="125"/>
      <c r="J167" s="59"/>
      <c r="K167" s="91"/>
      <c r="L167" s="59"/>
      <c r="M167" s="91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43" t="str">
        <f t="shared" si="5"/>
        <v/>
      </c>
      <c r="B168" s="48" t="str">
        <f t="shared" si="6"/>
        <v/>
      </c>
      <c r="C168" s="123"/>
      <c r="D168" s="124"/>
      <c r="E168" s="59" t="str">
        <f>IFERROR(VLOOKUP(D168,'🗂️ DATA_ESCUELAS'!$A:$D,2,0),"")</f>
        <v/>
      </c>
      <c r="F168" s="59" t="str">
        <f>IFERROR(VLOOKUP(D168,'🗂️ DATA_ESCUELAS'!$A:$D,3,0),"")</f>
        <v/>
      </c>
      <c r="G168" s="59"/>
      <c r="H168" s="125"/>
      <c r="I168" s="125"/>
      <c r="J168" s="59"/>
      <c r="K168" s="91"/>
      <c r="L168" s="59"/>
      <c r="M168" s="91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43" t="str">
        <f t="shared" si="5"/>
        <v/>
      </c>
      <c r="B169" s="48" t="str">
        <f t="shared" si="6"/>
        <v/>
      </c>
      <c r="C169" s="123"/>
      <c r="D169" s="124"/>
      <c r="E169" s="59" t="str">
        <f>IFERROR(VLOOKUP(D169,'🗂️ DATA_ESCUELAS'!$A:$D,2,0),"")</f>
        <v/>
      </c>
      <c r="F169" s="59" t="str">
        <f>IFERROR(VLOOKUP(D169,'🗂️ DATA_ESCUELAS'!$A:$D,3,0),"")</f>
        <v/>
      </c>
      <c r="G169" s="59"/>
      <c r="H169" s="125"/>
      <c r="I169" s="125"/>
      <c r="J169" s="59"/>
      <c r="K169" s="91"/>
      <c r="L169" s="59"/>
      <c r="M169" s="91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43" t="str">
        <f t="shared" si="5"/>
        <v/>
      </c>
      <c r="B170" s="48" t="str">
        <f t="shared" si="6"/>
        <v/>
      </c>
      <c r="C170" s="123"/>
      <c r="D170" s="124"/>
      <c r="E170" s="59" t="str">
        <f>IFERROR(VLOOKUP(D170,'🗂️ DATA_ESCUELAS'!$A:$D,2,0),"")</f>
        <v/>
      </c>
      <c r="F170" s="59" t="str">
        <f>IFERROR(VLOOKUP(D170,'🗂️ DATA_ESCUELAS'!$A:$D,3,0),"")</f>
        <v/>
      </c>
      <c r="G170" s="59"/>
      <c r="H170" s="125"/>
      <c r="I170" s="125"/>
      <c r="J170" s="59"/>
      <c r="K170" s="91"/>
      <c r="L170" s="59"/>
      <c r="M170" s="91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43" t="str">
        <f t="shared" si="5"/>
        <v/>
      </c>
      <c r="B171" s="48" t="str">
        <f t="shared" si="6"/>
        <v/>
      </c>
      <c r="C171" s="123"/>
      <c r="D171" s="124"/>
      <c r="E171" s="59" t="str">
        <f>IFERROR(VLOOKUP(D171,'🗂️ DATA_ESCUELAS'!$A:$D,2,0),"")</f>
        <v/>
      </c>
      <c r="F171" s="59" t="str">
        <f>IFERROR(VLOOKUP(D171,'🗂️ DATA_ESCUELAS'!$A:$D,3,0),"")</f>
        <v/>
      </c>
      <c r="G171" s="59"/>
      <c r="H171" s="125"/>
      <c r="I171" s="125"/>
      <c r="J171" s="59"/>
      <c r="K171" s="91"/>
      <c r="L171" s="59"/>
      <c r="M171" s="91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43" t="str">
        <f t="shared" si="5"/>
        <v/>
      </c>
      <c r="B172" s="48" t="str">
        <f t="shared" si="6"/>
        <v/>
      </c>
      <c r="C172" s="123"/>
      <c r="D172" s="124"/>
      <c r="E172" s="59" t="str">
        <f>IFERROR(VLOOKUP(D172,'🗂️ DATA_ESCUELAS'!$A:$D,2,0),"")</f>
        <v/>
      </c>
      <c r="F172" s="59" t="str">
        <f>IFERROR(VLOOKUP(D172,'🗂️ DATA_ESCUELAS'!$A:$D,3,0),"")</f>
        <v/>
      </c>
      <c r="G172" s="59"/>
      <c r="H172" s="125"/>
      <c r="I172" s="125"/>
      <c r="J172" s="59"/>
      <c r="K172" s="91"/>
      <c r="L172" s="59"/>
      <c r="M172" s="91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43" t="str">
        <f t="shared" si="5"/>
        <v/>
      </c>
      <c r="B173" s="48" t="str">
        <f t="shared" si="6"/>
        <v/>
      </c>
      <c r="C173" s="123"/>
      <c r="D173" s="124"/>
      <c r="E173" s="59" t="str">
        <f>IFERROR(VLOOKUP(D173,'🗂️ DATA_ESCUELAS'!$A:$D,2,0),"")</f>
        <v/>
      </c>
      <c r="F173" s="59" t="str">
        <f>IFERROR(VLOOKUP(D173,'🗂️ DATA_ESCUELAS'!$A:$D,3,0),"")</f>
        <v/>
      </c>
      <c r="G173" s="59"/>
      <c r="H173" s="125"/>
      <c r="I173" s="125"/>
      <c r="J173" s="59"/>
      <c r="K173" s="91"/>
      <c r="L173" s="59"/>
      <c r="M173" s="91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43" t="str">
        <f t="shared" si="5"/>
        <v/>
      </c>
      <c r="B174" s="48" t="str">
        <f t="shared" si="6"/>
        <v/>
      </c>
      <c r="C174" s="123"/>
      <c r="D174" s="124"/>
      <c r="E174" s="59" t="str">
        <f>IFERROR(VLOOKUP(D174,'🗂️ DATA_ESCUELAS'!$A:$D,2,0),"")</f>
        <v/>
      </c>
      <c r="F174" s="59" t="str">
        <f>IFERROR(VLOOKUP(D174,'🗂️ DATA_ESCUELAS'!$A:$D,3,0),"")</f>
        <v/>
      </c>
      <c r="G174" s="59"/>
      <c r="H174" s="125"/>
      <c r="I174" s="125"/>
      <c r="J174" s="59"/>
      <c r="K174" s="91"/>
      <c r="L174" s="59"/>
      <c r="M174" s="91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43" t="str">
        <f t="shared" si="5"/>
        <v/>
      </c>
      <c r="B175" s="48" t="str">
        <f t="shared" si="6"/>
        <v/>
      </c>
      <c r="C175" s="123"/>
      <c r="D175" s="124"/>
      <c r="E175" s="59" t="str">
        <f>IFERROR(VLOOKUP(D175,'🗂️ DATA_ESCUELAS'!$A:$D,2,0),"")</f>
        <v/>
      </c>
      <c r="F175" s="59" t="str">
        <f>IFERROR(VLOOKUP(D175,'🗂️ DATA_ESCUELAS'!$A:$D,3,0),"")</f>
        <v/>
      </c>
      <c r="G175" s="59"/>
      <c r="H175" s="125"/>
      <c r="I175" s="125"/>
      <c r="J175" s="59"/>
      <c r="K175" s="91"/>
      <c r="L175" s="59"/>
      <c r="M175" s="91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43" t="str">
        <f t="shared" si="5"/>
        <v/>
      </c>
      <c r="B176" s="48" t="str">
        <f t="shared" si="6"/>
        <v/>
      </c>
      <c r="C176" s="123"/>
      <c r="D176" s="124"/>
      <c r="E176" s="59" t="str">
        <f>IFERROR(VLOOKUP(D176,'🗂️ DATA_ESCUELAS'!$A:$D,2,0),"")</f>
        <v/>
      </c>
      <c r="F176" s="59" t="str">
        <f>IFERROR(VLOOKUP(D176,'🗂️ DATA_ESCUELAS'!$A:$D,3,0),"")</f>
        <v/>
      </c>
      <c r="G176" s="59"/>
      <c r="H176" s="125"/>
      <c r="I176" s="125"/>
      <c r="J176" s="59"/>
      <c r="K176" s="91"/>
      <c r="L176" s="59"/>
      <c r="M176" s="91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43" t="str">
        <f t="shared" si="5"/>
        <v/>
      </c>
      <c r="B177" s="48" t="str">
        <f t="shared" si="6"/>
        <v/>
      </c>
      <c r="C177" s="123"/>
      <c r="D177" s="124"/>
      <c r="E177" s="59" t="str">
        <f>IFERROR(VLOOKUP(D177,'🗂️ DATA_ESCUELAS'!$A:$D,2,0),"")</f>
        <v/>
      </c>
      <c r="F177" s="59" t="str">
        <f>IFERROR(VLOOKUP(D177,'🗂️ DATA_ESCUELAS'!$A:$D,3,0),"")</f>
        <v/>
      </c>
      <c r="G177" s="59"/>
      <c r="H177" s="125"/>
      <c r="I177" s="125"/>
      <c r="J177" s="59"/>
      <c r="K177" s="91"/>
      <c r="L177" s="59"/>
      <c r="M177" s="91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43" t="str">
        <f t="shared" si="5"/>
        <v/>
      </c>
      <c r="B178" s="48" t="str">
        <f t="shared" si="6"/>
        <v/>
      </c>
      <c r="C178" s="123"/>
      <c r="D178" s="124"/>
      <c r="E178" s="59" t="str">
        <f>IFERROR(VLOOKUP(D178,'🗂️ DATA_ESCUELAS'!$A:$D,2,0),"")</f>
        <v/>
      </c>
      <c r="F178" s="59" t="str">
        <f>IFERROR(VLOOKUP(D178,'🗂️ DATA_ESCUELAS'!$A:$D,3,0),"")</f>
        <v/>
      </c>
      <c r="G178" s="59"/>
      <c r="H178" s="125"/>
      <c r="I178" s="125"/>
      <c r="J178" s="59"/>
      <c r="K178" s="91"/>
      <c r="L178" s="59"/>
      <c r="M178" s="91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43" t="str">
        <f t="shared" si="5"/>
        <v/>
      </c>
      <c r="B179" s="48" t="str">
        <f t="shared" si="6"/>
        <v/>
      </c>
      <c r="C179" s="123"/>
      <c r="D179" s="124"/>
      <c r="E179" s="59" t="str">
        <f>IFERROR(VLOOKUP(D179,'🗂️ DATA_ESCUELAS'!$A:$D,2,0),"")</f>
        <v/>
      </c>
      <c r="F179" s="59" t="str">
        <f>IFERROR(VLOOKUP(D179,'🗂️ DATA_ESCUELAS'!$A:$D,3,0),"")</f>
        <v/>
      </c>
      <c r="G179" s="59"/>
      <c r="H179" s="125"/>
      <c r="I179" s="125"/>
      <c r="J179" s="59"/>
      <c r="K179" s="91"/>
      <c r="L179" s="59"/>
      <c r="M179" s="91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43" t="str">
        <f t="shared" si="5"/>
        <v/>
      </c>
      <c r="B180" s="48" t="str">
        <f t="shared" si="6"/>
        <v/>
      </c>
      <c r="C180" s="123"/>
      <c r="D180" s="124"/>
      <c r="E180" s="59" t="str">
        <f>IFERROR(VLOOKUP(D180,'🗂️ DATA_ESCUELAS'!$A:$D,2,0),"")</f>
        <v/>
      </c>
      <c r="F180" s="59" t="str">
        <f>IFERROR(VLOOKUP(D180,'🗂️ DATA_ESCUELAS'!$A:$D,3,0),"")</f>
        <v/>
      </c>
      <c r="G180" s="59"/>
      <c r="H180" s="125"/>
      <c r="I180" s="125"/>
      <c r="J180" s="59"/>
      <c r="K180" s="91"/>
      <c r="L180" s="59"/>
      <c r="M180" s="91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43" t="str">
        <f t="shared" si="5"/>
        <v/>
      </c>
      <c r="B181" s="48" t="str">
        <f t="shared" si="6"/>
        <v/>
      </c>
      <c r="C181" s="123"/>
      <c r="D181" s="124"/>
      <c r="E181" s="59" t="str">
        <f>IFERROR(VLOOKUP(D181,'🗂️ DATA_ESCUELAS'!$A:$D,2,0),"")</f>
        <v/>
      </c>
      <c r="F181" s="59" t="str">
        <f>IFERROR(VLOOKUP(D181,'🗂️ DATA_ESCUELAS'!$A:$D,3,0),"")</f>
        <v/>
      </c>
      <c r="G181" s="59"/>
      <c r="H181" s="125"/>
      <c r="I181" s="125"/>
      <c r="J181" s="59"/>
      <c r="K181" s="91"/>
      <c r="L181" s="59"/>
      <c r="M181" s="91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43" t="str">
        <f t="shared" si="5"/>
        <v/>
      </c>
      <c r="B182" s="48" t="str">
        <f t="shared" si="6"/>
        <v/>
      </c>
      <c r="C182" s="123"/>
      <c r="D182" s="124"/>
      <c r="E182" s="59" t="str">
        <f>IFERROR(VLOOKUP(D182,'🗂️ DATA_ESCUELAS'!$A:$D,2,0),"")</f>
        <v/>
      </c>
      <c r="F182" s="59" t="str">
        <f>IFERROR(VLOOKUP(D182,'🗂️ DATA_ESCUELAS'!$A:$D,3,0),"")</f>
        <v/>
      </c>
      <c r="G182" s="59"/>
      <c r="H182" s="125"/>
      <c r="I182" s="125"/>
      <c r="J182" s="59"/>
      <c r="K182" s="91"/>
      <c r="L182" s="59"/>
      <c r="M182" s="91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43" t="str">
        <f t="shared" si="5"/>
        <v/>
      </c>
      <c r="B183" s="48" t="str">
        <f t="shared" si="6"/>
        <v/>
      </c>
      <c r="C183" s="123"/>
      <c r="D183" s="124"/>
      <c r="E183" s="59" t="str">
        <f>IFERROR(VLOOKUP(D183,'🗂️ DATA_ESCUELAS'!$A:$D,2,0),"")</f>
        <v/>
      </c>
      <c r="F183" s="59" t="str">
        <f>IFERROR(VLOOKUP(D183,'🗂️ DATA_ESCUELAS'!$A:$D,3,0),"")</f>
        <v/>
      </c>
      <c r="G183" s="59"/>
      <c r="H183" s="125"/>
      <c r="I183" s="125"/>
      <c r="J183" s="59"/>
      <c r="K183" s="91"/>
      <c r="L183" s="59"/>
      <c r="M183" s="91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43" t="str">
        <f t="shared" si="5"/>
        <v/>
      </c>
      <c r="B184" s="48" t="str">
        <f t="shared" si="6"/>
        <v/>
      </c>
      <c r="C184" s="123"/>
      <c r="D184" s="124"/>
      <c r="E184" s="59" t="str">
        <f>IFERROR(VLOOKUP(D184,'🗂️ DATA_ESCUELAS'!$A:$D,2,0),"")</f>
        <v/>
      </c>
      <c r="F184" s="59" t="str">
        <f>IFERROR(VLOOKUP(D184,'🗂️ DATA_ESCUELAS'!$A:$D,3,0),"")</f>
        <v/>
      </c>
      <c r="G184" s="59"/>
      <c r="H184" s="125"/>
      <c r="I184" s="125"/>
      <c r="J184" s="59"/>
      <c r="K184" s="91"/>
      <c r="L184" s="59"/>
      <c r="M184" s="91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43" t="str">
        <f t="shared" si="5"/>
        <v/>
      </c>
      <c r="B185" s="48" t="str">
        <f t="shared" si="6"/>
        <v/>
      </c>
      <c r="C185" s="123"/>
      <c r="D185" s="124"/>
      <c r="E185" s="59" t="str">
        <f>IFERROR(VLOOKUP(D185,'🗂️ DATA_ESCUELAS'!$A:$D,2,0),"")</f>
        <v/>
      </c>
      <c r="F185" s="59" t="str">
        <f>IFERROR(VLOOKUP(D185,'🗂️ DATA_ESCUELAS'!$A:$D,3,0),"")</f>
        <v/>
      </c>
      <c r="G185" s="59"/>
      <c r="H185" s="125"/>
      <c r="I185" s="125"/>
      <c r="J185" s="59"/>
      <c r="K185" s="91"/>
      <c r="L185" s="59"/>
      <c r="M185" s="91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43" t="str">
        <f t="shared" si="5"/>
        <v/>
      </c>
      <c r="B186" s="48" t="str">
        <f t="shared" si="6"/>
        <v/>
      </c>
      <c r="C186" s="123"/>
      <c r="D186" s="124"/>
      <c r="E186" s="59" t="str">
        <f>IFERROR(VLOOKUP(D186,'🗂️ DATA_ESCUELAS'!$A:$D,2,0),"")</f>
        <v/>
      </c>
      <c r="F186" s="59" t="str">
        <f>IFERROR(VLOOKUP(D186,'🗂️ DATA_ESCUELAS'!$A:$D,3,0),"")</f>
        <v/>
      </c>
      <c r="G186" s="59"/>
      <c r="H186" s="125"/>
      <c r="I186" s="125"/>
      <c r="J186" s="59"/>
      <c r="K186" s="91"/>
      <c r="L186" s="59"/>
      <c r="M186" s="91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43" t="str">
        <f t="shared" si="5"/>
        <v/>
      </c>
      <c r="B187" s="48" t="str">
        <f t="shared" si="6"/>
        <v/>
      </c>
      <c r="C187" s="123"/>
      <c r="D187" s="124"/>
      <c r="E187" s="59" t="str">
        <f>IFERROR(VLOOKUP(D187,'🗂️ DATA_ESCUELAS'!$A:$D,2,0),"")</f>
        <v/>
      </c>
      <c r="F187" s="59" t="str">
        <f>IFERROR(VLOOKUP(D187,'🗂️ DATA_ESCUELAS'!$A:$D,3,0),"")</f>
        <v/>
      </c>
      <c r="G187" s="59"/>
      <c r="H187" s="125"/>
      <c r="I187" s="125"/>
      <c r="J187" s="59"/>
      <c r="K187" s="91"/>
      <c r="L187" s="59"/>
      <c r="M187" s="91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43" t="str">
        <f t="shared" si="5"/>
        <v/>
      </c>
      <c r="B188" s="48" t="str">
        <f t="shared" si="6"/>
        <v/>
      </c>
      <c r="C188" s="123"/>
      <c r="D188" s="124"/>
      <c r="E188" s="59" t="str">
        <f>IFERROR(VLOOKUP(D188,'🗂️ DATA_ESCUELAS'!$A:$D,2,0),"")</f>
        <v/>
      </c>
      <c r="F188" s="59" t="str">
        <f>IFERROR(VLOOKUP(D188,'🗂️ DATA_ESCUELAS'!$A:$D,3,0),"")</f>
        <v/>
      </c>
      <c r="G188" s="59"/>
      <c r="H188" s="125"/>
      <c r="I188" s="125"/>
      <c r="J188" s="59"/>
      <c r="K188" s="91"/>
      <c r="L188" s="59"/>
      <c r="M188" s="91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43" t="str">
        <f t="shared" si="5"/>
        <v/>
      </c>
      <c r="B189" s="48" t="str">
        <f t="shared" si="6"/>
        <v/>
      </c>
      <c r="C189" s="123"/>
      <c r="D189" s="124"/>
      <c r="E189" s="59" t="str">
        <f>IFERROR(VLOOKUP(D189,'🗂️ DATA_ESCUELAS'!$A:$D,2,0),"")</f>
        <v/>
      </c>
      <c r="F189" s="59" t="str">
        <f>IFERROR(VLOOKUP(D189,'🗂️ DATA_ESCUELAS'!$A:$D,3,0),"")</f>
        <v/>
      </c>
      <c r="G189" s="59"/>
      <c r="H189" s="125"/>
      <c r="I189" s="125"/>
      <c r="J189" s="59"/>
      <c r="K189" s="91"/>
      <c r="L189" s="59"/>
      <c r="M189" s="91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43" t="str">
        <f t="shared" si="5"/>
        <v/>
      </c>
      <c r="B190" s="48" t="str">
        <f t="shared" si="6"/>
        <v/>
      </c>
      <c r="C190" s="123"/>
      <c r="D190" s="124"/>
      <c r="E190" s="59" t="str">
        <f>IFERROR(VLOOKUP(D190,'🗂️ DATA_ESCUELAS'!$A:$D,2,0),"")</f>
        <v/>
      </c>
      <c r="F190" s="59" t="str">
        <f>IFERROR(VLOOKUP(D190,'🗂️ DATA_ESCUELAS'!$A:$D,3,0),"")</f>
        <v/>
      </c>
      <c r="G190" s="59"/>
      <c r="H190" s="125"/>
      <c r="I190" s="125"/>
      <c r="J190" s="59"/>
      <c r="K190" s="91"/>
      <c r="L190" s="59"/>
      <c r="M190" s="91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43" t="str">
        <f t="shared" si="5"/>
        <v/>
      </c>
      <c r="B191" s="48" t="str">
        <f t="shared" si="6"/>
        <v/>
      </c>
      <c r="C191" s="123"/>
      <c r="D191" s="124"/>
      <c r="E191" s="59" t="str">
        <f>IFERROR(VLOOKUP(D191,'🗂️ DATA_ESCUELAS'!$A:$D,2,0),"")</f>
        <v/>
      </c>
      <c r="F191" s="59" t="str">
        <f>IFERROR(VLOOKUP(D191,'🗂️ DATA_ESCUELAS'!$A:$D,3,0),"")</f>
        <v/>
      </c>
      <c r="G191" s="59"/>
      <c r="H191" s="125"/>
      <c r="I191" s="125"/>
      <c r="J191" s="59"/>
      <c r="K191" s="91"/>
      <c r="L191" s="59"/>
      <c r="M191" s="91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43" t="str">
        <f t="shared" si="5"/>
        <v/>
      </c>
      <c r="B192" s="48" t="str">
        <f t="shared" si="6"/>
        <v/>
      </c>
      <c r="C192" s="123"/>
      <c r="D192" s="124"/>
      <c r="E192" s="59" t="str">
        <f>IFERROR(VLOOKUP(D192,'🗂️ DATA_ESCUELAS'!$A:$D,2,0),"")</f>
        <v/>
      </c>
      <c r="F192" s="59" t="str">
        <f>IFERROR(VLOOKUP(D192,'🗂️ DATA_ESCUELAS'!$A:$D,3,0),"")</f>
        <v/>
      </c>
      <c r="G192" s="59"/>
      <c r="H192" s="125"/>
      <c r="I192" s="125"/>
      <c r="J192" s="59"/>
      <c r="K192" s="91"/>
      <c r="L192" s="59"/>
      <c r="M192" s="91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43" t="str">
        <f t="shared" si="5"/>
        <v/>
      </c>
      <c r="B193" s="48" t="str">
        <f t="shared" si="6"/>
        <v/>
      </c>
      <c r="C193" s="123"/>
      <c r="D193" s="124"/>
      <c r="E193" s="59" t="str">
        <f>IFERROR(VLOOKUP(D193,'🗂️ DATA_ESCUELAS'!$A:$D,2,0),"")</f>
        <v/>
      </c>
      <c r="F193" s="59" t="str">
        <f>IFERROR(VLOOKUP(D193,'🗂️ DATA_ESCUELAS'!$A:$D,3,0),"")</f>
        <v/>
      </c>
      <c r="G193" s="59"/>
      <c r="H193" s="125"/>
      <c r="I193" s="125"/>
      <c r="J193" s="59"/>
      <c r="K193" s="91"/>
      <c r="L193" s="59"/>
      <c r="M193" s="91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43" t="str">
        <f t="shared" si="5"/>
        <v/>
      </c>
      <c r="B194" s="48" t="str">
        <f t="shared" si="6"/>
        <v/>
      </c>
      <c r="C194" s="123"/>
      <c r="D194" s="124"/>
      <c r="E194" s="59" t="str">
        <f>IFERROR(VLOOKUP(D194,'🗂️ DATA_ESCUELAS'!$A:$D,2,0),"")</f>
        <v/>
      </c>
      <c r="F194" s="59" t="str">
        <f>IFERROR(VLOOKUP(D194,'🗂️ DATA_ESCUELAS'!$A:$D,3,0),"")</f>
        <v/>
      </c>
      <c r="G194" s="59"/>
      <c r="H194" s="125"/>
      <c r="I194" s="125"/>
      <c r="J194" s="59"/>
      <c r="K194" s="91"/>
      <c r="L194" s="59"/>
      <c r="M194" s="91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43" t="str">
        <f t="shared" si="5"/>
        <v/>
      </c>
      <c r="B195" s="48" t="str">
        <f t="shared" si="6"/>
        <v/>
      </c>
      <c r="C195" s="123"/>
      <c r="D195" s="124"/>
      <c r="E195" s="59" t="str">
        <f>IFERROR(VLOOKUP(D195,'🗂️ DATA_ESCUELAS'!$A:$D,2,0),"")</f>
        <v/>
      </c>
      <c r="F195" s="59" t="str">
        <f>IFERROR(VLOOKUP(D195,'🗂️ DATA_ESCUELAS'!$A:$D,3,0),"")</f>
        <v/>
      </c>
      <c r="G195" s="59"/>
      <c r="H195" s="125"/>
      <c r="I195" s="125"/>
      <c r="J195" s="59"/>
      <c r="K195" s="91"/>
      <c r="L195" s="59"/>
      <c r="M195" s="91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43" t="str">
        <f t="shared" si="5"/>
        <v/>
      </c>
      <c r="B196" s="48" t="str">
        <f t="shared" si="6"/>
        <v/>
      </c>
      <c r="C196" s="123"/>
      <c r="D196" s="124"/>
      <c r="E196" s="59" t="str">
        <f>IFERROR(VLOOKUP(D196,'🗂️ DATA_ESCUELAS'!$A:$D,2,0),"")</f>
        <v/>
      </c>
      <c r="F196" s="59" t="str">
        <f>IFERROR(VLOOKUP(D196,'🗂️ DATA_ESCUELAS'!$A:$D,3,0),"")</f>
        <v/>
      </c>
      <c r="G196" s="59"/>
      <c r="H196" s="125"/>
      <c r="I196" s="125"/>
      <c r="J196" s="59"/>
      <c r="K196" s="91"/>
      <c r="L196" s="59"/>
      <c r="M196" s="91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43" t="str">
        <f t="shared" si="5"/>
        <v/>
      </c>
      <c r="B197" s="48" t="str">
        <f t="shared" si="6"/>
        <v/>
      </c>
      <c r="C197" s="123"/>
      <c r="D197" s="124"/>
      <c r="E197" s="59" t="str">
        <f>IFERROR(VLOOKUP(D197,'🗂️ DATA_ESCUELAS'!$A:$D,2,0),"")</f>
        <v/>
      </c>
      <c r="F197" s="59" t="str">
        <f>IFERROR(VLOOKUP(D197,'🗂️ DATA_ESCUELAS'!$A:$D,3,0),"")</f>
        <v/>
      </c>
      <c r="G197" s="59"/>
      <c r="H197" s="125"/>
      <c r="I197" s="125"/>
      <c r="J197" s="59"/>
      <c r="K197" s="91"/>
      <c r="L197" s="59"/>
      <c r="M197" s="91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43" t="str">
        <f t="shared" si="5"/>
        <v/>
      </c>
      <c r="B198" s="48" t="str">
        <f t="shared" si="6"/>
        <v/>
      </c>
      <c r="C198" s="123"/>
      <c r="D198" s="124"/>
      <c r="E198" s="59" t="str">
        <f>IFERROR(VLOOKUP(D198,'🗂️ DATA_ESCUELAS'!$A:$D,2,0),"")</f>
        <v/>
      </c>
      <c r="F198" s="59" t="str">
        <f>IFERROR(VLOOKUP(D198,'🗂️ DATA_ESCUELAS'!$A:$D,3,0),"")</f>
        <v/>
      </c>
      <c r="G198" s="59"/>
      <c r="H198" s="125"/>
      <c r="I198" s="125"/>
      <c r="J198" s="59"/>
      <c r="K198" s="91"/>
      <c r="L198" s="59"/>
      <c r="M198" s="91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43" t="str">
        <f t="shared" si="5"/>
        <v/>
      </c>
      <c r="B199" s="48" t="str">
        <f t="shared" si="6"/>
        <v/>
      </c>
      <c r="C199" s="123"/>
      <c r="D199" s="124"/>
      <c r="E199" s="59" t="str">
        <f>IFERROR(VLOOKUP(D199,'🗂️ DATA_ESCUELAS'!$A:$D,2,0),"")</f>
        <v/>
      </c>
      <c r="F199" s="59" t="str">
        <f>IFERROR(VLOOKUP(D199,'🗂️ DATA_ESCUELAS'!$A:$D,3,0),"")</f>
        <v/>
      </c>
      <c r="G199" s="59"/>
      <c r="H199" s="125"/>
      <c r="I199" s="125"/>
      <c r="J199" s="59"/>
      <c r="K199" s="91"/>
      <c r="L199" s="59"/>
      <c r="M199" s="91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43" t="str">
        <f t="shared" si="5"/>
        <v/>
      </c>
      <c r="B200" s="48" t="str">
        <f t="shared" si="6"/>
        <v/>
      </c>
      <c r="C200" s="123"/>
      <c r="D200" s="124"/>
      <c r="E200" s="59" t="str">
        <f>IFERROR(VLOOKUP(D200,'🗂️ DATA_ESCUELAS'!$A:$D,2,0),"")</f>
        <v/>
      </c>
      <c r="F200" s="59" t="str">
        <f>IFERROR(VLOOKUP(D200,'🗂️ DATA_ESCUELAS'!$A:$D,3,0),"")</f>
        <v/>
      </c>
      <c r="G200" s="59"/>
      <c r="H200" s="125"/>
      <c r="I200" s="125"/>
      <c r="J200" s="59"/>
      <c r="K200" s="91"/>
      <c r="L200" s="59"/>
      <c r="M200" s="91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43" t="str">
        <f t="shared" si="5"/>
        <v/>
      </c>
      <c r="B201" s="48" t="str">
        <f t="shared" si="6"/>
        <v/>
      </c>
      <c r="C201" s="123"/>
      <c r="D201" s="124"/>
      <c r="E201" s="59" t="str">
        <f>IFERROR(VLOOKUP(D201,'🗂️ DATA_ESCUELAS'!$A:$D,2,0),"")</f>
        <v/>
      </c>
      <c r="F201" s="59" t="str">
        <f>IFERROR(VLOOKUP(D201,'🗂️ DATA_ESCUELAS'!$A:$D,3,0),"")</f>
        <v/>
      </c>
      <c r="G201" s="59"/>
      <c r="H201" s="125"/>
      <c r="I201" s="125"/>
      <c r="J201" s="59"/>
      <c r="K201" s="91"/>
      <c r="L201" s="59"/>
      <c r="M201" s="91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43" t="str">
        <f t="shared" si="5"/>
        <v/>
      </c>
      <c r="B202" s="48" t="str">
        <f t="shared" si="6"/>
        <v/>
      </c>
      <c r="C202" s="123"/>
      <c r="D202" s="124"/>
      <c r="E202" s="59" t="str">
        <f>IFERROR(VLOOKUP(D202,'🗂️ DATA_ESCUELAS'!$A:$D,2,0),"")</f>
        <v/>
      </c>
      <c r="F202" s="59" t="str">
        <f>IFERROR(VLOOKUP(D202,'🗂️ DATA_ESCUELAS'!$A:$D,3,0),"")</f>
        <v/>
      </c>
      <c r="G202" s="59"/>
      <c r="H202" s="125"/>
      <c r="I202" s="125"/>
      <c r="J202" s="59"/>
      <c r="K202" s="91"/>
      <c r="L202" s="59"/>
      <c r="M202" s="91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43" t="str">
        <f t="shared" si="5"/>
        <v/>
      </c>
      <c r="B203" s="48" t="str">
        <f t="shared" si="6"/>
        <v/>
      </c>
      <c r="C203" s="123"/>
      <c r="D203" s="124"/>
      <c r="E203" s="59" t="str">
        <f>IFERROR(VLOOKUP(D203,'🗂️ DATA_ESCUELAS'!$A:$D,2,0),"")</f>
        <v/>
      </c>
      <c r="F203" s="59" t="str">
        <f>IFERROR(VLOOKUP(D203,'🗂️ DATA_ESCUELAS'!$A:$D,3,0),"")</f>
        <v/>
      </c>
      <c r="G203" s="59"/>
      <c r="H203" s="125"/>
      <c r="I203" s="125"/>
      <c r="J203" s="59"/>
      <c r="K203" s="91"/>
      <c r="L203" s="59"/>
      <c r="M203" s="91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43" t="str">
        <f t="shared" si="5"/>
        <v/>
      </c>
      <c r="B204" s="48" t="str">
        <f t="shared" si="6"/>
        <v/>
      </c>
      <c r="C204" s="123"/>
      <c r="D204" s="124"/>
      <c r="E204" s="59" t="str">
        <f>IFERROR(VLOOKUP(D204,'🗂️ DATA_ESCUELAS'!$A:$D,2,0),"")</f>
        <v/>
      </c>
      <c r="F204" s="59" t="str">
        <f>IFERROR(VLOOKUP(D204,'🗂️ DATA_ESCUELAS'!$A:$D,3,0),"")</f>
        <v/>
      </c>
      <c r="G204" s="59"/>
      <c r="H204" s="125"/>
      <c r="I204" s="125"/>
      <c r="J204" s="59"/>
      <c r="K204" s="91"/>
      <c r="L204" s="59"/>
      <c r="M204" s="91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43" t="str">
        <f t="shared" si="5"/>
        <v/>
      </c>
      <c r="B205" s="48" t="str">
        <f t="shared" si="6"/>
        <v/>
      </c>
      <c r="C205" s="123"/>
      <c r="D205" s="124"/>
      <c r="E205" s="59" t="str">
        <f>IFERROR(VLOOKUP(D205,'🗂️ DATA_ESCUELAS'!$A:$D,2,0),"")</f>
        <v/>
      </c>
      <c r="F205" s="59" t="str">
        <f>IFERROR(VLOOKUP(D205,'🗂️ DATA_ESCUELAS'!$A:$D,3,0),"")</f>
        <v/>
      </c>
      <c r="G205" s="59"/>
      <c r="H205" s="125"/>
      <c r="I205" s="125"/>
      <c r="J205" s="59"/>
      <c r="K205" s="91"/>
      <c r="L205" s="59"/>
      <c r="M205" s="91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43" t="str">
        <f t="shared" si="5"/>
        <v/>
      </c>
      <c r="B206" s="48" t="str">
        <f t="shared" si="6"/>
        <v/>
      </c>
      <c r="C206" s="123"/>
      <c r="D206" s="124"/>
      <c r="E206" s="59" t="str">
        <f>IFERROR(VLOOKUP(D206,'🗂️ DATA_ESCUELAS'!$A:$D,2,0),"")</f>
        <v/>
      </c>
      <c r="F206" s="59" t="str">
        <f>IFERROR(VLOOKUP(D206,'🗂️ DATA_ESCUELAS'!$A:$D,3,0),"")</f>
        <v/>
      </c>
      <c r="G206" s="59"/>
      <c r="H206" s="125"/>
      <c r="I206" s="125"/>
      <c r="J206" s="59"/>
      <c r="K206" s="91"/>
      <c r="L206" s="59"/>
      <c r="M206" s="91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43" t="str">
        <f t="shared" si="5"/>
        <v/>
      </c>
      <c r="B207" s="48" t="str">
        <f t="shared" si="6"/>
        <v/>
      </c>
      <c r="C207" s="123"/>
      <c r="D207" s="124"/>
      <c r="E207" s="59" t="str">
        <f>IFERROR(VLOOKUP(D207,'🗂️ DATA_ESCUELAS'!$A:$D,2,0),"")</f>
        <v/>
      </c>
      <c r="F207" s="59" t="str">
        <f>IFERROR(VLOOKUP(D207,'🗂️ DATA_ESCUELAS'!$A:$D,3,0),"")</f>
        <v/>
      </c>
      <c r="G207" s="59"/>
      <c r="H207" s="125"/>
      <c r="I207" s="125"/>
      <c r="J207" s="59"/>
      <c r="K207" s="91"/>
      <c r="L207" s="59"/>
      <c r="M207" s="91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43" t="str">
        <f t="shared" si="5"/>
        <v/>
      </c>
      <c r="B208" s="48" t="str">
        <f t="shared" si="6"/>
        <v/>
      </c>
      <c r="C208" s="123"/>
      <c r="D208" s="124"/>
      <c r="E208" s="59" t="str">
        <f>IFERROR(VLOOKUP(D208,'🗂️ DATA_ESCUELAS'!$A:$D,2,0),"")</f>
        <v/>
      </c>
      <c r="F208" s="59" t="str">
        <f>IFERROR(VLOOKUP(D208,'🗂️ DATA_ESCUELAS'!$A:$D,3,0),"")</f>
        <v/>
      </c>
      <c r="G208" s="59"/>
      <c r="H208" s="125"/>
      <c r="I208" s="125"/>
      <c r="J208" s="59"/>
      <c r="K208" s="91"/>
      <c r="L208" s="59"/>
      <c r="M208" s="91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43" t="str">
        <f t="shared" si="5"/>
        <v/>
      </c>
      <c r="B209" s="48" t="str">
        <f t="shared" si="6"/>
        <v/>
      </c>
      <c r="C209" s="123"/>
      <c r="D209" s="124"/>
      <c r="E209" s="59" t="str">
        <f>IFERROR(VLOOKUP(D209,'🗂️ DATA_ESCUELAS'!$A:$D,2,0),"")</f>
        <v/>
      </c>
      <c r="F209" s="59" t="str">
        <f>IFERROR(VLOOKUP(D209,'🗂️ DATA_ESCUELAS'!$A:$D,3,0),"")</f>
        <v/>
      </c>
      <c r="G209" s="59"/>
      <c r="H209" s="125"/>
      <c r="I209" s="125"/>
      <c r="J209" s="59"/>
      <c r="K209" s="91"/>
      <c r="L209" s="59"/>
      <c r="M209" s="91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43" t="str">
        <f t="shared" si="5"/>
        <v/>
      </c>
      <c r="B210" s="48" t="str">
        <f t="shared" si="6"/>
        <v/>
      </c>
      <c r="C210" s="123"/>
      <c r="D210" s="124"/>
      <c r="E210" s="59" t="str">
        <f>IFERROR(VLOOKUP(D210,'🗂️ DATA_ESCUELAS'!$A:$D,2,0),"")</f>
        <v/>
      </c>
      <c r="F210" s="59" t="str">
        <f>IFERROR(VLOOKUP(D210,'🗂️ DATA_ESCUELAS'!$A:$D,3,0),"")</f>
        <v/>
      </c>
      <c r="G210" s="59"/>
      <c r="H210" s="125"/>
      <c r="I210" s="125"/>
      <c r="J210" s="59"/>
      <c r="K210" s="91"/>
      <c r="L210" s="59"/>
      <c r="M210" s="91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43" t="str">
        <f t="shared" si="5"/>
        <v/>
      </c>
      <c r="B211" s="48" t="str">
        <f t="shared" si="6"/>
        <v/>
      </c>
      <c r="C211" s="123"/>
      <c r="D211" s="124"/>
      <c r="E211" s="59" t="str">
        <f>IFERROR(VLOOKUP(D211,'🗂️ DATA_ESCUELAS'!$A:$D,2,0),"")</f>
        <v/>
      </c>
      <c r="F211" s="59" t="str">
        <f>IFERROR(VLOOKUP(D211,'🗂️ DATA_ESCUELAS'!$A:$D,3,0),"")</f>
        <v/>
      </c>
      <c r="G211" s="59"/>
      <c r="H211" s="125"/>
      <c r="I211" s="125"/>
      <c r="J211" s="59"/>
      <c r="K211" s="91"/>
      <c r="L211" s="59"/>
      <c r="M211" s="91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43" t="str">
        <f t="shared" si="5"/>
        <v/>
      </c>
      <c r="B212" s="48" t="str">
        <f t="shared" si="6"/>
        <v/>
      </c>
      <c r="C212" s="123"/>
      <c r="D212" s="124"/>
      <c r="E212" s="59" t="str">
        <f>IFERROR(VLOOKUP(D212,'🗂️ DATA_ESCUELAS'!$A:$D,2,0),"")</f>
        <v/>
      </c>
      <c r="F212" s="59" t="str">
        <f>IFERROR(VLOOKUP(D212,'🗂️ DATA_ESCUELAS'!$A:$D,3,0),"")</f>
        <v/>
      </c>
      <c r="G212" s="59"/>
      <c r="H212" s="125"/>
      <c r="I212" s="125"/>
      <c r="J212" s="59"/>
      <c r="K212" s="91"/>
      <c r="L212" s="59"/>
      <c r="M212" s="91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43" t="str">
        <f t="shared" si="5"/>
        <v/>
      </c>
      <c r="B213" s="48" t="str">
        <f t="shared" si="6"/>
        <v/>
      </c>
      <c r="C213" s="123"/>
      <c r="D213" s="124"/>
      <c r="E213" s="59" t="str">
        <f>IFERROR(VLOOKUP(D213,'🗂️ DATA_ESCUELAS'!$A:$D,2,0),"")</f>
        <v/>
      </c>
      <c r="F213" s="59" t="str">
        <f>IFERROR(VLOOKUP(D213,'🗂️ DATA_ESCUELAS'!$A:$D,3,0),"")</f>
        <v/>
      </c>
      <c r="G213" s="59"/>
      <c r="H213" s="125"/>
      <c r="I213" s="125"/>
      <c r="J213" s="59"/>
      <c r="K213" s="91"/>
      <c r="L213" s="59"/>
      <c r="M213" s="91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43" t="str">
        <f t="shared" si="5"/>
        <v/>
      </c>
      <c r="B214" s="48" t="str">
        <f t="shared" si="6"/>
        <v/>
      </c>
      <c r="C214" s="123"/>
      <c r="D214" s="91"/>
      <c r="E214" s="59" t="str">
        <f>IFERROR(VLOOKUP(D214,'🗂️ DATA_ESCUELAS'!$A:$D,2,0),"")</f>
        <v/>
      </c>
      <c r="F214" s="59" t="str">
        <f>IFERROR(VLOOKUP(D214,'🗂️ DATA_ESCUELAS'!$A:$D,3,0),"")</f>
        <v/>
      </c>
      <c r="G214" s="59"/>
      <c r="H214" s="125"/>
      <c r="I214" s="125"/>
      <c r="J214" s="59"/>
      <c r="K214" s="91"/>
      <c r="L214" s="59"/>
      <c r="M214" s="91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43" t="str">
        <f t="shared" si="5"/>
        <v/>
      </c>
      <c r="B215" s="48" t="str">
        <f t="shared" si="6"/>
        <v/>
      </c>
      <c r="C215" s="123"/>
      <c r="D215" s="91"/>
      <c r="E215" s="59" t="str">
        <f>IFERROR(VLOOKUP(D215,'🗂️ DATA_ESCUELAS'!$A:$D,2,0),"")</f>
        <v/>
      </c>
      <c r="F215" s="59" t="str">
        <f>IFERROR(VLOOKUP(D215,'🗂️ DATA_ESCUELAS'!$A:$D,3,0),"")</f>
        <v/>
      </c>
      <c r="G215" s="59"/>
      <c r="H215" s="125"/>
      <c r="I215" s="125"/>
      <c r="J215" s="59"/>
      <c r="K215" s="91"/>
      <c r="L215" s="59"/>
      <c r="M215" s="91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43" t="str">
        <f t="shared" si="5"/>
        <v/>
      </c>
      <c r="B216" s="48" t="str">
        <f t="shared" si="6"/>
        <v/>
      </c>
      <c r="C216" s="123"/>
      <c r="D216" s="91"/>
      <c r="E216" s="59" t="str">
        <f>IFERROR(VLOOKUP(D216,'🗂️ DATA_ESCUELAS'!$A:$D,2,0),"")</f>
        <v/>
      </c>
      <c r="F216" s="59" t="str">
        <f>IFERROR(VLOOKUP(D216,'🗂️ DATA_ESCUELAS'!$A:$D,3,0),"")</f>
        <v/>
      </c>
      <c r="G216" s="59"/>
      <c r="H216" s="125"/>
      <c r="I216" s="125"/>
      <c r="J216" s="59"/>
      <c r="K216" s="91"/>
      <c r="L216" s="59"/>
      <c r="M216" s="91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43" t="str">
        <f t="shared" si="5"/>
        <v/>
      </c>
      <c r="B217" s="48" t="str">
        <f t="shared" si="6"/>
        <v/>
      </c>
      <c r="C217" s="123"/>
      <c r="D217" s="91"/>
      <c r="E217" s="59" t="str">
        <f>IFERROR(VLOOKUP(D217,'🗂️ DATA_ESCUELAS'!$A:$D,2,0),"")</f>
        <v/>
      </c>
      <c r="F217" s="59" t="str">
        <f>IFERROR(VLOOKUP(D217,'🗂️ DATA_ESCUELAS'!$A:$D,3,0),"")</f>
        <v/>
      </c>
      <c r="G217" s="59"/>
      <c r="H217" s="125"/>
      <c r="I217" s="125"/>
      <c r="J217" s="59"/>
      <c r="K217" s="91"/>
      <c r="L217" s="59"/>
      <c r="M217" s="91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43" t="str">
        <f t="shared" si="5"/>
        <v/>
      </c>
      <c r="B218" s="48" t="str">
        <f t="shared" si="6"/>
        <v/>
      </c>
      <c r="C218" s="123"/>
      <c r="D218" s="91"/>
      <c r="E218" s="59" t="str">
        <f>IFERROR(VLOOKUP(D218,'🗂️ DATA_ESCUELAS'!$A:$D,2,0),"")</f>
        <v/>
      </c>
      <c r="F218" s="59" t="str">
        <f>IFERROR(VLOOKUP(D218,'🗂️ DATA_ESCUELAS'!$A:$D,3,0),"")</f>
        <v/>
      </c>
      <c r="G218" s="59"/>
      <c r="H218" s="125"/>
      <c r="I218" s="125"/>
      <c r="J218" s="59"/>
      <c r="K218" s="91"/>
      <c r="L218" s="59"/>
      <c r="M218" s="91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43" t="str">
        <f t="shared" si="5"/>
        <v/>
      </c>
      <c r="B219" s="48" t="str">
        <f t="shared" si="6"/>
        <v/>
      </c>
      <c r="C219" s="123"/>
      <c r="D219" s="91"/>
      <c r="E219" s="59" t="str">
        <f>IFERROR(VLOOKUP(D219,'🗂️ DATA_ESCUELAS'!$A:$D,2,0),"")</f>
        <v/>
      </c>
      <c r="F219" s="59" t="str">
        <f>IFERROR(VLOOKUP(D219,'🗂️ DATA_ESCUELAS'!$A:$D,3,0),"")</f>
        <v/>
      </c>
      <c r="G219" s="59"/>
      <c r="H219" s="125"/>
      <c r="I219" s="125"/>
      <c r="J219" s="59"/>
      <c r="K219" s="91"/>
      <c r="L219" s="59"/>
      <c r="M219" s="91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43" t="str">
        <f t="shared" si="5"/>
        <v/>
      </c>
      <c r="B220" s="48" t="str">
        <f t="shared" si="6"/>
        <v/>
      </c>
      <c r="C220" s="123"/>
      <c r="D220" s="91"/>
      <c r="E220" s="59" t="str">
        <f>IFERROR(VLOOKUP(D220,'🗂️ DATA_ESCUELAS'!$A:$D,2,0),"")</f>
        <v/>
      </c>
      <c r="F220" s="59" t="str">
        <f>IFERROR(VLOOKUP(D220,'🗂️ DATA_ESCUELAS'!$A:$D,3,0),"")</f>
        <v/>
      </c>
      <c r="G220" s="59"/>
      <c r="H220" s="125"/>
      <c r="I220" s="125"/>
      <c r="J220" s="59"/>
      <c r="K220" s="91"/>
      <c r="L220" s="59"/>
      <c r="M220" s="91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43" t="str">
        <f t="shared" si="5"/>
        <v/>
      </c>
      <c r="B221" s="48" t="str">
        <f t="shared" si="6"/>
        <v/>
      </c>
      <c r="C221" s="123"/>
      <c r="D221" s="91"/>
      <c r="E221" s="59" t="str">
        <f>IFERROR(VLOOKUP(D221,'🗂️ DATA_ESCUELAS'!$A:$D,2,0),"")</f>
        <v/>
      </c>
      <c r="F221" s="59" t="str">
        <f>IFERROR(VLOOKUP(D221,'🗂️ DATA_ESCUELAS'!$A:$D,3,0),"")</f>
        <v/>
      </c>
      <c r="G221" s="59"/>
      <c r="H221" s="125"/>
      <c r="I221" s="125"/>
      <c r="J221" s="59"/>
      <c r="K221" s="91"/>
      <c r="L221" s="59"/>
      <c r="M221" s="91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43" t="str">
        <f t="shared" si="5"/>
        <v/>
      </c>
      <c r="B222" s="48" t="str">
        <f t="shared" si="6"/>
        <v/>
      </c>
      <c r="C222" s="123"/>
      <c r="D222" s="91"/>
      <c r="E222" s="59" t="str">
        <f>IFERROR(VLOOKUP(D222,'🗂️ DATA_ESCUELAS'!$A:$D,2,0),"")</f>
        <v/>
      </c>
      <c r="F222" s="59" t="str">
        <f>IFERROR(VLOOKUP(D222,'🗂️ DATA_ESCUELAS'!$A:$D,3,0),"")</f>
        <v/>
      </c>
      <c r="G222" s="59"/>
      <c r="H222" s="125"/>
      <c r="I222" s="125"/>
      <c r="J222" s="59"/>
      <c r="K222" s="91"/>
      <c r="L222" s="59"/>
      <c r="M222" s="91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43" t="str">
        <f t="shared" si="5"/>
        <v/>
      </c>
      <c r="B223" s="48" t="str">
        <f t="shared" si="6"/>
        <v/>
      </c>
      <c r="C223" s="123"/>
      <c r="D223" s="91"/>
      <c r="E223" s="59" t="str">
        <f>IFERROR(VLOOKUP(D223,'🗂️ DATA_ESCUELAS'!$A:$D,2,0),"")</f>
        <v/>
      </c>
      <c r="F223" s="59" t="str">
        <f>IFERROR(VLOOKUP(D223,'🗂️ DATA_ESCUELAS'!$A:$D,3,0),"")</f>
        <v/>
      </c>
      <c r="G223" s="59"/>
      <c r="H223" s="125"/>
      <c r="I223" s="125"/>
      <c r="J223" s="59"/>
      <c r="K223" s="91"/>
      <c r="L223" s="59"/>
      <c r="M223" s="91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43" t="str">
        <f t="shared" si="5"/>
        <v/>
      </c>
      <c r="B224" s="48" t="str">
        <f t="shared" si="6"/>
        <v/>
      </c>
      <c r="C224" s="123"/>
      <c r="D224" s="91"/>
      <c r="E224" s="59" t="str">
        <f>IFERROR(VLOOKUP(D224,'🗂️ DATA_ESCUELAS'!$A:$D,2,0),"")</f>
        <v/>
      </c>
      <c r="F224" s="59" t="str">
        <f>IFERROR(VLOOKUP(D224,'🗂️ DATA_ESCUELAS'!$A:$D,3,0),"")</f>
        <v/>
      </c>
      <c r="G224" s="59"/>
      <c r="H224" s="125"/>
      <c r="I224" s="125"/>
      <c r="J224" s="59"/>
      <c r="K224" s="91"/>
      <c r="L224" s="59"/>
      <c r="M224" s="91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43" t="str">
        <f t="shared" si="5"/>
        <v/>
      </c>
      <c r="B225" s="48" t="str">
        <f t="shared" si="6"/>
        <v/>
      </c>
      <c r="C225" s="123"/>
      <c r="D225" s="91"/>
      <c r="E225" s="59" t="str">
        <f>IFERROR(VLOOKUP(D225,'🗂️ DATA_ESCUELAS'!$A:$D,2,0),"")</f>
        <v/>
      </c>
      <c r="F225" s="59" t="str">
        <f>IFERROR(VLOOKUP(D225,'🗂️ DATA_ESCUELAS'!$A:$D,3,0),"")</f>
        <v/>
      </c>
      <c r="G225" s="59"/>
      <c r="H225" s="125"/>
      <c r="I225" s="125"/>
      <c r="J225" s="59"/>
      <c r="K225" s="91"/>
      <c r="L225" s="59"/>
      <c r="M225" s="91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43" t="str">
        <f t="shared" si="5"/>
        <v/>
      </c>
      <c r="B226" s="48" t="str">
        <f t="shared" si="6"/>
        <v/>
      </c>
      <c r="C226" s="123"/>
      <c r="D226" s="91"/>
      <c r="E226" s="59" t="str">
        <f>IFERROR(VLOOKUP(D226,'🗂️ DATA_ESCUELAS'!$A:$D,2,0),"")</f>
        <v/>
      </c>
      <c r="F226" s="59" t="str">
        <f>IFERROR(VLOOKUP(D226,'🗂️ DATA_ESCUELAS'!$A:$D,3,0),"")</f>
        <v/>
      </c>
      <c r="G226" s="59"/>
      <c r="H226" s="125"/>
      <c r="I226" s="125"/>
      <c r="J226" s="59"/>
      <c r="K226" s="91"/>
      <c r="L226" s="59"/>
      <c r="M226" s="91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43" t="str">
        <f t="shared" si="5"/>
        <v/>
      </c>
      <c r="B227" s="48" t="str">
        <f t="shared" si="6"/>
        <v/>
      </c>
      <c r="C227" s="123"/>
      <c r="D227" s="91"/>
      <c r="E227" s="59" t="str">
        <f>IFERROR(VLOOKUP(D227,'🗂️ DATA_ESCUELAS'!$A:$D,2,0),"")</f>
        <v/>
      </c>
      <c r="F227" s="59" t="str">
        <f>IFERROR(VLOOKUP(D227,'🗂️ DATA_ESCUELAS'!$A:$D,3,0),"")</f>
        <v/>
      </c>
      <c r="G227" s="59"/>
      <c r="H227" s="125"/>
      <c r="I227" s="125"/>
      <c r="J227" s="59"/>
      <c r="K227" s="91"/>
      <c r="L227" s="59"/>
      <c r="M227" s="91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43" t="str">
        <f t="shared" si="5"/>
        <v/>
      </c>
      <c r="B228" s="48" t="str">
        <f t="shared" si="6"/>
        <v/>
      </c>
      <c r="C228" s="123"/>
      <c r="D228" s="91"/>
      <c r="E228" s="59" t="str">
        <f>IFERROR(VLOOKUP(D228,'🗂️ DATA_ESCUELAS'!$A:$D,2,0),"")</f>
        <v/>
      </c>
      <c r="F228" s="59" t="str">
        <f>IFERROR(VLOOKUP(D228,'🗂️ DATA_ESCUELAS'!$A:$D,3,0),"")</f>
        <v/>
      </c>
      <c r="G228" s="59"/>
      <c r="H228" s="125"/>
      <c r="I228" s="125"/>
      <c r="J228" s="59"/>
      <c r="K228" s="91"/>
      <c r="L228" s="59"/>
      <c r="M228" s="91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43" t="str">
        <f t="shared" si="5"/>
        <v/>
      </c>
      <c r="B229" s="48" t="str">
        <f t="shared" si="6"/>
        <v/>
      </c>
      <c r="C229" s="123"/>
      <c r="D229" s="91"/>
      <c r="E229" s="59" t="str">
        <f>IFERROR(VLOOKUP(D229,'🗂️ DATA_ESCUELAS'!$A:$D,2,0),"")</f>
        <v/>
      </c>
      <c r="F229" s="59" t="str">
        <f>IFERROR(VLOOKUP(D229,'🗂️ DATA_ESCUELAS'!$A:$D,3,0),"")</f>
        <v/>
      </c>
      <c r="G229" s="59"/>
      <c r="H229" s="125"/>
      <c r="I229" s="125"/>
      <c r="J229" s="59"/>
      <c r="K229" s="91"/>
      <c r="L229" s="59"/>
      <c r="M229" s="91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43" t="str">
        <f t="shared" si="5"/>
        <v/>
      </c>
      <c r="B230" s="48" t="str">
        <f t="shared" si="6"/>
        <v/>
      </c>
      <c r="C230" s="123"/>
      <c r="D230" s="91"/>
      <c r="E230" s="59" t="str">
        <f>IFERROR(VLOOKUP(D230,'🗂️ DATA_ESCUELAS'!$A:$D,2,0),"")</f>
        <v/>
      </c>
      <c r="F230" s="59" t="str">
        <f>IFERROR(VLOOKUP(D230,'🗂️ DATA_ESCUELAS'!$A:$D,3,0),"")</f>
        <v/>
      </c>
      <c r="G230" s="59"/>
      <c r="H230" s="125"/>
      <c r="I230" s="125"/>
      <c r="J230" s="59"/>
      <c r="K230" s="91"/>
      <c r="L230" s="59"/>
      <c r="M230" s="91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43" t="str">
        <f t="shared" si="5"/>
        <v/>
      </c>
      <c r="B231" s="48" t="str">
        <f t="shared" si="6"/>
        <v/>
      </c>
      <c r="C231" s="123"/>
      <c r="D231" s="91"/>
      <c r="E231" s="59" t="str">
        <f>IFERROR(VLOOKUP(D231,'🗂️ DATA_ESCUELAS'!$A:$D,2,0),"")</f>
        <v/>
      </c>
      <c r="F231" s="59" t="str">
        <f>IFERROR(VLOOKUP(D231,'🗂️ DATA_ESCUELAS'!$A:$D,3,0),"")</f>
        <v/>
      </c>
      <c r="G231" s="59"/>
      <c r="H231" s="125"/>
      <c r="I231" s="125"/>
      <c r="J231" s="59"/>
      <c r="K231" s="91"/>
      <c r="L231" s="59"/>
      <c r="M231" s="91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43" t="str">
        <f t="shared" si="5"/>
        <v/>
      </c>
      <c r="B232" s="48" t="str">
        <f t="shared" si="6"/>
        <v/>
      </c>
      <c r="C232" s="123"/>
      <c r="D232" s="91"/>
      <c r="E232" s="59" t="str">
        <f>IFERROR(VLOOKUP(D232,'🗂️ DATA_ESCUELAS'!$A:$D,2,0),"")</f>
        <v/>
      </c>
      <c r="F232" s="59" t="str">
        <f>IFERROR(VLOOKUP(D232,'🗂️ DATA_ESCUELAS'!$A:$D,3,0),"")</f>
        <v/>
      </c>
      <c r="G232" s="59"/>
      <c r="H232" s="125"/>
      <c r="I232" s="125"/>
      <c r="J232" s="59"/>
      <c r="K232" s="91"/>
      <c r="L232" s="59"/>
      <c r="M232" s="91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43" t="str">
        <f t="shared" si="5"/>
        <v/>
      </c>
      <c r="B233" s="48" t="str">
        <f t="shared" si="6"/>
        <v/>
      </c>
      <c r="C233" s="123"/>
      <c r="D233" s="91"/>
      <c r="E233" s="59" t="str">
        <f>IFERROR(VLOOKUP(D233,'🗂️ DATA_ESCUELAS'!$A:$D,2,0),"")</f>
        <v/>
      </c>
      <c r="F233" s="59" t="str">
        <f>IFERROR(VLOOKUP(D233,'🗂️ DATA_ESCUELAS'!$A:$D,3,0),"")</f>
        <v/>
      </c>
      <c r="G233" s="59"/>
      <c r="H233" s="125"/>
      <c r="I233" s="125"/>
      <c r="J233" s="59"/>
      <c r="K233" s="91"/>
      <c r="L233" s="59"/>
      <c r="M233" s="91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43" t="str">
        <f t="shared" si="5"/>
        <v/>
      </c>
      <c r="B234" s="48" t="str">
        <f t="shared" si="6"/>
        <v/>
      </c>
      <c r="C234" s="123"/>
      <c r="D234" s="91"/>
      <c r="E234" s="59" t="str">
        <f>IFERROR(VLOOKUP(D234,'🗂️ DATA_ESCUELAS'!$A:$D,2,0),"")</f>
        <v/>
      </c>
      <c r="F234" s="59" t="str">
        <f>IFERROR(VLOOKUP(D234,'🗂️ DATA_ESCUELAS'!$A:$D,3,0),"")</f>
        <v/>
      </c>
      <c r="G234" s="59"/>
      <c r="H234" s="125"/>
      <c r="I234" s="125"/>
      <c r="J234" s="59"/>
      <c r="K234" s="91"/>
      <c r="L234" s="59"/>
      <c r="M234" s="91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43" t="str">
        <f t="shared" si="5"/>
        <v/>
      </c>
      <c r="B235" s="48" t="str">
        <f t="shared" si="6"/>
        <v/>
      </c>
      <c r="C235" s="123"/>
      <c r="D235" s="91"/>
      <c r="E235" s="59" t="str">
        <f>IFERROR(VLOOKUP(D235,'🗂️ DATA_ESCUELAS'!$A:$D,2,0),"")</f>
        <v/>
      </c>
      <c r="F235" s="59" t="str">
        <f>IFERROR(VLOOKUP(D235,'🗂️ DATA_ESCUELAS'!$A:$D,3,0),"")</f>
        <v/>
      </c>
      <c r="G235" s="59"/>
      <c r="H235" s="125"/>
      <c r="I235" s="125"/>
      <c r="J235" s="59"/>
      <c r="K235" s="91"/>
      <c r="L235" s="59"/>
      <c r="M235" s="91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43" t="str">
        <f t="shared" si="5"/>
        <v/>
      </c>
      <c r="B236" s="48" t="str">
        <f t="shared" si="6"/>
        <v/>
      </c>
      <c r="C236" s="123"/>
      <c r="D236" s="91"/>
      <c r="E236" s="59" t="str">
        <f>IFERROR(VLOOKUP(D236,'🗂️ DATA_ESCUELAS'!$A:$D,2,0),"")</f>
        <v/>
      </c>
      <c r="F236" s="59" t="str">
        <f>IFERROR(VLOOKUP(D236,'🗂️ DATA_ESCUELAS'!$A:$D,3,0),"")</f>
        <v/>
      </c>
      <c r="G236" s="59"/>
      <c r="H236" s="125"/>
      <c r="I236" s="125"/>
      <c r="J236" s="59"/>
      <c r="K236" s="91"/>
      <c r="L236" s="59"/>
      <c r="M236" s="91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43" t="str">
        <f t="shared" si="5"/>
        <v/>
      </c>
      <c r="B237" s="48" t="str">
        <f t="shared" si="6"/>
        <v/>
      </c>
      <c r="C237" s="123"/>
      <c r="D237" s="91"/>
      <c r="E237" s="59" t="str">
        <f>IFERROR(VLOOKUP(D237,'🗂️ DATA_ESCUELAS'!$A:$D,2,0),"")</f>
        <v/>
      </c>
      <c r="F237" s="59" t="str">
        <f>IFERROR(VLOOKUP(D237,'🗂️ DATA_ESCUELAS'!$A:$D,3,0),"")</f>
        <v/>
      </c>
      <c r="G237" s="59"/>
      <c r="H237" s="125"/>
      <c r="I237" s="125"/>
      <c r="J237" s="59"/>
      <c r="K237" s="91"/>
      <c r="L237" s="59"/>
      <c r="M237" s="91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43" t="str">
        <f t="shared" si="5"/>
        <v/>
      </c>
      <c r="B238" s="48" t="str">
        <f t="shared" si="6"/>
        <v/>
      </c>
      <c r="C238" s="123"/>
      <c r="D238" s="91"/>
      <c r="E238" s="59" t="str">
        <f>IFERROR(VLOOKUP(D238,'🗂️ DATA_ESCUELAS'!$A:$D,2,0),"")</f>
        <v/>
      </c>
      <c r="F238" s="59" t="str">
        <f>IFERROR(VLOOKUP(D238,'🗂️ DATA_ESCUELAS'!$A:$D,3,0),"")</f>
        <v/>
      </c>
      <c r="G238" s="59"/>
      <c r="H238" s="125"/>
      <c r="I238" s="125"/>
      <c r="J238" s="59"/>
      <c r="K238" s="91"/>
      <c r="L238" s="59"/>
      <c r="M238" s="91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43" t="str">
        <f t="shared" si="5"/>
        <v/>
      </c>
      <c r="B239" s="48" t="str">
        <f t="shared" si="6"/>
        <v/>
      </c>
      <c r="C239" s="123"/>
      <c r="D239" s="91"/>
      <c r="E239" s="59" t="str">
        <f>IFERROR(VLOOKUP(D239,'🗂️ DATA_ESCUELAS'!$A:$D,2,0),"")</f>
        <v/>
      </c>
      <c r="F239" s="59" t="str">
        <f>IFERROR(VLOOKUP(D239,'🗂️ DATA_ESCUELAS'!$A:$D,3,0),"")</f>
        <v/>
      </c>
      <c r="G239" s="59"/>
      <c r="H239" s="125"/>
      <c r="I239" s="125"/>
      <c r="J239" s="59"/>
      <c r="K239" s="91"/>
      <c r="L239" s="59"/>
      <c r="M239" s="91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43" t="str">
        <f t="shared" si="5"/>
        <v/>
      </c>
      <c r="B240" s="48" t="str">
        <f t="shared" si="6"/>
        <v/>
      </c>
      <c r="C240" s="123"/>
      <c r="D240" s="91"/>
      <c r="E240" s="59" t="str">
        <f>IFERROR(VLOOKUP(D240,'🗂️ DATA_ESCUELAS'!$A:$D,2,0),"")</f>
        <v/>
      </c>
      <c r="F240" s="59" t="str">
        <f>IFERROR(VLOOKUP(D240,'🗂️ DATA_ESCUELAS'!$A:$D,3,0),"")</f>
        <v/>
      </c>
      <c r="G240" s="59"/>
      <c r="H240" s="125"/>
      <c r="I240" s="125"/>
      <c r="J240" s="59"/>
      <c r="K240" s="91"/>
      <c r="L240" s="59"/>
      <c r="M240" s="91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43" t="str">
        <f t="shared" si="5"/>
        <v/>
      </c>
      <c r="B241" s="48" t="str">
        <f t="shared" si="6"/>
        <v/>
      </c>
      <c r="C241" s="123"/>
      <c r="D241" s="91"/>
      <c r="E241" s="59" t="str">
        <f>IFERROR(VLOOKUP(D241,'🗂️ DATA_ESCUELAS'!$A:$D,2,0),"")</f>
        <v/>
      </c>
      <c r="F241" s="59" t="str">
        <f>IFERROR(VLOOKUP(D241,'🗂️ DATA_ESCUELAS'!$A:$D,3,0),"")</f>
        <v/>
      </c>
      <c r="G241" s="59"/>
      <c r="H241" s="125"/>
      <c r="I241" s="125"/>
      <c r="J241" s="59"/>
      <c r="K241" s="91"/>
      <c r="L241" s="59"/>
      <c r="M241" s="91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43" t="str">
        <f t="shared" si="5"/>
        <v/>
      </c>
      <c r="B242" s="48" t="str">
        <f t="shared" si="6"/>
        <v/>
      </c>
      <c r="C242" s="123"/>
      <c r="D242" s="91"/>
      <c r="E242" s="59" t="str">
        <f>IFERROR(VLOOKUP(D242,'🗂️ DATA_ESCUELAS'!$A:$D,2,0),"")</f>
        <v/>
      </c>
      <c r="F242" s="59" t="str">
        <f>IFERROR(VLOOKUP(D242,'🗂️ DATA_ESCUELAS'!$A:$D,3,0),"")</f>
        <v/>
      </c>
      <c r="G242" s="59"/>
      <c r="H242" s="125"/>
      <c r="I242" s="125"/>
      <c r="J242" s="59"/>
      <c r="K242" s="91"/>
      <c r="L242" s="59"/>
      <c r="M242" s="91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43" t="str">
        <f t="shared" si="5"/>
        <v/>
      </c>
      <c r="B243" s="48" t="str">
        <f t="shared" si="6"/>
        <v/>
      </c>
      <c r="C243" s="123"/>
      <c r="D243" s="91"/>
      <c r="E243" s="59" t="str">
        <f>IFERROR(VLOOKUP(D243,'🗂️ DATA_ESCUELAS'!$A:$D,2,0),"")</f>
        <v/>
      </c>
      <c r="F243" s="59" t="str">
        <f>IFERROR(VLOOKUP(D243,'🗂️ DATA_ESCUELAS'!$A:$D,3,0),"")</f>
        <v/>
      </c>
      <c r="G243" s="59"/>
      <c r="H243" s="125"/>
      <c r="I243" s="125"/>
      <c r="J243" s="59"/>
      <c r="K243" s="91"/>
      <c r="L243" s="59"/>
      <c r="M243" s="91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43" t="str">
        <f t="shared" si="5"/>
        <v/>
      </c>
      <c r="B244" s="48" t="str">
        <f t="shared" si="6"/>
        <v/>
      </c>
      <c r="C244" s="123"/>
      <c r="D244" s="91"/>
      <c r="E244" s="59" t="str">
        <f>IFERROR(VLOOKUP(D244,'🗂️ DATA_ESCUELAS'!$A:$D,2,0),"")</f>
        <v/>
      </c>
      <c r="F244" s="59" t="str">
        <f>IFERROR(VLOOKUP(D244,'🗂️ DATA_ESCUELAS'!$A:$D,3,0),"")</f>
        <v/>
      </c>
      <c r="G244" s="59"/>
      <c r="H244" s="125"/>
      <c r="I244" s="125"/>
      <c r="J244" s="59"/>
      <c r="K244" s="91"/>
      <c r="L244" s="59"/>
      <c r="M244" s="91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43" t="str">
        <f t="shared" si="5"/>
        <v/>
      </c>
      <c r="B245" s="48" t="str">
        <f t="shared" si="6"/>
        <v/>
      </c>
      <c r="C245" s="123"/>
      <c r="D245" s="91"/>
      <c r="E245" s="59" t="str">
        <f>IFERROR(VLOOKUP(D245,'🗂️ DATA_ESCUELAS'!$A:$D,2,0),"")</f>
        <v/>
      </c>
      <c r="F245" s="59" t="str">
        <f>IFERROR(VLOOKUP(D245,'🗂️ DATA_ESCUELAS'!$A:$D,3,0),"")</f>
        <v/>
      </c>
      <c r="G245" s="59"/>
      <c r="H245" s="125"/>
      <c r="I245" s="125"/>
      <c r="J245" s="59"/>
      <c r="K245" s="91"/>
      <c r="L245" s="59"/>
      <c r="M245" s="91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43" t="str">
        <f t="shared" si="5"/>
        <v/>
      </c>
      <c r="B246" s="48" t="str">
        <f t="shared" si="6"/>
        <v/>
      </c>
      <c r="C246" s="123"/>
      <c r="D246" s="91"/>
      <c r="E246" s="59" t="str">
        <f>IFERROR(VLOOKUP(D246,'🗂️ DATA_ESCUELAS'!$A:$D,2,0),"")</f>
        <v/>
      </c>
      <c r="F246" s="59" t="str">
        <f>IFERROR(VLOOKUP(D246,'🗂️ DATA_ESCUELAS'!$A:$D,3,0),"")</f>
        <v/>
      </c>
      <c r="G246" s="59"/>
      <c r="H246" s="125"/>
      <c r="I246" s="125"/>
      <c r="J246" s="59"/>
      <c r="K246" s="91"/>
      <c r="L246" s="59"/>
      <c r="M246" s="91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43" t="str">
        <f t="shared" si="5"/>
        <v/>
      </c>
      <c r="B247" s="48" t="str">
        <f t="shared" si="6"/>
        <v/>
      </c>
      <c r="C247" s="123"/>
      <c r="D247" s="91"/>
      <c r="E247" s="59" t="str">
        <f>IFERROR(VLOOKUP(D247,'🗂️ DATA_ESCUELAS'!$A:$D,2,0),"")</f>
        <v/>
      </c>
      <c r="F247" s="59" t="str">
        <f>IFERROR(VLOOKUP(D247,'🗂️ DATA_ESCUELAS'!$A:$D,3,0),"")</f>
        <v/>
      </c>
      <c r="G247" s="59"/>
      <c r="H247" s="125"/>
      <c r="I247" s="125"/>
      <c r="J247" s="59"/>
      <c r="K247" s="91"/>
      <c r="L247" s="59"/>
      <c r="M247" s="91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43" t="str">
        <f t="shared" si="5"/>
        <v/>
      </c>
      <c r="B248" s="48" t="str">
        <f t="shared" si="6"/>
        <v/>
      </c>
      <c r="C248" s="123"/>
      <c r="D248" s="91"/>
      <c r="E248" s="59" t="str">
        <f>IFERROR(VLOOKUP(D248,'🗂️ DATA_ESCUELAS'!$A:$D,2,0),"")</f>
        <v/>
      </c>
      <c r="F248" s="59" t="str">
        <f>IFERROR(VLOOKUP(D248,'🗂️ DATA_ESCUELAS'!$A:$D,3,0),"")</f>
        <v/>
      </c>
      <c r="G248" s="59"/>
      <c r="H248" s="125"/>
      <c r="I248" s="125"/>
      <c r="J248" s="59"/>
      <c r="K248" s="91"/>
      <c r="L248" s="59"/>
      <c r="M248" s="91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43" t="str">
        <f t="shared" si="5"/>
        <v/>
      </c>
      <c r="B249" s="48" t="str">
        <f t="shared" si="6"/>
        <v/>
      </c>
      <c r="C249" s="123"/>
      <c r="D249" s="91"/>
      <c r="E249" s="59" t="str">
        <f>IFERROR(VLOOKUP(D249,'🗂️ DATA_ESCUELAS'!$A:$D,2,0),"")</f>
        <v/>
      </c>
      <c r="F249" s="59" t="str">
        <f>IFERROR(VLOOKUP(D249,'🗂️ DATA_ESCUELAS'!$A:$D,3,0),"")</f>
        <v/>
      </c>
      <c r="G249" s="59"/>
      <c r="H249" s="125"/>
      <c r="I249" s="125"/>
      <c r="J249" s="59"/>
      <c r="K249" s="91"/>
      <c r="L249" s="59"/>
      <c r="M249" s="91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43" t="str">
        <f t="shared" si="5"/>
        <v/>
      </c>
      <c r="B250" s="48" t="str">
        <f t="shared" si="6"/>
        <v/>
      </c>
      <c r="C250" s="123"/>
      <c r="D250" s="91"/>
      <c r="E250" s="59" t="str">
        <f>IFERROR(VLOOKUP(D250,'🗂️ DATA_ESCUELAS'!$A:$D,2,0),"")</f>
        <v/>
      </c>
      <c r="F250" s="59" t="str">
        <f>IFERROR(VLOOKUP(D250,'🗂️ DATA_ESCUELAS'!$A:$D,3,0),"")</f>
        <v/>
      </c>
      <c r="G250" s="59"/>
      <c r="H250" s="125"/>
      <c r="I250" s="125"/>
      <c r="J250" s="59"/>
      <c r="K250" s="91"/>
      <c r="L250" s="59"/>
      <c r="M250" s="91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43" t="str">
        <f t="shared" si="5"/>
        <v/>
      </c>
      <c r="B251" s="48" t="str">
        <f t="shared" si="6"/>
        <v/>
      </c>
      <c r="C251" s="123"/>
      <c r="D251" s="91"/>
      <c r="E251" s="59" t="str">
        <f>IFERROR(VLOOKUP(D251,'🗂️ DATA_ESCUELAS'!$A:$D,2,0),"")</f>
        <v/>
      </c>
      <c r="F251" s="59" t="str">
        <f>IFERROR(VLOOKUP(D251,'🗂️ DATA_ESCUELAS'!$A:$D,3,0),"")</f>
        <v/>
      </c>
      <c r="G251" s="59"/>
      <c r="H251" s="125"/>
      <c r="I251" s="125"/>
      <c r="J251" s="59"/>
      <c r="K251" s="91"/>
      <c r="L251" s="59"/>
      <c r="M251" s="91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153" t="str">
        <f t="shared" si="5"/>
        <v/>
      </c>
      <c r="B252" s="48" t="str">
        <f t="shared" si="6"/>
        <v/>
      </c>
      <c r="C252" s="154"/>
      <c r="D252" s="155"/>
      <c r="E252" s="156" t="str">
        <f>IFERROR(VLOOKUP(D252,'🗂️ DATA_ESCUELAS'!$A:$D,2,0),"")</f>
        <v/>
      </c>
      <c r="F252" s="156" t="str">
        <f>IFERROR(VLOOKUP(D252,'🗂️ DATA_ESCUELAS'!$A:$D,3,0),"")</f>
        <v/>
      </c>
      <c r="G252" s="156"/>
      <c r="H252" s="157"/>
      <c r="I252" s="157"/>
      <c r="J252" s="156"/>
      <c r="K252" s="155"/>
      <c r="L252" s="156"/>
      <c r="M252" s="155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153" t="str">
        <f t="shared" si="5"/>
        <v/>
      </c>
      <c r="B253" s="48" t="str">
        <f t="shared" si="6"/>
        <v/>
      </c>
      <c r="C253" s="154"/>
      <c r="D253" s="155"/>
      <c r="E253" s="156" t="str">
        <f>IFERROR(VLOOKUP(D253,'🗂️ DATA_ESCUELAS'!$A:$D,2,0),"")</f>
        <v/>
      </c>
      <c r="F253" s="156" t="str">
        <f>IFERROR(VLOOKUP(D253,'🗂️ DATA_ESCUELAS'!$A:$D,3,0),"")</f>
        <v/>
      </c>
      <c r="G253" s="156"/>
      <c r="H253" s="157"/>
      <c r="I253" s="157"/>
      <c r="J253" s="156"/>
      <c r="K253" s="155"/>
      <c r="L253" s="156"/>
      <c r="M253" s="155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153" t="str">
        <f t="shared" si="5"/>
        <v/>
      </c>
      <c r="B254" s="158" t="str">
        <f t="shared" ref="B254:B500" si="7">IF(G254&lt;&gt;"","OT-TER-2026-"&amp;TEXT(ROW()-4,"000"),"")</f>
        <v/>
      </c>
      <c r="C254" s="154"/>
      <c r="D254" s="155"/>
      <c r="E254" s="156" t="str">
        <f>IFERROR(VLOOKUP(D254,'🗂️ DATA_ESCUELAS'!$A:$D,2,0),"")</f>
        <v/>
      </c>
      <c r="F254" s="156" t="str">
        <f>IFERROR(VLOOKUP(D254,'🗂️ DATA_ESCUELAS'!$A:$D,3,0),"")</f>
        <v/>
      </c>
      <c r="G254" s="156"/>
      <c r="H254" s="157"/>
      <c r="I254" s="157"/>
      <c r="J254" s="156"/>
      <c r="K254" s="155"/>
      <c r="L254" s="156"/>
      <c r="M254" s="155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153" t="str">
        <f t="shared" si="5"/>
        <v/>
      </c>
      <c r="B255" s="158" t="str">
        <f t="shared" si="7"/>
        <v/>
      </c>
      <c r="C255" s="154"/>
      <c r="D255" s="155"/>
      <c r="E255" s="156" t="str">
        <f>IFERROR(VLOOKUP(D255,'🗂️ DATA_ESCUELAS'!$A:$D,2,0),"")</f>
        <v/>
      </c>
      <c r="F255" s="156" t="str">
        <f>IFERROR(VLOOKUP(D255,'🗂️ DATA_ESCUELAS'!$A:$D,3,0),"")</f>
        <v/>
      </c>
      <c r="G255" s="156"/>
      <c r="H255" s="157"/>
      <c r="I255" s="157"/>
      <c r="J255" s="156"/>
      <c r="K255" s="155"/>
      <c r="L255" s="156"/>
      <c r="M255" s="155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153" t="str">
        <f t="shared" si="5"/>
        <v/>
      </c>
      <c r="B256" s="158" t="str">
        <f t="shared" si="7"/>
        <v/>
      </c>
      <c r="C256" s="154"/>
      <c r="D256" s="155"/>
      <c r="E256" s="156" t="str">
        <f>IFERROR(VLOOKUP(D256,'🗂️ DATA_ESCUELAS'!$A:$D,2,0),"")</f>
        <v/>
      </c>
      <c r="F256" s="156" t="str">
        <f>IFERROR(VLOOKUP(D256,'🗂️ DATA_ESCUELAS'!$A:$D,3,0),"")</f>
        <v/>
      </c>
      <c r="G256" s="156"/>
      <c r="H256" s="157"/>
      <c r="I256" s="157"/>
      <c r="J256" s="156"/>
      <c r="K256" s="155"/>
      <c r="L256" s="156"/>
      <c r="M256" s="155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153" t="str">
        <f t="shared" si="5"/>
        <v/>
      </c>
      <c r="B257" s="158" t="str">
        <f t="shared" si="7"/>
        <v/>
      </c>
      <c r="C257" s="154"/>
      <c r="D257" s="155"/>
      <c r="E257" s="156" t="str">
        <f>IFERROR(VLOOKUP(D257,'🗂️ DATA_ESCUELAS'!$A:$D,2,0),"")</f>
        <v/>
      </c>
      <c r="F257" s="156" t="str">
        <f>IFERROR(VLOOKUP(D257,'🗂️ DATA_ESCUELAS'!$A:$D,3,0),"")</f>
        <v/>
      </c>
      <c r="G257" s="156"/>
      <c r="H257" s="157"/>
      <c r="I257" s="157"/>
      <c r="J257" s="156"/>
      <c r="K257" s="155"/>
      <c r="L257" s="156"/>
      <c r="M257" s="155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153" t="str">
        <f t="shared" si="5"/>
        <v/>
      </c>
      <c r="B258" s="158" t="str">
        <f t="shared" si="7"/>
        <v/>
      </c>
      <c r="C258" s="154"/>
      <c r="D258" s="155"/>
      <c r="E258" s="156" t="str">
        <f>IFERROR(VLOOKUP(D258,'🗂️ DATA_ESCUELAS'!$A:$D,2,0),"")</f>
        <v/>
      </c>
      <c r="F258" s="156" t="str">
        <f>IFERROR(VLOOKUP(D258,'🗂️ DATA_ESCUELAS'!$A:$D,3,0),"")</f>
        <v/>
      </c>
      <c r="G258" s="156"/>
      <c r="H258" s="157"/>
      <c r="I258" s="157"/>
      <c r="J258" s="156"/>
      <c r="K258" s="155"/>
      <c r="L258" s="156"/>
      <c r="M258" s="155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153" t="str">
        <f t="shared" si="5"/>
        <v/>
      </c>
      <c r="B259" s="158" t="str">
        <f t="shared" si="7"/>
        <v/>
      </c>
      <c r="C259" s="154"/>
      <c r="D259" s="155"/>
      <c r="E259" s="156" t="str">
        <f>IFERROR(VLOOKUP(D259,'🗂️ DATA_ESCUELAS'!$A:$D,2,0),"")</f>
        <v/>
      </c>
      <c r="F259" s="156" t="str">
        <f>IFERROR(VLOOKUP(D259,'🗂️ DATA_ESCUELAS'!$A:$D,3,0),"")</f>
        <v/>
      </c>
      <c r="G259" s="156"/>
      <c r="H259" s="157"/>
      <c r="I259" s="157"/>
      <c r="J259" s="156"/>
      <c r="K259" s="155"/>
      <c r="L259" s="156"/>
      <c r="M259" s="155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153" t="str">
        <f t="shared" si="5"/>
        <v/>
      </c>
      <c r="B260" s="158" t="str">
        <f t="shared" si="7"/>
        <v/>
      </c>
      <c r="C260" s="154"/>
      <c r="D260" s="155"/>
      <c r="E260" s="156" t="str">
        <f>IFERROR(VLOOKUP(D260,'🗂️ DATA_ESCUELAS'!$A:$D,2,0),"")</f>
        <v/>
      </c>
      <c r="F260" s="156" t="str">
        <f>IFERROR(VLOOKUP(D260,'🗂️ DATA_ESCUELAS'!$A:$D,3,0),"")</f>
        <v/>
      </c>
      <c r="G260" s="156"/>
      <c r="H260" s="157"/>
      <c r="I260" s="157"/>
      <c r="J260" s="156"/>
      <c r="K260" s="155"/>
      <c r="L260" s="156"/>
      <c r="M260" s="155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153" t="str">
        <f t="shared" si="5"/>
        <v/>
      </c>
      <c r="B261" s="158" t="str">
        <f t="shared" si="7"/>
        <v/>
      </c>
      <c r="C261" s="154"/>
      <c r="D261" s="155"/>
      <c r="E261" s="156" t="str">
        <f>IFERROR(VLOOKUP(D261,'🗂️ DATA_ESCUELAS'!$A:$D,2,0),"")</f>
        <v/>
      </c>
      <c r="F261" s="156" t="str">
        <f>IFERROR(VLOOKUP(D261,'🗂️ DATA_ESCUELAS'!$A:$D,3,0),"")</f>
        <v/>
      </c>
      <c r="G261" s="156"/>
      <c r="H261" s="157"/>
      <c r="I261" s="157"/>
      <c r="J261" s="156"/>
      <c r="K261" s="155"/>
      <c r="L261" s="156"/>
      <c r="M261" s="155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153" t="str">
        <f t="shared" si="5"/>
        <v/>
      </c>
      <c r="B262" s="158" t="str">
        <f t="shared" si="7"/>
        <v/>
      </c>
      <c r="C262" s="154"/>
      <c r="D262" s="155"/>
      <c r="E262" s="156" t="str">
        <f>IFERROR(VLOOKUP(D262,'🗂️ DATA_ESCUELAS'!$A:$D,2,0),"")</f>
        <v/>
      </c>
      <c r="F262" s="156" t="str">
        <f>IFERROR(VLOOKUP(D262,'🗂️ DATA_ESCUELAS'!$A:$D,3,0),"")</f>
        <v/>
      </c>
      <c r="G262" s="156"/>
      <c r="H262" s="157"/>
      <c r="I262" s="157"/>
      <c r="J262" s="156"/>
      <c r="K262" s="155"/>
      <c r="L262" s="156"/>
      <c r="M262" s="155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153" t="str">
        <f t="shared" si="5"/>
        <v/>
      </c>
      <c r="B263" s="158" t="str">
        <f t="shared" si="7"/>
        <v/>
      </c>
      <c r="C263" s="154"/>
      <c r="D263" s="155"/>
      <c r="E263" s="156" t="str">
        <f>IFERROR(VLOOKUP(D263,'🗂️ DATA_ESCUELAS'!$A:$D,2,0),"")</f>
        <v/>
      </c>
      <c r="F263" s="156" t="str">
        <f>IFERROR(VLOOKUP(D263,'🗂️ DATA_ESCUELAS'!$A:$D,3,0),"")</f>
        <v/>
      </c>
      <c r="G263" s="156"/>
      <c r="H263" s="157"/>
      <c r="I263" s="157"/>
      <c r="J263" s="156"/>
      <c r="K263" s="155"/>
      <c r="L263" s="156"/>
      <c r="M263" s="155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153" t="str">
        <f t="shared" si="5"/>
        <v/>
      </c>
      <c r="B264" s="158" t="str">
        <f t="shared" si="7"/>
        <v/>
      </c>
      <c r="C264" s="154"/>
      <c r="D264" s="155"/>
      <c r="E264" s="156" t="str">
        <f>IFERROR(VLOOKUP(D264,'🗂️ DATA_ESCUELAS'!$A:$D,2,0),"")</f>
        <v/>
      </c>
      <c r="F264" s="156" t="str">
        <f>IFERROR(VLOOKUP(D264,'🗂️ DATA_ESCUELAS'!$A:$D,3,0),"")</f>
        <v/>
      </c>
      <c r="G264" s="156"/>
      <c r="H264" s="157"/>
      <c r="I264" s="157"/>
      <c r="J264" s="156"/>
      <c r="K264" s="155"/>
      <c r="L264" s="156"/>
      <c r="M264" s="155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153" t="str">
        <f t="shared" si="5"/>
        <v/>
      </c>
      <c r="B265" s="158" t="str">
        <f t="shared" si="7"/>
        <v/>
      </c>
      <c r="C265" s="154"/>
      <c r="D265" s="155"/>
      <c r="E265" s="156" t="str">
        <f>IFERROR(VLOOKUP(D265,'🗂️ DATA_ESCUELAS'!$A:$D,2,0),"")</f>
        <v/>
      </c>
      <c r="F265" s="156" t="str">
        <f>IFERROR(VLOOKUP(D265,'🗂️ DATA_ESCUELAS'!$A:$D,3,0),"")</f>
        <v/>
      </c>
      <c r="G265" s="156"/>
      <c r="H265" s="157"/>
      <c r="I265" s="157"/>
      <c r="J265" s="156"/>
      <c r="K265" s="155"/>
      <c r="L265" s="156"/>
      <c r="M265" s="155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153" t="str">
        <f t="shared" si="5"/>
        <v/>
      </c>
      <c r="B266" s="158" t="str">
        <f t="shared" si="7"/>
        <v/>
      </c>
      <c r="C266" s="154"/>
      <c r="D266" s="155"/>
      <c r="E266" s="156" t="str">
        <f>IFERROR(VLOOKUP(D266,'🗂️ DATA_ESCUELAS'!$A:$D,2,0),"")</f>
        <v/>
      </c>
      <c r="F266" s="156" t="str">
        <f>IFERROR(VLOOKUP(D266,'🗂️ DATA_ESCUELAS'!$A:$D,3,0),"")</f>
        <v/>
      </c>
      <c r="G266" s="156"/>
      <c r="H266" s="157"/>
      <c r="I266" s="157"/>
      <c r="J266" s="156"/>
      <c r="K266" s="155"/>
      <c r="L266" s="156"/>
      <c r="M266" s="155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153" t="str">
        <f t="shared" si="5"/>
        <v/>
      </c>
      <c r="B267" s="158" t="str">
        <f t="shared" si="7"/>
        <v/>
      </c>
      <c r="C267" s="154"/>
      <c r="D267" s="155"/>
      <c r="E267" s="156" t="str">
        <f>IFERROR(VLOOKUP(D267,'🗂️ DATA_ESCUELAS'!$A:$D,2,0),"")</f>
        <v/>
      </c>
      <c r="F267" s="156" t="str">
        <f>IFERROR(VLOOKUP(D267,'🗂️ DATA_ESCUELAS'!$A:$D,3,0),"")</f>
        <v/>
      </c>
      <c r="G267" s="156"/>
      <c r="H267" s="157"/>
      <c r="I267" s="157"/>
      <c r="J267" s="156"/>
      <c r="K267" s="155"/>
      <c r="L267" s="156"/>
      <c r="M267" s="155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153" t="str">
        <f t="shared" si="5"/>
        <v/>
      </c>
      <c r="B268" s="158" t="str">
        <f t="shared" si="7"/>
        <v/>
      </c>
      <c r="C268" s="154"/>
      <c r="D268" s="155"/>
      <c r="E268" s="156" t="str">
        <f>IFERROR(VLOOKUP(D268,'🗂️ DATA_ESCUELAS'!$A:$D,2,0),"")</f>
        <v/>
      </c>
      <c r="F268" s="156" t="str">
        <f>IFERROR(VLOOKUP(D268,'🗂️ DATA_ESCUELAS'!$A:$D,3,0),"")</f>
        <v/>
      </c>
      <c r="G268" s="156"/>
      <c r="H268" s="157"/>
      <c r="I268" s="157"/>
      <c r="J268" s="156"/>
      <c r="K268" s="155"/>
      <c r="L268" s="156"/>
      <c r="M268" s="155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153" t="str">
        <f t="shared" si="5"/>
        <v/>
      </c>
      <c r="B269" s="158" t="str">
        <f t="shared" si="7"/>
        <v/>
      </c>
      <c r="C269" s="154"/>
      <c r="D269" s="155"/>
      <c r="E269" s="156" t="str">
        <f>IFERROR(VLOOKUP(D269,'🗂️ DATA_ESCUELAS'!$A:$D,2,0),"")</f>
        <v/>
      </c>
      <c r="F269" s="156" t="str">
        <f>IFERROR(VLOOKUP(D269,'🗂️ DATA_ESCUELAS'!$A:$D,3,0),"")</f>
        <v/>
      </c>
      <c r="G269" s="156"/>
      <c r="H269" s="157"/>
      <c r="I269" s="157"/>
      <c r="J269" s="156"/>
      <c r="K269" s="155"/>
      <c r="L269" s="156"/>
      <c r="M269" s="155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153" t="str">
        <f t="shared" si="5"/>
        <v/>
      </c>
      <c r="B270" s="158" t="str">
        <f t="shared" si="7"/>
        <v/>
      </c>
      <c r="C270" s="154"/>
      <c r="D270" s="155"/>
      <c r="E270" s="156" t="str">
        <f>IFERROR(VLOOKUP(D270,'🗂️ DATA_ESCUELAS'!$A:$D,2,0),"")</f>
        <v/>
      </c>
      <c r="F270" s="156" t="str">
        <f>IFERROR(VLOOKUP(D270,'🗂️ DATA_ESCUELAS'!$A:$D,3,0),"")</f>
        <v/>
      </c>
      <c r="G270" s="156"/>
      <c r="H270" s="157"/>
      <c r="I270" s="157"/>
      <c r="J270" s="156"/>
      <c r="K270" s="155"/>
      <c r="L270" s="156"/>
      <c r="M270" s="155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153" t="str">
        <f t="shared" si="5"/>
        <v/>
      </c>
      <c r="B271" s="158" t="str">
        <f t="shared" si="7"/>
        <v/>
      </c>
      <c r="C271" s="154"/>
      <c r="D271" s="155"/>
      <c r="E271" s="156" t="str">
        <f>IFERROR(VLOOKUP(D271,'🗂️ DATA_ESCUELAS'!$A:$D,2,0),"")</f>
        <v/>
      </c>
      <c r="F271" s="156" t="str">
        <f>IFERROR(VLOOKUP(D271,'🗂️ DATA_ESCUELAS'!$A:$D,3,0),"")</f>
        <v/>
      </c>
      <c r="G271" s="156"/>
      <c r="H271" s="157"/>
      <c r="I271" s="157"/>
      <c r="J271" s="156"/>
      <c r="K271" s="155"/>
      <c r="L271" s="156"/>
      <c r="M271" s="155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153" t="str">
        <f t="shared" si="5"/>
        <v/>
      </c>
      <c r="B272" s="158" t="str">
        <f t="shared" si="7"/>
        <v/>
      </c>
      <c r="C272" s="154"/>
      <c r="D272" s="155"/>
      <c r="E272" s="156" t="str">
        <f>IFERROR(VLOOKUP(D272,'🗂️ DATA_ESCUELAS'!$A:$D,2,0),"")</f>
        <v/>
      </c>
      <c r="F272" s="156" t="str">
        <f>IFERROR(VLOOKUP(D272,'🗂️ DATA_ESCUELAS'!$A:$D,3,0),"")</f>
        <v/>
      </c>
      <c r="G272" s="156"/>
      <c r="H272" s="157"/>
      <c r="I272" s="157"/>
      <c r="J272" s="156"/>
      <c r="K272" s="155"/>
      <c r="L272" s="156"/>
      <c r="M272" s="155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153" t="str">
        <f t="shared" si="5"/>
        <v/>
      </c>
      <c r="B273" s="158" t="str">
        <f t="shared" si="7"/>
        <v/>
      </c>
      <c r="C273" s="154"/>
      <c r="D273" s="155"/>
      <c r="E273" s="156" t="str">
        <f>IFERROR(VLOOKUP(D273,'🗂️ DATA_ESCUELAS'!$A:$D,2,0),"")</f>
        <v/>
      </c>
      <c r="F273" s="156" t="str">
        <f>IFERROR(VLOOKUP(D273,'🗂️ DATA_ESCUELAS'!$A:$D,3,0),"")</f>
        <v/>
      </c>
      <c r="G273" s="156"/>
      <c r="H273" s="157"/>
      <c r="I273" s="157"/>
      <c r="J273" s="156"/>
      <c r="K273" s="155"/>
      <c r="L273" s="156"/>
      <c r="M273" s="155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153" t="str">
        <f t="shared" si="5"/>
        <v/>
      </c>
      <c r="B274" s="158" t="str">
        <f t="shared" si="7"/>
        <v/>
      </c>
      <c r="C274" s="154"/>
      <c r="D274" s="155"/>
      <c r="E274" s="156" t="str">
        <f>IFERROR(VLOOKUP(D274,'🗂️ DATA_ESCUELAS'!$A:$D,2,0),"")</f>
        <v/>
      </c>
      <c r="F274" s="156" t="str">
        <f>IFERROR(VLOOKUP(D274,'🗂️ DATA_ESCUELAS'!$A:$D,3,0),"")</f>
        <v/>
      </c>
      <c r="G274" s="156"/>
      <c r="H274" s="157"/>
      <c r="I274" s="157"/>
      <c r="J274" s="156"/>
      <c r="K274" s="155"/>
      <c r="L274" s="156"/>
      <c r="M274" s="155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153" t="str">
        <f t="shared" si="5"/>
        <v/>
      </c>
      <c r="B275" s="158" t="str">
        <f t="shared" si="7"/>
        <v/>
      </c>
      <c r="C275" s="154"/>
      <c r="D275" s="155"/>
      <c r="E275" s="156" t="str">
        <f>IFERROR(VLOOKUP(D275,'🗂️ DATA_ESCUELAS'!$A:$D,2,0),"")</f>
        <v/>
      </c>
      <c r="F275" s="156" t="str">
        <f>IFERROR(VLOOKUP(D275,'🗂️ DATA_ESCUELAS'!$A:$D,3,0),"")</f>
        <v/>
      </c>
      <c r="G275" s="156"/>
      <c r="H275" s="157"/>
      <c r="I275" s="157"/>
      <c r="J275" s="156"/>
      <c r="K275" s="155"/>
      <c r="L275" s="156"/>
      <c r="M275" s="155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153" t="str">
        <f t="shared" si="5"/>
        <v/>
      </c>
      <c r="B276" s="158" t="str">
        <f t="shared" si="7"/>
        <v/>
      </c>
      <c r="C276" s="154"/>
      <c r="D276" s="155"/>
      <c r="E276" s="156" t="str">
        <f>IFERROR(VLOOKUP(D276,'🗂️ DATA_ESCUELAS'!$A:$D,2,0),"")</f>
        <v/>
      </c>
      <c r="F276" s="156" t="str">
        <f>IFERROR(VLOOKUP(D276,'🗂️ DATA_ESCUELAS'!$A:$D,3,0),"")</f>
        <v/>
      </c>
      <c r="G276" s="156"/>
      <c r="H276" s="157"/>
      <c r="I276" s="157"/>
      <c r="J276" s="156"/>
      <c r="K276" s="155"/>
      <c r="L276" s="156"/>
      <c r="M276" s="155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153" t="str">
        <f t="shared" si="5"/>
        <v/>
      </c>
      <c r="B277" s="158" t="str">
        <f t="shared" si="7"/>
        <v/>
      </c>
      <c r="C277" s="154"/>
      <c r="D277" s="155"/>
      <c r="E277" s="156" t="str">
        <f>IFERROR(VLOOKUP(D277,'🗂️ DATA_ESCUELAS'!$A:$D,2,0),"")</f>
        <v/>
      </c>
      <c r="F277" s="156" t="str">
        <f>IFERROR(VLOOKUP(D277,'🗂️ DATA_ESCUELAS'!$A:$D,3,0),"")</f>
        <v/>
      </c>
      <c r="G277" s="156"/>
      <c r="H277" s="157"/>
      <c r="I277" s="157"/>
      <c r="J277" s="156"/>
      <c r="K277" s="155"/>
      <c r="L277" s="156"/>
      <c r="M277" s="155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153" t="str">
        <f t="shared" si="5"/>
        <v/>
      </c>
      <c r="B278" s="158" t="str">
        <f t="shared" si="7"/>
        <v/>
      </c>
      <c r="C278" s="154"/>
      <c r="D278" s="155"/>
      <c r="E278" s="156" t="str">
        <f>IFERROR(VLOOKUP(D278,'🗂️ DATA_ESCUELAS'!$A:$D,2,0),"")</f>
        <v/>
      </c>
      <c r="F278" s="156" t="str">
        <f>IFERROR(VLOOKUP(D278,'🗂️ DATA_ESCUELAS'!$A:$D,3,0),"")</f>
        <v/>
      </c>
      <c r="G278" s="156"/>
      <c r="H278" s="157"/>
      <c r="I278" s="157"/>
      <c r="J278" s="156"/>
      <c r="K278" s="155"/>
      <c r="L278" s="156"/>
      <c r="M278" s="155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153" t="str">
        <f t="shared" si="5"/>
        <v/>
      </c>
      <c r="B279" s="158" t="str">
        <f t="shared" si="7"/>
        <v/>
      </c>
      <c r="C279" s="154"/>
      <c r="D279" s="155"/>
      <c r="E279" s="156" t="str">
        <f>IFERROR(VLOOKUP(D279,'🗂️ DATA_ESCUELAS'!$A:$D,2,0),"")</f>
        <v/>
      </c>
      <c r="F279" s="156" t="str">
        <f>IFERROR(VLOOKUP(D279,'🗂️ DATA_ESCUELAS'!$A:$D,3,0),"")</f>
        <v/>
      </c>
      <c r="G279" s="156"/>
      <c r="H279" s="157"/>
      <c r="I279" s="157"/>
      <c r="J279" s="156"/>
      <c r="K279" s="155"/>
      <c r="L279" s="156"/>
      <c r="M279" s="155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153" t="str">
        <f t="shared" si="5"/>
        <v/>
      </c>
      <c r="B280" s="158" t="str">
        <f t="shared" si="7"/>
        <v/>
      </c>
      <c r="C280" s="154"/>
      <c r="D280" s="155"/>
      <c r="E280" s="156" t="str">
        <f>IFERROR(VLOOKUP(D280,'🗂️ DATA_ESCUELAS'!$A:$D,2,0),"")</f>
        <v/>
      </c>
      <c r="F280" s="156" t="str">
        <f>IFERROR(VLOOKUP(D280,'🗂️ DATA_ESCUELAS'!$A:$D,3,0),"")</f>
        <v/>
      </c>
      <c r="G280" s="156"/>
      <c r="H280" s="157"/>
      <c r="I280" s="157"/>
      <c r="J280" s="156"/>
      <c r="K280" s="155"/>
      <c r="L280" s="156"/>
      <c r="M280" s="155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153" t="str">
        <f t="shared" si="5"/>
        <v/>
      </c>
      <c r="B281" s="158" t="str">
        <f t="shared" si="7"/>
        <v/>
      </c>
      <c r="C281" s="154"/>
      <c r="D281" s="155"/>
      <c r="E281" s="156" t="str">
        <f>IFERROR(VLOOKUP(D281,'🗂️ DATA_ESCUELAS'!$A:$D,2,0),"")</f>
        <v/>
      </c>
      <c r="F281" s="156" t="str">
        <f>IFERROR(VLOOKUP(D281,'🗂️ DATA_ESCUELAS'!$A:$D,3,0),"")</f>
        <v/>
      </c>
      <c r="G281" s="156"/>
      <c r="H281" s="157"/>
      <c r="I281" s="157"/>
      <c r="J281" s="156"/>
      <c r="K281" s="155"/>
      <c r="L281" s="156"/>
      <c r="M281" s="155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153" t="str">
        <f t="shared" si="5"/>
        <v/>
      </c>
      <c r="B282" s="158" t="str">
        <f t="shared" si="7"/>
        <v/>
      </c>
      <c r="C282" s="154"/>
      <c r="D282" s="155"/>
      <c r="E282" s="156" t="str">
        <f>IFERROR(VLOOKUP(D282,'🗂️ DATA_ESCUELAS'!$A:$D,2,0),"")</f>
        <v/>
      </c>
      <c r="F282" s="156" t="str">
        <f>IFERROR(VLOOKUP(D282,'🗂️ DATA_ESCUELAS'!$A:$D,3,0),"")</f>
        <v/>
      </c>
      <c r="G282" s="156"/>
      <c r="H282" s="157"/>
      <c r="I282" s="157"/>
      <c r="J282" s="156"/>
      <c r="K282" s="155"/>
      <c r="L282" s="156"/>
      <c r="M282" s="155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153" t="str">
        <f t="shared" si="5"/>
        <v/>
      </c>
      <c r="B283" s="158" t="str">
        <f t="shared" si="7"/>
        <v/>
      </c>
      <c r="C283" s="154"/>
      <c r="D283" s="155"/>
      <c r="E283" s="156" t="str">
        <f>IFERROR(VLOOKUP(D283,'🗂️ DATA_ESCUELAS'!$A:$D,2,0),"")</f>
        <v/>
      </c>
      <c r="F283" s="156" t="str">
        <f>IFERROR(VLOOKUP(D283,'🗂️ DATA_ESCUELAS'!$A:$D,3,0),"")</f>
        <v/>
      </c>
      <c r="G283" s="156"/>
      <c r="H283" s="157"/>
      <c r="I283" s="157"/>
      <c r="J283" s="156"/>
      <c r="K283" s="155"/>
      <c r="L283" s="156"/>
      <c r="M283" s="155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153" t="str">
        <f t="shared" si="5"/>
        <v/>
      </c>
      <c r="B284" s="158" t="str">
        <f t="shared" si="7"/>
        <v/>
      </c>
      <c r="C284" s="154"/>
      <c r="D284" s="155"/>
      <c r="E284" s="156" t="str">
        <f>IFERROR(VLOOKUP(D284,'🗂️ DATA_ESCUELAS'!$A:$D,2,0),"")</f>
        <v/>
      </c>
      <c r="F284" s="156" t="str">
        <f>IFERROR(VLOOKUP(D284,'🗂️ DATA_ESCUELAS'!$A:$D,3,0),"")</f>
        <v/>
      </c>
      <c r="G284" s="156"/>
      <c r="H284" s="157"/>
      <c r="I284" s="157"/>
      <c r="J284" s="156"/>
      <c r="K284" s="155"/>
      <c r="L284" s="156"/>
      <c r="M284" s="155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153" t="str">
        <f t="shared" si="5"/>
        <v/>
      </c>
      <c r="B285" s="158" t="str">
        <f t="shared" si="7"/>
        <v/>
      </c>
      <c r="C285" s="154"/>
      <c r="D285" s="155"/>
      <c r="E285" s="156" t="str">
        <f>IFERROR(VLOOKUP(D285,'🗂️ DATA_ESCUELAS'!$A:$D,2,0),"")</f>
        <v/>
      </c>
      <c r="F285" s="156" t="str">
        <f>IFERROR(VLOOKUP(D285,'🗂️ DATA_ESCUELAS'!$A:$D,3,0),"")</f>
        <v/>
      </c>
      <c r="G285" s="156"/>
      <c r="H285" s="157"/>
      <c r="I285" s="157"/>
      <c r="J285" s="156"/>
      <c r="K285" s="155"/>
      <c r="L285" s="156"/>
      <c r="M285" s="155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153" t="str">
        <f t="shared" si="5"/>
        <v/>
      </c>
      <c r="B286" s="158" t="str">
        <f t="shared" si="7"/>
        <v/>
      </c>
      <c r="C286" s="154"/>
      <c r="D286" s="155"/>
      <c r="E286" s="156" t="str">
        <f>IFERROR(VLOOKUP(D286,'🗂️ DATA_ESCUELAS'!$A:$D,2,0),"")</f>
        <v/>
      </c>
      <c r="F286" s="156" t="str">
        <f>IFERROR(VLOOKUP(D286,'🗂️ DATA_ESCUELAS'!$A:$D,3,0),"")</f>
        <v/>
      </c>
      <c r="G286" s="156"/>
      <c r="H286" s="157"/>
      <c r="I286" s="157"/>
      <c r="J286" s="156"/>
      <c r="K286" s="155"/>
      <c r="L286" s="156"/>
      <c r="M286" s="155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153" t="str">
        <f t="shared" si="5"/>
        <v/>
      </c>
      <c r="B287" s="158" t="str">
        <f t="shared" si="7"/>
        <v/>
      </c>
      <c r="C287" s="154"/>
      <c r="D287" s="155"/>
      <c r="E287" s="156" t="str">
        <f>IFERROR(VLOOKUP(D287,'🗂️ DATA_ESCUELAS'!$A:$D,2,0),"")</f>
        <v/>
      </c>
      <c r="F287" s="156" t="str">
        <f>IFERROR(VLOOKUP(D287,'🗂️ DATA_ESCUELAS'!$A:$D,3,0),"")</f>
        <v/>
      </c>
      <c r="G287" s="156"/>
      <c r="H287" s="157"/>
      <c r="I287" s="157"/>
      <c r="J287" s="156"/>
      <c r="K287" s="155"/>
      <c r="L287" s="156"/>
      <c r="M287" s="155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153" t="str">
        <f t="shared" si="5"/>
        <v/>
      </c>
      <c r="B288" s="158" t="str">
        <f t="shared" si="7"/>
        <v/>
      </c>
      <c r="C288" s="154"/>
      <c r="D288" s="155"/>
      <c r="E288" s="156" t="str">
        <f>IFERROR(VLOOKUP(D288,'🗂️ DATA_ESCUELAS'!$A:$D,2,0),"")</f>
        <v/>
      </c>
      <c r="F288" s="156" t="str">
        <f>IFERROR(VLOOKUP(D288,'🗂️ DATA_ESCUELAS'!$A:$D,3,0),"")</f>
        <v/>
      </c>
      <c r="G288" s="156"/>
      <c r="H288" s="157"/>
      <c r="I288" s="157"/>
      <c r="J288" s="156"/>
      <c r="K288" s="155"/>
      <c r="L288" s="156"/>
      <c r="M288" s="155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153" t="str">
        <f t="shared" si="5"/>
        <v/>
      </c>
      <c r="B289" s="158" t="str">
        <f t="shared" si="7"/>
        <v/>
      </c>
      <c r="C289" s="154"/>
      <c r="D289" s="155"/>
      <c r="E289" s="156" t="str">
        <f>IFERROR(VLOOKUP(D289,'🗂️ DATA_ESCUELAS'!$A:$D,2,0),"")</f>
        <v/>
      </c>
      <c r="F289" s="156" t="str">
        <f>IFERROR(VLOOKUP(D289,'🗂️ DATA_ESCUELAS'!$A:$D,3,0),"")</f>
        <v/>
      </c>
      <c r="G289" s="156"/>
      <c r="H289" s="157"/>
      <c r="I289" s="157"/>
      <c r="J289" s="156"/>
      <c r="K289" s="155"/>
      <c r="L289" s="156"/>
      <c r="M289" s="155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153" t="str">
        <f t="shared" si="5"/>
        <v/>
      </c>
      <c r="B290" s="158" t="str">
        <f t="shared" si="7"/>
        <v/>
      </c>
      <c r="C290" s="154"/>
      <c r="D290" s="155"/>
      <c r="E290" s="156" t="str">
        <f>IFERROR(VLOOKUP(D290,'🗂️ DATA_ESCUELAS'!$A:$D,2,0),"")</f>
        <v/>
      </c>
      <c r="F290" s="156" t="str">
        <f>IFERROR(VLOOKUP(D290,'🗂️ DATA_ESCUELAS'!$A:$D,3,0),"")</f>
        <v/>
      </c>
      <c r="G290" s="156"/>
      <c r="H290" s="157"/>
      <c r="I290" s="157"/>
      <c r="J290" s="156"/>
      <c r="K290" s="155"/>
      <c r="L290" s="156"/>
      <c r="M290" s="155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153" t="str">
        <f t="shared" si="5"/>
        <v/>
      </c>
      <c r="B291" s="158" t="str">
        <f t="shared" si="7"/>
        <v/>
      </c>
      <c r="C291" s="154"/>
      <c r="D291" s="155"/>
      <c r="E291" s="156" t="str">
        <f>IFERROR(VLOOKUP(D291,'🗂️ DATA_ESCUELAS'!$A:$D,2,0),"")</f>
        <v/>
      </c>
      <c r="F291" s="156" t="str">
        <f>IFERROR(VLOOKUP(D291,'🗂️ DATA_ESCUELAS'!$A:$D,3,0),"")</f>
        <v/>
      </c>
      <c r="G291" s="156"/>
      <c r="H291" s="157"/>
      <c r="I291" s="157"/>
      <c r="J291" s="156"/>
      <c r="K291" s="155"/>
      <c r="L291" s="156"/>
      <c r="M291" s="155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153" t="str">
        <f t="shared" si="5"/>
        <v/>
      </c>
      <c r="B292" s="158" t="str">
        <f t="shared" si="7"/>
        <v/>
      </c>
      <c r="C292" s="154"/>
      <c r="D292" s="155"/>
      <c r="E292" s="156" t="str">
        <f>IFERROR(VLOOKUP(D292,'🗂️ DATA_ESCUELAS'!$A:$D,2,0),"")</f>
        <v/>
      </c>
      <c r="F292" s="156" t="str">
        <f>IFERROR(VLOOKUP(D292,'🗂️ DATA_ESCUELAS'!$A:$D,3,0),"")</f>
        <v/>
      </c>
      <c r="G292" s="156"/>
      <c r="H292" s="157"/>
      <c r="I292" s="157"/>
      <c r="J292" s="156"/>
      <c r="K292" s="155"/>
      <c r="L292" s="156"/>
      <c r="M292" s="155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153" t="str">
        <f t="shared" si="5"/>
        <v/>
      </c>
      <c r="B293" s="158" t="str">
        <f t="shared" si="7"/>
        <v/>
      </c>
      <c r="C293" s="154"/>
      <c r="D293" s="155"/>
      <c r="E293" s="156" t="str">
        <f>IFERROR(VLOOKUP(D293,'🗂️ DATA_ESCUELAS'!$A:$D,2,0),"")</f>
        <v/>
      </c>
      <c r="F293" s="156" t="str">
        <f>IFERROR(VLOOKUP(D293,'🗂️ DATA_ESCUELAS'!$A:$D,3,0),"")</f>
        <v/>
      </c>
      <c r="G293" s="156"/>
      <c r="H293" s="157"/>
      <c r="I293" s="157"/>
      <c r="J293" s="156"/>
      <c r="K293" s="155"/>
      <c r="L293" s="156"/>
      <c r="M293" s="155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153" t="str">
        <f t="shared" si="5"/>
        <v/>
      </c>
      <c r="B294" s="158" t="str">
        <f t="shared" si="7"/>
        <v/>
      </c>
      <c r="C294" s="154"/>
      <c r="D294" s="155"/>
      <c r="E294" s="156" t="str">
        <f>IFERROR(VLOOKUP(D294,'🗂️ DATA_ESCUELAS'!$A:$D,2,0),"")</f>
        <v/>
      </c>
      <c r="F294" s="156" t="str">
        <f>IFERROR(VLOOKUP(D294,'🗂️ DATA_ESCUELAS'!$A:$D,3,0),"")</f>
        <v/>
      </c>
      <c r="G294" s="156"/>
      <c r="H294" s="157"/>
      <c r="I294" s="157"/>
      <c r="J294" s="156"/>
      <c r="K294" s="155"/>
      <c r="L294" s="156"/>
      <c r="M294" s="155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153" t="str">
        <f t="shared" si="5"/>
        <v/>
      </c>
      <c r="B295" s="158" t="str">
        <f t="shared" si="7"/>
        <v/>
      </c>
      <c r="C295" s="154"/>
      <c r="D295" s="155"/>
      <c r="E295" s="156" t="str">
        <f>IFERROR(VLOOKUP(D295,'🗂️ DATA_ESCUELAS'!$A:$D,2,0),"")</f>
        <v/>
      </c>
      <c r="F295" s="156" t="str">
        <f>IFERROR(VLOOKUP(D295,'🗂️ DATA_ESCUELAS'!$A:$D,3,0),"")</f>
        <v/>
      </c>
      <c r="G295" s="156"/>
      <c r="H295" s="157"/>
      <c r="I295" s="157"/>
      <c r="J295" s="156"/>
      <c r="K295" s="155"/>
      <c r="L295" s="156"/>
      <c r="M295" s="155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153" t="str">
        <f t="shared" si="5"/>
        <v/>
      </c>
      <c r="B296" s="158" t="str">
        <f t="shared" si="7"/>
        <v/>
      </c>
      <c r="C296" s="154"/>
      <c r="D296" s="155"/>
      <c r="E296" s="156" t="str">
        <f>IFERROR(VLOOKUP(D296,'🗂️ DATA_ESCUELAS'!$A:$D,2,0),"")</f>
        <v/>
      </c>
      <c r="F296" s="156" t="str">
        <f>IFERROR(VLOOKUP(D296,'🗂️ DATA_ESCUELAS'!$A:$D,3,0),"")</f>
        <v/>
      </c>
      <c r="G296" s="156"/>
      <c r="H296" s="157"/>
      <c r="I296" s="157"/>
      <c r="J296" s="156"/>
      <c r="K296" s="155"/>
      <c r="L296" s="156"/>
      <c r="M296" s="155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153" t="str">
        <f t="shared" si="5"/>
        <v/>
      </c>
      <c r="B297" s="158" t="str">
        <f t="shared" si="7"/>
        <v/>
      </c>
      <c r="C297" s="154"/>
      <c r="D297" s="155"/>
      <c r="E297" s="156" t="str">
        <f>IFERROR(VLOOKUP(D297,'🗂️ DATA_ESCUELAS'!$A:$D,2,0),"")</f>
        <v/>
      </c>
      <c r="F297" s="156" t="str">
        <f>IFERROR(VLOOKUP(D297,'🗂️ DATA_ESCUELAS'!$A:$D,3,0),"")</f>
        <v/>
      </c>
      <c r="G297" s="156"/>
      <c r="H297" s="157"/>
      <c r="I297" s="157"/>
      <c r="J297" s="156"/>
      <c r="K297" s="155"/>
      <c r="L297" s="156"/>
      <c r="M297" s="155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153" t="str">
        <f t="shared" si="5"/>
        <v/>
      </c>
      <c r="B298" s="158" t="str">
        <f t="shared" si="7"/>
        <v/>
      </c>
      <c r="C298" s="154"/>
      <c r="D298" s="155"/>
      <c r="E298" s="156" t="str">
        <f>IFERROR(VLOOKUP(D298,'🗂️ DATA_ESCUELAS'!$A:$D,2,0),"")</f>
        <v/>
      </c>
      <c r="F298" s="156" t="str">
        <f>IFERROR(VLOOKUP(D298,'🗂️ DATA_ESCUELAS'!$A:$D,3,0),"")</f>
        <v/>
      </c>
      <c r="G298" s="156"/>
      <c r="H298" s="157"/>
      <c r="I298" s="157"/>
      <c r="J298" s="156"/>
      <c r="K298" s="155"/>
      <c r="L298" s="156"/>
      <c r="M298" s="155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153" t="str">
        <f t="shared" si="5"/>
        <v/>
      </c>
      <c r="B299" s="158" t="str">
        <f t="shared" si="7"/>
        <v/>
      </c>
      <c r="C299" s="154"/>
      <c r="D299" s="155"/>
      <c r="E299" s="156" t="str">
        <f>IFERROR(VLOOKUP(D299,'🗂️ DATA_ESCUELAS'!$A:$D,2,0),"")</f>
        <v/>
      </c>
      <c r="F299" s="156" t="str">
        <f>IFERROR(VLOOKUP(D299,'🗂️ DATA_ESCUELAS'!$A:$D,3,0),"")</f>
        <v/>
      </c>
      <c r="G299" s="156"/>
      <c r="H299" s="157"/>
      <c r="I299" s="157"/>
      <c r="J299" s="156"/>
      <c r="K299" s="155"/>
      <c r="L299" s="156"/>
      <c r="M299" s="155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153" t="str">
        <f t="shared" si="5"/>
        <v/>
      </c>
      <c r="B300" s="158" t="str">
        <f t="shared" si="7"/>
        <v/>
      </c>
      <c r="C300" s="154"/>
      <c r="D300" s="155"/>
      <c r="E300" s="156" t="str">
        <f>IFERROR(VLOOKUP(D300,'🗂️ DATA_ESCUELAS'!$A:$D,2,0),"")</f>
        <v/>
      </c>
      <c r="F300" s="156" t="str">
        <f>IFERROR(VLOOKUP(D300,'🗂️ DATA_ESCUELAS'!$A:$D,3,0),"")</f>
        <v/>
      </c>
      <c r="G300" s="156"/>
      <c r="H300" s="157"/>
      <c r="I300" s="157"/>
      <c r="J300" s="156"/>
      <c r="K300" s="155"/>
      <c r="L300" s="156"/>
      <c r="M300" s="155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153" t="str">
        <f t="shared" si="5"/>
        <v/>
      </c>
      <c r="B301" s="158" t="str">
        <f t="shared" si="7"/>
        <v/>
      </c>
      <c r="C301" s="154"/>
      <c r="D301" s="155"/>
      <c r="E301" s="156" t="str">
        <f>IFERROR(VLOOKUP(D301,'🗂️ DATA_ESCUELAS'!$A:$D,2,0),"")</f>
        <v/>
      </c>
      <c r="F301" s="156" t="str">
        <f>IFERROR(VLOOKUP(D301,'🗂️ DATA_ESCUELAS'!$A:$D,3,0),"")</f>
        <v/>
      </c>
      <c r="G301" s="156"/>
      <c r="H301" s="157"/>
      <c r="I301" s="157"/>
      <c r="J301" s="156"/>
      <c r="K301" s="155"/>
      <c r="L301" s="156"/>
      <c r="M301" s="155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153" t="str">
        <f t="shared" si="5"/>
        <v/>
      </c>
      <c r="B302" s="158" t="str">
        <f t="shared" si="7"/>
        <v/>
      </c>
      <c r="C302" s="154"/>
      <c r="D302" s="155"/>
      <c r="E302" s="156" t="str">
        <f>IFERROR(VLOOKUP(D302,'🗂️ DATA_ESCUELAS'!$A:$D,2,0),"")</f>
        <v/>
      </c>
      <c r="F302" s="156" t="str">
        <f>IFERROR(VLOOKUP(D302,'🗂️ DATA_ESCUELAS'!$A:$D,3,0),"")</f>
        <v/>
      </c>
      <c r="G302" s="156"/>
      <c r="H302" s="157"/>
      <c r="I302" s="157"/>
      <c r="J302" s="156"/>
      <c r="K302" s="155"/>
      <c r="L302" s="156"/>
      <c r="M302" s="155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153" t="str">
        <f t="shared" si="5"/>
        <v/>
      </c>
      <c r="B303" s="158" t="str">
        <f t="shared" si="7"/>
        <v/>
      </c>
      <c r="C303" s="154"/>
      <c r="D303" s="155"/>
      <c r="E303" s="156" t="str">
        <f>IFERROR(VLOOKUP(D303,'🗂️ DATA_ESCUELAS'!$A:$D,2,0),"")</f>
        <v/>
      </c>
      <c r="F303" s="156" t="str">
        <f>IFERROR(VLOOKUP(D303,'🗂️ DATA_ESCUELAS'!$A:$D,3,0),"")</f>
        <v/>
      </c>
      <c r="G303" s="156"/>
      <c r="H303" s="157"/>
      <c r="I303" s="157"/>
      <c r="J303" s="156"/>
      <c r="K303" s="155"/>
      <c r="L303" s="156"/>
      <c r="M303" s="155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153" t="str">
        <f t="shared" si="5"/>
        <v/>
      </c>
      <c r="B304" s="158" t="str">
        <f t="shared" si="7"/>
        <v/>
      </c>
      <c r="C304" s="154"/>
      <c r="D304" s="155"/>
      <c r="E304" s="156" t="str">
        <f>IFERROR(VLOOKUP(D304,'🗂️ DATA_ESCUELAS'!$A:$D,2,0),"")</f>
        <v/>
      </c>
      <c r="F304" s="156" t="str">
        <f>IFERROR(VLOOKUP(D304,'🗂️ DATA_ESCUELAS'!$A:$D,3,0),"")</f>
        <v/>
      </c>
      <c r="G304" s="156"/>
      <c r="H304" s="157"/>
      <c r="I304" s="157"/>
      <c r="J304" s="156"/>
      <c r="K304" s="155"/>
      <c r="L304" s="156"/>
      <c r="M304" s="155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153" t="str">
        <f t="shared" si="5"/>
        <v/>
      </c>
      <c r="B305" s="158" t="str">
        <f t="shared" si="7"/>
        <v/>
      </c>
      <c r="C305" s="154"/>
      <c r="D305" s="155"/>
      <c r="E305" s="156" t="str">
        <f>IFERROR(VLOOKUP(D305,'🗂️ DATA_ESCUELAS'!$A:$D,2,0),"")</f>
        <v/>
      </c>
      <c r="F305" s="156" t="str">
        <f>IFERROR(VLOOKUP(D305,'🗂️ DATA_ESCUELAS'!$A:$D,3,0),"")</f>
        <v/>
      </c>
      <c r="G305" s="156"/>
      <c r="H305" s="157"/>
      <c r="I305" s="157"/>
      <c r="J305" s="156"/>
      <c r="K305" s="155"/>
      <c r="L305" s="156"/>
      <c r="M305" s="155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153" t="str">
        <f t="shared" si="5"/>
        <v/>
      </c>
      <c r="B306" s="158" t="str">
        <f t="shared" si="7"/>
        <v/>
      </c>
      <c r="C306" s="154"/>
      <c r="D306" s="155"/>
      <c r="E306" s="156" t="str">
        <f>IFERROR(VLOOKUP(D306,'🗂️ DATA_ESCUELAS'!$A:$D,2,0),"")</f>
        <v/>
      </c>
      <c r="F306" s="156" t="str">
        <f>IFERROR(VLOOKUP(D306,'🗂️ DATA_ESCUELAS'!$A:$D,3,0),"")</f>
        <v/>
      </c>
      <c r="G306" s="156"/>
      <c r="H306" s="157"/>
      <c r="I306" s="157"/>
      <c r="J306" s="156"/>
      <c r="K306" s="155"/>
      <c r="L306" s="156"/>
      <c r="M306" s="155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153" t="str">
        <f t="shared" si="5"/>
        <v/>
      </c>
      <c r="B307" s="158" t="str">
        <f t="shared" si="7"/>
        <v/>
      </c>
      <c r="C307" s="154"/>
      <c r="D307" s="155"/>
      <c r="E307" s="156" t="str">
        <f>IFERROR(VLOOKUP(D307,'🗂️ DATA_ESCUELAS'!$A:$D,2,0),"")</f>
        <v/>
      </c>
      <c r="F307" s="156" t="str">
        <f>IFERROR(VLOOKUP(D307,'🗂️ DATA_ESCUELAS'!$A:$D,3,0),"")</f>
        <v/>
      </c>
      <c r="G307" s="156"/>
      <c r="H307" s="157"/>
      <c r="I307" s="157"/>
      <c r="J307" s="156"/>
      <c r="K307" s="155"/>
      <c r="L307" s="156"/>
      <c r="M307" s="155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153" t="str">
        <f t="shared" si="5"/>
        <v/>
      </c>
      <c r="B308" s="158" t="str">
        <f t="shared" si="7"/>
        <v/>
      </c>
      <c r="C308" s="154"/>
      <c r="D308" s="155"/>
      <c r="E308" s="156" t="str">
        <f>IFERROR(VLOOKUP(D308,'🗂️ DATA_ESCUELAS'!$A:$D,2,0),"")</f>
        <v/>
      </c>
      <c r="F308" s="156" t="str">
        <f>IFERROR(VLOOKUP(D308,'🗂️ DATA_ESCUELAS'!$A:$D,3,0),"")</f>
        <v/>
      </c>
      <c r="G308" s="156"/>
      <c r="H308" s="157"/>
      <c r="I308" s="157"/>
      <c r="J308" s="156"/>
      <c r="K308" s="155"/>
      <c r="L308" s="156"/>
      <c r="M308" s="155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153" t="str">
        <f t="shared" si="5"/>
        <v/>
      </c>
      <c r="B309" s="158" t="str">
        <f t="shared" si="7"/>
        <v/>
      </c>
      <c r="C309" s="154"/>
      <c r="D309" s="155"/>
      <c r="E309" s="156" t="str">
        <f>IFERROR(VLOOKUP(D309,'🗂️ DATA_ESCUELAS'!$A:$D,2,0),"")</f>
        <v/>
      </c>
      <c r="F309" s="156" t="str">
        <f>IFERROR(VLOOKUP(D309,'🗂️ DATA_ESCUELAS'!$A:$D,3,0),"")</f>
        <v/>
      </c>
      <c r="G309" s="156"/>
      <c r="H309" s="157"/>
      <c r="I309" s="157"/>
      <c r="J309" s="156"/>
      <c r="K309" s="155"/>
      <c r="L309" s="156"/>
      <c r="M309" s="155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153" t="str">
        <f t="shared" si="5"/>
        <v/>
      </c>
      <c r="B310" s="158" t="str">
        <f t="shared" si="7"/>
        <v/>
      </c>
      <c r="C310" s="154"/>
      <c r="D310" s="155"/>
      <c r="E310" s="156" t="str">
        <f>IFERROR(VLOOKUP(D310,'🗂️ DATA_ESCUELAS'!$A:$D,2,0),"")</f>
        <v/>
      </c>
      <c r="F310" s="156" t="str">
        <f>IFERROR(VLOOKUP(D310,'🗂️ DATA_ESCUELAS'!$A:$D,3,0),"")</f>
        <v/>
      </c>
      <c r="G310" s="156"/>
      <c r="H310" s="157"/>
      <c r="I310" s="157"/>
      <c r="J310" s="156"/>
      <c r="K310" s="155"/>
      <c r="L310" s="156"/>
      <c r="M310" s="155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153" t="str">
        <f t="shared" si="5"/>
        <v/>
      </c>
      <c r="B311" s="158" t="str">
        <f t="shared" si="7"/>
        <v/>
      </c>
      <c r="C311" s="154"/>
      <c r="D311" s="155"/>
      <c r="E311" s="156" t="str">
        <f>IFERROR(VLOOKUP(D311,'🗂️ DATA_ESCUELAS'!$A:$D,2,0),"")</f>
        <v/>
      </c>
      <c r="F311" s="156" t="str">
        <f>IFERROR(VLOOKUP(D311,'🗂️ DATA_ESCUELAS'!$A:$D,3,0),"")</f>
        <v/>
      </c>
      <c r="G311" s="156"/>
      <c r="H311" s="157"/>
      <c r="I311" s="157"/>
      <c r="J311" s="156"/>
      <c r="K311" s="155"/>
      <c r="L311" s="156"/>
      <c r="M311" s="155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153" t="str">
        <f t="shared" si="5"/>
        <v/>
      </c>
      <c r="B312" s="158" t="str">
        <f t="shared" si="7"/>
        <v/>
      </c>
      <c r="C312" s="154"/>
      <c r="D312" s="155"/>
      <c r="E312" s="156" t="str">
        <f>IFERROR(VLOOKUP(D312,'🗂️ DATA_ESCUELAS'!$A:$D,2,0),"")</f>
        <v/>
      </c>
      <c r="F312" s="156" t="str">
        <f>IFERROR(VLOOKUP(D312,'🗂️ DATA_ESCUELAS'!$A:$D,3,0),"")</f>
        <v/>
      </c>
      <c r="G312" s="156"/>
      <c r="H312" s="157"/>
      <c r="I312" s="157"/>
      <c r="J312" s="156"/>
      <c r="K312" s="155"/>
      <c r="L312" s="156"/>
      <c r="M312" s="155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153" t="str">
        <f t="shared" si="5"/>
        <v/>
      </c>
      <c r="B313" s="158" t="str">
        <f t="shared" si="7"/>
        <v/>
      </c>
      <c r="C313" s="154"/>
      <c r="D313" s="155"/>
      <c r="E313" s="156" t="str">
        <f>IFERROR(VLOOKUP(D313,'🗂️ DATA_ESCUELAS'!$A:$D,2,0),"")</f>
        <v/>
      </c>
      <c r="F313" s="156" t="str">
        <f>IFERROR(VLOOKUP(D313,'🗂️ DATA_ESCUELAS'!$A:$D,3,0),"")</f>
        <v/>
      </c>
      <c r="G313" s="156"/>
      <c r="H313" s="157"/>
      <c r="I313" s="157"/>
      <c r="J313" s="156"/>
      <c r="K313" s="155"/>
      <c r="L313" s="156"/>
      <c r="M313" s="155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153" t="str">
        <f t="shared" si="5"/>
        <v/>
      </c>
      <c r="B314" s="158" t="str">
        <f t="shared" si="7"/>
        <v/>
      </c>
      <c r="C314" s="154"/>
      <c r="D314" s="155"/>
      <c r="E314" s="156" t="str">
        <f>IFERROR(VLOOKUP(D314,'🗂️ DATA_ESCUELAS'!$A:$D,2,0),"")</f>
        <v/>
      </c>
      <c r="F314" s="156" t="str">
        <f>IFERROR(VLOOKUP(D314,'🗂️ DATA_ESCUELAS'!$A:$D,3,0),"")</f>
        <v/>
      </c>
      <c r="G314" s="156"/>
      <c r="H314" s="157"/>
      <c r="I314" s="157"/>
      <c r="J314" s="156"/>
      <c r="K314" s="155"/>
      <c r="L314" s="156"/>
      <c r="M314" s="155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153" t="str">
        <f t="shared" si="5"/>
        <v/>
      </c>
      <c r="B315" s="158" t="str">
        <f t="shared" si="7"/>
        <v/>
      </c>
      <c r="C315" s="154"/>
      <c r="D315" s="155"/>
      <c r="E315" s="156" t="str">
        <f>IFERROR(VLOOKUP(D315,'🗂️ DATA_ESCUELAS'!$A:$D,2,0),"")</f>
        <v/>
      </c>
      <c r="F315" s="156" t="str">
        <f>IFERROR(VLOOKUP(D315,'🗂️ DATA_ESCUELAS'!$A:$D,3,0),"")</f>
        <v/>
      </c>
      <c r="G315" s="156"/>
      <c r="H315" s="157"/>
      <c r="I315" s="157"/>
      <c r="J315" s="156"/>
      <c r="K315" s="155"/>
      <c r="L315" s="156"/>
      <c r="M315" s="155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153" t="str">
        <f t="shared" si="5"/>
        <v/>
      </c>
      <c r="B316" s="158" t="str">
        <f t="shared" si="7"/>
        <v/>
      </c>
      <c r="C316" s="154"/>
      <c r="D316" s="155"/>
      <c r="E316" s="156" t="str">
        <f>IFERROR(VLOOKUP(D316,'🗂️ DATA_ESCUELAS'!$A:$D,2,0),"")</f>
        <v/>
      </c>
      <c r="F316" s="156" t="str">
        <f>IFERROR(VLOOKUP(D316,'🗂️ DATA_ESCUELAS'!$A:$D,3,0),"")</f>
        <v/>
      </c>
      <c r="G316" s="156"/>
      <c r="H316" s="157"/>
      <c r="I316" s="157"/>
      <c r="J316" s="156"/>
      <c r="K316" s="155"/>
      <c r="L316" s="156"/>
      <c r="M316" s="155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153" t="str">
        <f t="shared" si="5"/>
        <v/>
      </c>
      <c r="B317" s="158" t="str">
        <f t="shared" si="7"/>
        <v/>
      </c>
      <c r="C317" s="154"/>
      <c r="D317" s="155"/>
      <c r="E317" s="156" t="str">
        <f>IFERROR(VLOOKUP(D317,'🗂️ DATA_ESCUELAS'!$A:$D,2,0),"")</f>
        <v/>
      </c>
      <c r="F317" s="156" t="str">
        <f>IFERROR(VLOOKUP(D317,'🗂️ DATA_ESCUELAS'!$A:$D,3,0),"")</f>
        <v/>
      </c>
      <c r="G317" s="156"/>
      <c r="H317" s="157"/>
      <c r="I317" s="157"/>
      <c r="J317" s="156"/>
      <c r="K317" s="155"/>
      <c r="L317" s="156"/>
      <c r="M317" s="155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153" t="str">
        <f t="shared" si="5"/>
        <v/>
      </c>
      <c r="B318" s="158" t="str">
        <f t="shared" si="7"/>
        <v/>
      </c>
      <c r="C318" s="154"/>
      <c r="D318" s="155"/>
      <c r="E318" s="156" t="str">
        <f>IFERROR(VLOOKUP(D318,'🗂️ DATA_ESCUELAS'!$A:$D,2,0),"")</f>
        <v/>
      </c>
      <c r="F318" s="156" t="str">
        <f>IFERROR(VLOOKUP(D318,'🗂️ DATA_ESCUELAS'!$A:$D,3,0),"")</f>
        <v/>
      </c>
      <c r="G318" s="156"/>
      <c r="H318" s="157"/>
      <c r="I318" s="157"/>
      <c r="J318" s="156"/>
      <c r="K318" s="155"/>
      <c r="L318" s="156"/>
      <c r="M318" s="155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153" t="str">
        <f t="shared" si="5"/>
        <v/>
      </c>
      <c r="B319" s="158" t="str">
        <f t="shared" si="7"/>
        <v/>
      </c>
      <c r="C319" s="154"/>
      <c r="D319" s="155"/>
      <c r="E319" s="156" t="str">
        <f>IFERROR(VLOOKUP(D319,'🗂️ DATA_ESCUELAS'!$A:$D,2,0),"")</f>
        <v/>
      </c>
      <c r="F319" s="156" t="str">
        <f>IFERROR(VLOOKUP(D319,'🗂️ DATA_ESCUELAS'!$A:$D,3,0),"")</f>
        <v/>
      </c>
      <c r="G319" s="156"/>
      <c r="H319" s="157"/>
      <c r="I319" s="157"/>
      <c r="J319" s="156"/>
      <c r="K319" s="155"/>
      <c r="L319" s="156"/>
      <c r="M319" s="155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153" t="str">
        <f t="shared" si="5"/>
        <v/>
      </c>
      <c r="B320" s="158" t="str">
        <f t="shared" si="7"/>
        <v/>
      </c>
      <c r="C320" s="154"/>
      <c r="D320" s="155"/>
      <c r="E320" s="156" t="str">
        <f>IFERROR(VLOOKUP(D320,'🗂️ DATA_ESCUELAS'!$A:$D,2,0),"")</f>
        <v/>
      </c>
      <c r="F320" s="156" t="str">
        <f>IFERROR(VLOOKUP(D320,'🗂️ DATA_ESCUELAS'!$A:$D,3,0),"")</f>
        <v/>
      </c>
      <c r="G320" s="156"/>
      <c r="H320" s="157"/>
      <c r="I320" s="157"/>
      <c r="J320" s="156"/>
      <c r="K320" s="155"/>
      <c r="L320" s="156"/>
      <c r="M320" s="155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153" t="str">
        <f t="shared" si="5"/>
        <v/>
      </c>
      <c r="B321" s="158" t="str">
        <f t="shared" si="7"/>
        <v/>
      </c>
      <c r="C321" s="154"/>
      <c r="D321" s="155"/>
      <c r="E321" s="156" t="str">
        <f>IFERROR(VLOOKUP(D321,'🗂️ DATA_ESCUELAS'!$A:$D,2,0),"")</f>
        <v/>
      </c>
      <c r="F321" s="156" t="str">
        <f>IFERROR(VLOOKUP(D321,'🗂️ DATA_ESCUELAS'!$A:$D,3,0),"")</f>
        <v/>
      </c>
      <c r="G321" s="156"/>
      <c r="H321" s="157"/>
      <c r="I321" s="157"/>
      <c r="J321" s="156"/>
      <c r="K321" s="155"/>
      <c r="L321" s="156"/>
      <c r="M321" s="155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153" t="str">
        <f t="shared" si="5"/>
        <v/>
      </c>
      <c r="B322" s="158" t="str">
        <f t="shared" si="7"/>
        <v/>
      </c>
      <c r="C322" s="154"/>
      <c r="D322" s="155"/>
      <c r="E322" s="156" t="str">
        <f>IFERROR(VLOOKUP(D322,'🗂️ DATA_ESCUELAS'!$A:$D,2,0),"")</f>
        <v/>
      </c>
      <c r="F322" s="156" t="str">
        <f>IFERROR(VLOOKUP(D322,'🗂️ DATA_ESCUELAS'!$A:$D,3,0),"")</f>
        <v/>
      </c>
      <c r="G322" s="156"/>
      <c r="H322" s="157"/>
      <c r="I322" s="157"/>
      <c r="J322" s="156"/>
      <c r="K322" s="155"/>
      <c r="L322" s="156"/>
      <c r="M322" s="155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153" t="str">
        <f t="shared" si="5"/>
        <v/>
      </c>
      <c r="B323" s="158" t="str">
        <f t="shared" si="7"/>
        <v/>
      </c>
      <c r="C323" s="154"/>
      <c r="D323" s="155"/>
      <c r="E323" s="156" t="str">
        <f>IFERROR(VLOOKUP(D323,'🗂️ DATA_ESCUELAS'!$A:$D,2,0),"")</f>
        <v/>
      </c>
      <c r="F323" s="156" t="str">
        <f>IFERROR(VLOOKUP(D323,'🗂️ DATA_ESCUELAS'!$A:$D,3,0),"")</f>
        <v/>
      </c>
      <c r="G323" s="156"/>
      <c r="H323" s="157"/>
      <c r="I323" s="157"/>
      <c r="J323" s="156"/>
      <c r="K323" s="155"/>
      <c r="L323" s="156"/>
      <c r="M323" s="155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153" t="str">
        <f t="shared" si="5"/>
        <v/>
      </c>
      <c r="B324" s="158" t="str">
        <f t="shared" si="7"/>
        <v/>
      </c>
      <c r="C324" s="154"/>
      <c r="D324" s="155"/>
      <c r="E324" s="156" t="str">
        <f>IFERROR(VLOOKUP(D324,'🗂️ DATA_ESCUELAS'!$A:$D,2,0),"")</f>
        <v/>
      </c>
      <c r="F324" s="156" t="str">
        <f>IFERROR(VLOOKUP(D324,'🗂️ DATA_ESCUELAS'!$A:$D,3,0),"")</f>
        <v/>
      </c>
      <c r="G324" s="156"/>
      <c r="H324" s="157"/>
      <c r="I324" s="157"/>
      <c r="J324" s="156"/>
      <c r="K324" s="155"/>
      <c r="L324" s="156"/>
      <c r="M324" s="155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153" t="str">
        <f t="shared" si="5"/>
        <v/>
      </c>
      <c r="B325" s="158" t="str">
        <f t="shared" si="7"/>
        <v/>
      </c>
      <c r="C325" s="154"/>
      <c r="D325" s="155"/>
      <c r="E325" s="156" t="str">
        <f>IFERROR(VLOOKUP(D325,'🗂️ DATA_ESCUELAS'!$A:$D,2,0),"")</f>
        <v/>
      </c>
      <c r="F325" s="156" t="str">
        <f>IFERROR(VLOOKUP(D325,'🗂️ DATA_ESCUELAS'!$A:$D,3,0),"")</f>
        <v/>
      </c>
      <c r="G325" s="156"/>
      <c r="H325" s="157"/>
      <c r="I325" s="157"/>
      <c r="J325" s="156"/>
      <c r="K325" s="155"/>
      <c r="L325" s="156"/>
      <c r="M325" s="155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153" t="str">
        <f t="shared" si="5"/>
        <v/>
      </c>
      <c r="B326" s="158" t="str">
        <f t="shared" si="7"/>
        <v/>
      </c>
      <c r="C326" s="154"/>
      <c r="D326" s="155"/>
      <c r="E326" s="156" t="str">
        <f>IFERROR(VLOOKUP(D326,'🗂️ DATA_ESCUELAS'!$A:$D,2,0),"")</f>
        <v/>
      </c>
      <c r="F326" s="156" t="str">
        <f>IFERROR(VLOOKUP(D326,'🗂️ DATA_ESCUELAS'!$A:$D,3,0),"")</f>
        <v/>
      </c>
      <c r="G326" s="156"/>
      <c r="H326" s="157"/>
      <c r="I326" s="157"/>
      <c r="J326" s="156"/>
      <c r="K326" s="155"/>
      <c r="L326" s="156"/>
      <c r="M326" s="155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153" t="str">
        <f t="shared" si="5"/>
        <v/>
      </c>
      <c r="B327" s="158" t="str">
        <f t="shared" si="7"/>
        <v/>
      </c>
      <c r="C327" s="154"/>
      <c r="D327" s="155"/>
      <c r="E327" s="156" t="str">
        <f>IFERROR(VLOOKUP(D327,'🗂️ DATA_ESCUELAS'!$A:$D,2,0),"")</f>
        <v/>
      </c>
      <c r="F327" s="156" t="str">
        <f>IFERROR(VLOOKUP(D327,'🗂️ DATA_ESCUELAS'!$A:$D,3,0),"")</f>
        <v/>
      </c>
      <c r="G327" s="156"/>
      <c r="H327" s="157"/>
      <c r="I327" s="157"/>
      <c r="J327" s="156"/>
      <c r="K327" s="155"/>
      <c r="L327" s="156"/>
      <c r="M327" s="155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153" t="str">
        <f t="shared" si="5"/>
        <v/>
      </c>
      <c r="B328" s="158" t="str">
        <f t="shared" si="7"/>
        <v/>
      </c>
      <c r="C328" s="154"/>
      <c r="D328" s="155"/>
      <c r="E328" s="156" t="str">
        <f>IFERROR(VLOOKUP(D328,'🗂️ DATA_ESCUELAS'!$A:$D,2,0),"")</f>
        <v/>
      </c>
      <c r="F328" s="156" t="str">
        <f>IFERROR(VLOOKUP(D328,'🗂️ DATA_ESCUELAS'!$A:$D,3,0),"")</f>
        <v/>
      </c>
      <c r="G328" s="156"/>
      <c r="H328" s="157"/>
      <c r="I328" s="157"/>
      <c r="J328" s="156"/>
      <c r="K328" s="155"/>
      <c r="L328" s="156"/>
      <c r="M328" s="155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153" t="str">
        <f t="shared" si="5"/>
        <v/>
      </c>
      <c r="B329" s="158" t="str">
        <f t="shared" si="7"/>
        <v/>
      </c>
      <c r="C329" s="154"/>
      <c r="D329" s="155"/>
      <c r="E329" s="156" t="str">
        <f>IFERROR(VLOOKUP(D329,'🗂️ DATA_ESCUELAS'!$A:$D,2,0),"")</f>
        <v/>
      </c>
      <c r="F329" s="156" t="str">
        <f>IFERROR(VLOOKUP(D329,'🗂️ DATA_ESCUELAS'!$A:$D,3,0),"")</f>
        <v/>
      </c>
      <c r="G329" s="156"/>
      <c r="H329" s="157"/>
      <c r="I329" s="157"/>
      <c r="J329" s="156"/>
      <c r="K329" s="155"/>
      <c r="L329" s="156"/>
      <c r="M329" s="155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153" t="str">
        <f t="shared" si="5"/>
        <v/>
      </c>
      <c r="B330" s="158" t="str">
        <f t="shared" si="7"/>
        <v/>
      </c>
      <c r="C330" s="154"/>
      <c r="D330" s="155"/>
      <c r="E330" s="156" t="str">
        <f>IFERROR(VLOOKUP(D330,'🗂️ DATA_ESCUELAS'!$A:$D,2,0),"")</f>
        <v/>
      </c>
      <c r="F330" s="156" t="str">
        <f>IFERROR(VLOOKUP(D330,'🗂️ DATA_ESCUELAS'!$A:$D,3,0),"")</f>
        <v/>
      </c>
      <c r="G330" s="156"/>
      <c r="H330" s="157"/>
      <c r="I330" s="157"/>
      <c r="J330" s="156"/>
      <c r="K330" s="155"/>
      <c r="L330" s="156"/>
      <c r="M330" s="155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153" t="str">
        <f t="shared" si="5"/>
        <v/>
      </c>
      <c r="B331" s="158" t="str">
        <f t="shared" si="7"/>
        <v/>
      </c>
      <c r="C331" s="154"/>
      <c r="D331" s="155"/>
      <c r="E331" s="156" t="str">
        <f>IFERROR(VLOOKUP(D331,'🗂️ DATA_ESCUELAS'!$A:$D,2,0),"")</f>
        <v/>
      </c>
      <c r="F331" s="156" t="str">
        <f>IFERROR(VLOOKUP(D331,'🗂️ DATA_ESCUELAS'!$A:$D,3,0),"")</f>
        <v/>
      </c>
      <c r="G331" s="156"/>
      <c r="H331" s="157"/>
      <c r="I331" s="157"/>
      <c r="J331" s="156"/>
      <c r="K331" s="155"/>
      <c r="L331" s="156"/>
      <c r="M331" s="155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153" t="str">
        <f t="shared" si="5"/>
        <v/>
      </c>
      <c r="B332" s="158" t="str">
        <f t="shared" si="7"/>
        <v/>
      </c>
      <c r="C332" s="154"/>
      <c r="D332" s="155"/>
      <c r="E332" s="156" t="str">
        <f>IFERROR(VLOOKUP(D332,'🗂️ DATA_ESCUELAS'!$A:$D,2,0),"")</f>
        <v/>
      </c>
      <c r="F332" s="156" t="str">
        <f>IFERROR(VLOOKUP(D332,'🗂️ DATA_ESCUELAS'!$A:$D,3,0),"")</f>
        <v/>
      </c>
      <c r="G332" s="156"/>
      <c r="H332" s="157"/>
      <c r="I332" s="157"/>
      <c r="J332" s="156"/>
      <c r="K332" s="155"/>
      <c r="L332" s="156"/>
      <c r="M332" s="155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153" t="str">
        <f t="shared" si="5"/>
        <v/>
      </c>
      <c r="B333" s="158" t="str">
        <f t="shared" si="7"/>
        <v/>
      </c>
      <c r="C333" s="154"/>
      <c r="D333" s="155"/>
      <c r="E333" s="156" t="str">
        <f>IFERROR(VLOOKUP(D333,'🗂️ DATA_ESCUELAS'!$A:$D,2,0),"")</f>
        <v/>
      </c>
      <c r="F333" s="156" t="str">
        <f>IFERROR(VLOOKUP(D333,'🗂️ DATA_ESCUELAS'!$A:$D,3,0),"")</f>
        <v/>
      </c>
      <c r="G333" s="156"/>
      <c r="H333" s="157"/>
      <c r="I333" s="157"/>
      <c r="J333" s="156"/>
      <c r="K333" s="155"/>
      <c r="L333" s="156"/>
      <c r="M333" s="155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153" t="str">
        <f t="shared" si="5"/>
        <v/>
      </c>
      <c r="B334" s="158" t="str">
        <f t="shared" si="7"/>
        <v/>
      </c>
      <c r="C334" s="154"/>
      <c r="D334" s="155"/>
      <c r="E334" s="156" t="str">
        <f>IFERROR(VLOOKUP(D334,'🗂️ DATA_ESCUELAS'!$A:$D,2,0),"")</f>
        <v/>
      </c>
      <c r="F334" s="156" t="str">
        <f>IFERROR(VLOOKUP(D334,'🗂️ DATA_ESCUELAS'!$A:$D,3,0),"")</f>
        <v/>
      </c>
      <c r="G334" s="156"/>
      <c r="H334" s="157"/>
      <c r="I334" s="157"/>
      <c r="J334" s="156"/>
      <c r="K334" s="155"/>
      <c r="L334" s="156"/>
      <c r="M334" s="155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153" t="str">
        <f t="shared" si="5"/>
        <v/>
      </c>
      <c r="B335" s="158" t="str">
        <f t="shared" si="7"/>
        <v/>
      </c>
      <c r="C335" s="154"/>
      <c r="D335" s="155"/>
      <c r="E335" s="156" t="str">
        <f>IFERROR(VLOOKUP(D335,'🗂️ DATA_ESCUELAS'!$A:$D,2,0),"")</f>
        <v/>
      </c>
      <c r="F335" s="156" t="str">
        <f>IFERROR(VLOOKUP(D335,'🗂️ DATA_ESCUELAS'!$A:$D,3,0),"")</f>
        <v/>
      </c>
      <c r="G335" s="156"/>
      <c r="H335" s="157"/>
      <c r="I335" s="157"/>
      <c r="J335" s="156"/>
      <c r="K335" s="155"/>
      <c r="L335" s="156"/>
      <c r="M335" s="155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153" t="str">
        <f t="shared" si="5"/>
        <v/>
      </c>
      <c r="B336" s="158" t="str">
        <f t="shared" si="7"/>
        <v/>
      </c>
      <c r="C336" s="154"/>
      <c r="D336" s="155"/>
      <c r="E336" s="156" t="str">
        <f>IFERROR(VLOOKUP(D336,'🗂️ DATA_ESCUELAS'!$A:$D,2,0),"")</f>
        <v/>
      </c>
      <c r="F336" s="156" t="str">
        <f>IFERROR(VLOOKUP(D336,'🗂️ DATA_ESCUELAS'!$A:$D,3,0),"")</f>
        <v/>
      </c>
      <c r="G336" s="156"/>
      <c r="H336" s="157"/>
      <c r="I336" s="157"/>
      <c r="J336" s="156"/>
      <c r="K336" s="155"/>
      <c r="L336" s="156"/>
      <c r="M336" s="155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153" t="str">
        <f t="shared" si="5"/>
        <v/>
      </c>
      <c r="B337" s="158" t="str">
        <f t="shared" si="7"/>
        <v/>
      </c>
      <c r="C337" s="154"/>
      <c r="D337" s="155"/>
      <c r="E337" s="156" t="str">
        <f>IFERROR(VLOOKUP(D337,'🗂️ DATA_ESCUELAS'!$A:$D,2,0),"")</f>
        <v/>
      </c>
      <c r="F337" s="156" t="str">
        <f>IFERROR(VLOOKUP(D337,'🗂️ DATA_ESCUELAS'!$A:$D,3,0),"")</f>
        <v/>
      </c>
      <c r="G337" s="156"/>
      <c r="H337" s="157"/>
      <c r="I337" s="157"/>
      <c r="J337" s="156"/>
      <c r="K337" s="155"/>
      <c r="L337" s="156"/>
      <c r="M337" s="155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153" t="str">
        <f t="shared" si="5"/>
        <v/>
      </c>
      <c r="B338" s="158" t="str">
        <f t="shared" si="7"/>
        <v/>
      </c>
      <c r="C338" s="154"/>
      <c r="D338" s="155"/>
      <c r="E338" s="156" t="str">
        <f>IFERROR(VLOOKUP(D338,'🗂️ DATA_ESCUELAS'!$A:$D,2,0),"")</f>
        <v/>
      </c>
      <c r="F338" s="156" t="str">
        <f>IFERROR(VLOOKUP(D338,'🗂️ DATA_ESCUELAS'!$A:$D,3,0),"")</f>
        <v/>
      </c>
      <c r="G338" s="156"/>
      <c r="H338" s="157"/>
      <c r="I338" s="157"/>
      <c r="J338" s="156"/>
      <c r="K338" s="155"/>
      <c r="L338" s="156"/>
      <c r="M338" s="155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153" t="str">
        <f t="shared" si="5"/>
        <v/>
      </c>
      <c r="B339" s="158" t="str">
        <f t="shared" si="7"/>
        <v/>
      </c>
      <c r="C339" s="154"/>
      <c r="D339" s="155"/>
      <c r="E339" s="156" t="str">
        <f>IFERROR(VLOOKUP(D339,'🗂️ DATA_ESCUELAS'!$A:$D,2,0),"")</f>
        <v/>
      </c>
      <c r="F339" s="156" t="str">
        <f>IFERROR(VLOOKUP(D339,'🗂️ DATA_ESCUELAS'!$A:$D,3,0),"")</f>
        <v/>
      </c>
      <c r="G339" s="156"/>
      <c r="H339" s="157"/>
      <c r="I339" s="157"/>
      <c r="J339" s="156"/>
      <c r="K339" s="155"/>
      <c r="L339" s="156"/>
      <c r="M339" s="155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153" t="str">
        <f t="shared" si="5"/>
        <v/>
      </c>
      <c r="B340" s="158" t="str">
        <f t="shared" si="7"/>
        <v/>
      </c>
      <c r="C340" s="154"/>
      <c r="D340" s="155"/>
      <c r="E340" s="156" t="str">
        <f>IFERROR(VLOOKUP(D340,'🗂️ DATA_ESCUELAS'!$A:$D,2,0),"")</f>
        <v/>
      </c>
      <c r="F340" s="156" t="str">
        <f>IFERROR(VLOOKUP(D340,'🗂️ DATA_ESCUELAS'!$A:$D,3,0),"")</f>
        <v/>
      </c>
      <c r="G340" s="156"/>
      <c r="H340" s="157"/>
      <c r="I340" s="157"/>
      <c r="J340" s="156"/>
      <c r="K340" s="155"/>
      <c r="L340" s="156"/>
      <c r="M340" s="155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153" t="str">
        <f t="shared" si="5"/>
        <v/>
      </c>
      <c r="B341" s="158" t="str">
        <f t="shared" si="7"/>
        <v/>
      </c>
      <c r="C341" s="154"/>
      <c r="D341" s="155"/>
      <c r="E341" s="156" t="str">
        <f>IFERROR(VLOOKUP(D341,'🗂️ DATA_ESCUELAS'!$A:$D,2,0),"")</f>
        <v/>
      </c>
      <c r="F341" s="156" t="str">
        <f>IFERROR(VLOOKUP(D341,'🗂️ DATA_ESCUELAS'!$A:$D,3,0),"")</f>
        <v/>
      </c>
      <c r="G341" s="156"/>
      <c r="H341" s="157"/>
      <c r="I341" s="157"/>
      <c r="J341" s="156"/>
      <c r="K341" s="155"/>
      <c r="L341" s="156"/>
      <c r="M341" s="155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153" t="str">
        <f t="shared" si="5"/>
        <v/>
      </c>
      <c r="B342" s="158" t="str">
        <f t="shared" si="7"/>
        <v/>
      </c>
      <c r="C342" s="154"/>
      <c r="D342" s="155"/>
      <c r="E342" s="156" t="str">
        <f>IFERROR(VLOOKUP(D342,'🗂️ DATA_ESCUELAS'!$A:$D,2,0),"")</f>
        <v/>
      </c>
      <c r="F342" s="156" t="str">
        <f>IFERROR(VLOOKUP(D342,'🗂️ DATA_ESCUELAS'!$A:$D,3,0),"")</f>
        <v/>
      </c>
      <c r="G342" s="156"/>
      <c r="H342" s="157"/>
      <c r="I342" s="157"/>
      <c r="J342" s="156"/>
      <c r="K342" s="155"/>
      <c r="L342" s="156"/>
      <c r="M342" s="155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153" t="str">
        <f t="shared" si="5"/>
        <v/>
      </c>
      <c r="B343" s="158" t="str">
        <f t="shared" si="7"/>
        <v/>
      </c>
      <c r="C343" s="154"/>
      <c r="D343" s="155"/>
      <c r="E343" s="156" t="str">
        <f>IFERROR(VLOOKUP(D343,'🗂️ DATA_ESCUELAS'!$A:$D,2,0),"")</f>
        <v/>
      </c>
      <c r="F343" s="156" t="str">
        <f>IFERROR(VLOOKUP(D343,'🗂️ DATA_ESCUELAS'!$A:$D,3,0),"")</f>
        <v/>
      </c>
      <c r="G343" s="156"/>
      <c r="H343" s="157"/>
      <c r="I343" s="157"/>
      <c r="J343" s="156"/>
      <c r="K343" s="155"/>
      <c r="L343" s="156"/>
      <c r="M343" s="155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153" t="str">
        <f t="shared" si="5"/>
        <v/>
      </c>
      <c r="B344" s="158" t="str">
        <f t="shared" si="7"/>
        <v/>
      </c>
      <c r="C344" s="154"/>
      <c r="D344" s="155"/>
      <c r="E344" s="156" t="str">
        <f>IFERROR(VLOOKUP(D344,'🗂️ DATA_ESCUELAS'!$A:$D,2,0),"")</f>
        <v/>
      </c>
      <c r="F344" s="156" t="str">
        <f>IFERROR(VLOOKUP(D344,'🗂️ DATA_ESCUELAS'!$A:$D,3,0),"")</f>
        <v/>
      </c>
      <c r="G344" s="156"/>
      <c r="H344" s="157"/>
      <c r="I344" s="157"/>
      <c r="J344" s="156"/>
      <c r="K344" s="155"/>
      <c r="L344" s="156"/>
      <c r="M344" s="155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153" t="str">
        <f t="shared" si="5"/>
        <v/>
      </c>
      <c r="B345" s="158" t="str">
        <f t="shared" si="7"/>
        <v/>
      </c>
      <c r="C345" s="154"/>
      <c r="D345" s="155"/>
      <c r="E345" s="156" t="str">
        <f>IFERROR(VLOOKUP(D345,'🗂️ DATA_ESCUELAS'!$A:$D,2,0),"")</f>
        <v/>
      </c>
      <c r="F345" s="156" t="str">
        <f>IFERROR(VLOOKUP(D345,'🗂️ DATA_ESCUELAS'!$A:$D,3,0),"")</f>
        <v/>
      </c>
      <c r="G345" s="156"/>
      <c r="H345" s="157"/>
      <c r="I345" s="157"/>
      <c r="J345" s="156"/>
      <c r="K345" s="155"/>
      <c r="L345" s="156"/>
      <c r="M345" s="155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153" t="str">
        <f t="shared" si="5"/>
        <v/>
      </c>
      <c r="B346" s="158" t="str">
        <f t="shared" si="7"/>
        <v/>
      </c>
      <c r="C346" s="154"/>
      <c r="D346" s="155"/>
      <c r="E346" s="156" t="str">
        <f>IFERROR(VLOOKUP(D346,'🗂️ DATA_ESCUELAS'!$A:$D,2,0),"")</f>
        <v/>
      </c>
      <c r="F346" s="156" t="str">
        <f>IFERROR(VLOOKUP(D346,'🗂️ DATA_ESCUELAS'!$A:$D,3,0),"")</f>
        <v/>
      </c>
      <c r="G346" s="156"/>
      <c r="H346" s="157"/>
      <c r="I346" s="157"/>
      <c r="J346" s="156"/>
      <c r="K346" s="155"/>
      <c r="L346" s="156"/>
      <c r="M346" s="155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153" t="str">
        <f t="shared" si="5"/>
        <v/>
      </c>
      <c r="B347" s="158" t="str">
        <f t="shared" si="7"/>
        <v/>
      </c>
      <c r="C347" s="154"/>
      <c r="D347" s="155"/>
      <c r="E347" s="156" t="str">
        <f>IFERROR(VLOOKUP(D347,'🗂️ DATA_ESCUELAS'!$A:$D,2,0),"")</f>
        <v/>
      </c>
      <c r="F347" s="156" t="str">
        <f>IFERROR(VLOOKUP(D347,'🗂️ DATA_ESCUELAS'!$A:$D,3,0),"")</f>
        <v/>
      </c>
      <c r="G347" s="156"/>
      <c r="H347" s="157"/>
      <c r="I347" s="157"/>
      <c r="J347" s="156"/>
      <c r="K347" s="155"/>
      <c r="L347" s="156"/>
      <c r="M347" s="155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153" t="str">
        <f t="shared" si="5"/>
        <v/>
      </c>
      <c r="B348" s="158" t="str">
        <f t="shared" si="7"/>
        <v/>
      </c>
      <c r="C348" s="154"/>
      <c r="D348" s="155"/>
      <c r="E348" s="156" t="str">
        <f>IFERROR(VLOOKUP(D348,'🗂️ DATA_ESCUELAS'!$A:$D,2,0),"")</f>
        <v/>
      </c>
      <c r="F348" s="156" t="str">
        <f>IFERROR(VLOOKUP(D348,'🗂️ DATA_ESCUELAS'!$A:$D,3,0),"")</f>
        <v/>
      </c>
      <c r="G348" s="156"/>
      <c r="H348" s="157"/>
      <c r="I348" s="157"/>
      <c r="J348" s="156"/>
      <c r="K348" s="155"/>
      <c r="L348" s="156"/>
      <c r="M348" s="155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153" t="str">
        <f t="shared" si="5"/>
        <v/>
      </c>
      <c r="B349" s="158" t="str">
        <f t="shared" si="7"/>
        <v/>
      </c>
      <c r="C349" s="154"/>
      <c r="D349" s="155"/>
      <c r="E349" s="156" t="str">
        <f>IFERROR(VLOOKUP(D349,'🗂️ DATA_ESCUELAS'!$A:$D,2,0),"")</f>
        <v/>
      </c>
      <c r="F349" s="156" t="str">
        <f>IFERROR(VLOOKUP(D349,'🗂️ DATA_ESCUELAS'!$A:$D,3,0),"")</f>
        <v/>
      </c>
      <c r="G349" s="156"/>
      <c r="H349" s="157"/>
      <c r="I349" s="157"/>
      <c r="J349" s="156"/>
      <c r="K349" s="155"/>
      <c r="L349" s="156"/>
      <c r="M349" s="155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153" t="str">
        <f t="shared" si="5"/>
        <v/>
      </c>
      <c r="B350" s="158" t="str">
        <f t="shared" si="7"/>
        <v/>
      </c>
      <c r="C350" s="154"/>
      <c r="D350" s="155"/>
      <c r="E350" s="156" t="str">
        <f>IFERROR(VLOOKUP(D350,'🗂️ DATA_ESCUELAS'!$A:$D,2,0),"")</f>
        <v/>
      </c>
      <c r="F350" s="156" t="str">
        <f>IFERROR(VLOOKUP(D350,'🗂️ DATA_ESCUELAS'!$A:$D,3,0),"")</f>
        <v/>
      </c>
      <c r="G350" s="156"/>
      <c r="H350" s="157"/>
      <c r="I350" s="157"/>
      <c r="J350" s="156"/>
      <c r="K350" s="155"/>
      <c r="L350" s="156"/>
      <c r="M350" s="155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153" t="str">
        <f t="shared" si="5"/>
        <v/>
      </c>
      <c r="B351" s="158" t="str">
        <f t="shared" si="7"/>
        <v/>
      </c>
      <c r="C351" s="154"/>
      <c r="D351" s="155"/>
      <c r="E351" s="156" t="str">
        <f>IFERROR(VLOOKUP(D351,'🗂️ DATA_ESCUELAS'!$A:$D,2,0),"")</f>
        <v/>
      </c>
      <c r="F351" s="156" t="str">
        <f>IFERROR(VLOOKUP(D351,'🗂️ DATA_ESCUELAS'!$A:$D,3,0),"")</f>
        <v/>
      </c>
      <c r="G351" s="156"/>
      <c r="H351" s="157"/>
      <c r="I351" s="157"/>
      <c r="J351" s="156"/>
      <c r="K351" s="155"/>
      <c r="L351" s="156"/>
      <c r="M351" s="155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153" t="str">
        <f t="shared" si="5"/>
        <v/>
      </c>
      <c r="B352" s="158" t="str">
        <f t="shared" si="7"/>
        <v/>
      </c>
      <c r="C352" s="154"/>
      <c r="D352" s="155"/>
      <c r="E352" s="156" t="str">
        <f>IFERROR(VLOOKUP(D352,'🗂️ DATA_ESCUELAS'!$A:$D,2,0),"")</f>
        <v/>
      </c>
      <c r="F352" s="156" t="str">
        <f>IFERROR(VLOOKUP(D352,'🗂️ DATA_ESCUELAS'!$A:$D,3,0),"")</f>
        <v/>
      </c>
      <c r="G352" s="156"/>
      <c r="H352" s="157"/>
      <c r="I352" s="157"/>
      <c r="J352" s="156"/>
      <c r="K352" s="155"/>
      <c r="L352" s="156"/>
      <c r="M352" s="155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153" t="str">
        <f t="shared" si="5"/>
        <v/>
      </c>
      <c r="B353" s="158" t="str">
        <f t="shared" si="7"/>
        <v/>
      </c>
      <c r="C353" s="154"/>
      <c r="D353" s="155"/>
      <c r="E353" s="156" t="str">
        <f>IFERROR(VLOOKUP(D353,'🗂️ DATA_ESCUELAS'!$A:$D,2,0),"")</f>
        <v/>
      </c>
      <c r="F353" s="156" t="str">
        <f>IFERROR(VLOOKUP(D353,'🗂️ DATA_ESCUELAS'!$A:$D,3,0),"")</f>
        <v/>
      </c>
      <c r="G353" s="156"/>
      <c r="H353" s="157"/>
      <c r="I353" s="157"/>
      <c r="J353" s="156"/>
      <c r="K353" s="155"/>
      <c r="L353" s="156"/>
      <c r="M353" s="155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153" t="str">
        <f t="shared" si="5"/>
        <v/>
      </c>
      <c r="B354" s="158" t="str">
        <f t="shared" si="7"/>
        <v/>
      </c>
      <c r="C354" s="154"/>
      <c r="D354" s="155"/>
      <c r="E354" s="156" t="str">
        <f>IFERROR(VLOOKUP(D354,'🗂️ DATA_ESCUELAS'!$A:$D,2,0),"")</f>
        <v/>
      </c>
      <c r="F354" s="156" t="str">
        <f>IFERROR(VLOOKUP(D354,'🗂️ DATA_ESCUELAS'!$A:$D,3,0),"")</f>
        <v/>
      </c>
      <c r="G354" s="156"/>
      <c r="H354" s="157"/>
      <c r="I354" s="157"/>
      <c r="J354" s="156"/>
      <c r="K354" s="155"/>
      <c r="L354" s="156"/>
      <c r="M354" s="155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153" t="str">
        <f t="shared" si="5"/>
        <v/>
      </c>
      <c r="B355" s="158" t="str">
        <f t="shared" si="7"/>
        <v/>
      </c>
      <c r="C355" s="154"/>
      <c r="D355" s="155"/>
      <c r="E355" s="156" t="str">
        <f>IFERROR(VLOOKUP(D355,'🗂️ DATA_ESCUELAS'!$A:$D,2,0),"")</f>
        <v/>
      </c>
      <c r="F355" s="156" t="str">
        <f>IFERROR(VLOOKUP(D355,'🗂️ DATA_ESCUELAS'!$A:$D,3,0),"")</f>
        <v/>
      </c>
      <c r="G355" s="156"/>
      <c r="H355" s="157"/>
      <c r="I355" s="157"/>
      <c r="J355" s="156"/>
      <c r="K355" s="155"/>
      <c r="L355" s="156"/>
      <c r="M355" s="155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153" t="str">
        <f t="shared" si="5"/>
        <v/>
      </c>
      <c r="B356" s="158" t="str">
        <f t="shared" si="7"/>
        <v/>
      </c>
      <c r="C356" s="154"/>
      <c r="D356" s="155"/>
      <c r="E356" s="156" t="str">
        <f>IFERROR(VLOOKUP(D356,'🗂️ DATA_ESCUELAS'!$A:$D,2,0),"")</f>
        <v/>
      </c>
      <c r="F356" s="156" t="str">
        <f>IFERROR(VLOOKUP(D356,'🗂️ DATA_ESCUELAS'!$A:$D,3,0),"")</f>
        <v/>
      </c>
      <c r="G356" s="156"/>
      <c r="H356" s="157"/>
      <c r="I356" s="157"/>
      <c r="J356" s="156"/>
      <c r="K356" s="155"/>
      <c r="L356" s="156"/>
      <c r="M356" s="155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153" t="str">
        <f t="shared" si="5"/>
        <v/>
      </c>
      <c r="B357" s="158" t="str">
        <f t="shared" si="7"/>
        <v/>
      </c>
      <c r="C357" s="154"/>
      <c r="D357" s="155"/>
      <c r="E357" s="156" t="str">
        <f>IFERROR(VLOOKUP(D357,'🗂️ DATA_ESCUELAS'!$A:$D,2,0),"")</f>
        <v/>
      </c>
      <c r="F357" s="156" t="str">
        <f>IFERROR(VLOOKUP(D357,'🗂️ DATA_ESCUELAS'!$A:$D,3,0),"")</f>
        <v/>
      </c>
      <c r="G357" s="156"/>
      <c r="H357" s="157"/>
      <c r="I357" s="157"/>
      <c r="J357" s="156"/>
      <c r="K357" s="155"/>
      <c r="L357" s="156"/>
      <c r="M357" s="155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153" t="str">
        <f t="shared" si="5"/>
        <v/>
      </c>
      <c r="B358" s="158" t="str">
        <f t="shared" si="7"/>
        <v/>
      </c>
      <c r="C358" s="154"/>
      <c r="D358" s="155"/>
      <c r="E358" s="156" t="str">
        <f>IFERROR(VLOOKUP(D358,'🗂️ DATA_ESCUELAS'!$A:$D,2,0),"")</f>
        <v/>
      </c>
      <c r="F358" s="156" t="str">
        <f>IFERROR(VLOOKUP(D358,'🗂️ DATA_ESCUELAS'!$A:$D,3,0),"")</f>
        <v/>
      </c>
      <c r="G358" s="156"/>
      <c r="H358" s="157"/>
      <c r="I358" s="157"/>
      <c r="J358" s="156"/>
      <c r="K358" s="155"/>
      <c r="L358" s="156"/>
      <c r="M358" s="155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153" t="str">
        <f t="shared" si="5"/>
        <v/>
      </c>
      <c r="B359" s="158" t="str">
        <f t="shared" si="7"/>
        <v/>
      </c>
      <c r="C359" s="154"/>
      <c r="D359" s="155"/>
      <c r="E359" s="156" t="str">
        <f>IFERROR(VLOOKUP(D359,'🗂️ DATA_ESCUELAS'!$A:$D,2,0),"")</f>
        <v/>
      </c>
      <c r="F359" s="156" t="str">
        <f>IFERROR(VLOOKUP(D359,'🗂️ DATA_ESCUELAS'!$A:$D,3,0),"")</f>
        <v/>
      </c>
      <c r="G359" s="156"/>
      <c r="H359" s="157"/>
      <c r="I359" s="157"/>
      <c r="J359" s="156"/>
      <c r="K359" s="155"/>
      <c r="L359" s="156"/>
      <c r="M359" s="155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153" t="str">
        <f t="shared" si="5"/>
        <v/>
      </c>
      <c r="B360" s="158" t="str">
        <f t="shared" si="7"/>
        <v/>
      </c>
      <c r="C360" s="154"/>
      <c r="D360" s="155"/>
      <c r="E360" s="156" t="str">
        <f>IFERROR(VLOOKUP(D360,'🗂️ DATA_ESCUELAS'!$A:$D,2,0),"")</f>
        <v/>
      </c>
      <c r="F360" s="156" t="str">
        <f>IFERROR(VLOOKUP(D360,'🗂️ DATA_ESCUELAS'!$A:$D,3,0),"")</f>
        <v/>
      </c>
      <c r="G360" s="156"/>
      <c r="H360" s="157"/>
      <c r="I360" s="157"/>
      <c r="J360" s="156"/>
      <c r="K360" s="155"/>
      <c r="L360" s="156"/>
      <c r="M360" s="155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153" t="str">
        <f t="shared" si="5"/>
        <v/>
      </c>
      <c r="B361" s="158" t="str">
        <f t="shared" si="7"/>
        <v/>
      </c>
      <c r="C361" s="154"/>
      <c r="D361" s="155"/>
      <c r="E361" s="156" t="str">
        <f>IFERROR(VLOOKUP(D361,'🗂️ DATA_ESCUELAS'!$A:$D,2,0),"")</f>
        <v/>
      </c>
      <c r="F361" s="156" t="str">
        <f>IFERROR(VLOOKUP(D361,'🗂️ DATA_ESCUELAS'!$A:$D,3,0),"")</f>
        <v/>
      </c>
      <c r="G361" s="156"/>
      <c r="H361" s="157"/>
      <c r="I361" s="157"/>
      <c r="J361" s="156"/>
      <c r="K361" s="155"/>
      <c r="L361" s="156"/>
      <c r="M361" s="155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153" t="str">
        <f t="shared" si="5"/>
        <v/>
      </c>
      <c r="B362" s="158" t="str">
        <f t="shared" si="7"/>
        <v/>
      </c>
      <c r="C362" s="154"/>
      <c r="D362" s="155"/>
      <c r="E362" s="156" t="str">
        <f>IFERROR(VLOOKUP(D362,'🗂️ DATA_ESCUELAS'!$A:$D,2,0),"")</f>
        <v/>
      </c>
      <c r="F362" s="156" t="str">
        <f>IFERROR(VLOOKUP(D362,'🗂️ DATA_ESCUELAS'!$A:$D,3,0),"")</f>
        <v/>
      </c>
      <c r="G362" s="156"/>
      <c r="H362" s="157"/>
      <c r="I362" s="157"/>
      <c r="J362" s="156"/>
      <c r="K362" s="155"/>
      <c r="L362" s="156"/>
      <c r="M362" s="155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153" t="str">
        <f t="shared" si="5"/>
        <v/>
      </c>
      <c r="B363" s="158" t="str">
        <f t="shared" si="7"/>
        <v/>
      </c>
      <c r="C363" s="154"/>
      <c r="D363" s="155"/>
      <c r="E363" s="156" t="str">
        <f>IFERROR(VLOOKUP(D363,'🗂️ DATA_ESCUELAS'!$A:$D,2,0),"")</f>
        <v/>
      </c>
      <c r="F363" s="156" t="str">
        <f>IFERROR(VLOOKUP(D363,'🗂️ DATA_ESCUELAS'!$A:$D,3,0),"")</f>
        <v/>
      </c>
      <c r="G363" s="156"/>
      <c r="H363" s="157"/>
      <c r="I363" s="157"/>
      <c r="J363" s="156"/>
      <c r="K363" s="155"/>
      <c r="L363" s="156"/>
      <c r="M363" s="155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153" t="str">
        <f t="shared" si="5"/>
        <v/>
      </c>
      <c r="B364" s="158" t="str">
        <f t="shared" si="7"/>
        <v/>
      </c>
      <c r="C364" s="154"/>
      <c r="D364" s="155"/>
      <c r="E364" s="156" t="str">
        <f>IFERROR(VLOOKUP(D364,'🗂️ DATA_ESCUELAS'!$A:$D,2,0),"")</f>
        <v/>
      </c>
      <c r="F364" s="156" t="str">
        <f>IFERROR(VLOOKUP(D364,'🗂️ DATA_ESCUELAS'!$A:$D,3,0),"")</f>
        <v/>
      </c>
      <c r="G364" s="156"/>
      <c r="H364" s="157"/>
      <c r="I364" s="157"/>
      <c r="J364" s="156"/>
      <c r="K364" s="155"/>
      <c r="L364" s="156"/>
      <c r="M364" s="155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153" t="str">
        <f t="shared" si="5"/>
        <v/>
      </c>
      <c r="B365" s="158" t="str">
        <f t="shared" si="7"/>
        <v/>
      </c>
      <c r="C365" s="154"/>
      <c r="D365" s="155"/>
      <c r="E365" s="156" t="str">
        <f>IFERROR(VLOOKUP(D365,'🗂️ DATA_ESCUELAS'!$A:$D,2,0),"")</f>
        <v/>
      </c>
      <c r="F365" s="156" t="str">
        <f>IFERROR(VLOOKUP(D365,'🗂️ DATA_ESCUELAS'!$A:$D,3,0),"")</f>
        <v/>
      </c>
      <c r="G365" s="156"/>
      <c r="H365" s="157"/>
      <c r="I365" s="157"/>
      <c r="J365" s="156"/>
      <c r="K365" s="155"/>
      <c r="L365" s="156"/>
      <c r="M365" s="155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153" t="str">
        <f t="shared" si="5"/>
        <v/>
      </c>
      <c r="B366" s="158" t="str">
        <f t="shared" si="7"/>
        <v/>
      </c>
      <c r="C366" s="154"/>
      <c r="D366" s="155"/>
      <c r="E366" s="156" t="str">
        <f>IFERROR(VLOOKUP(D366,'🗂️ DATA_ESCUELAS'!$A:$D,2,0),"")</f>
        <v/>
      </c>
      <c r="F366" s="156" t="str">
        <f>IFERROR(VLOOKUP(D366,'🗂️ DATA_ESCUELAS'!$A:$D,3,0),"")</f>
        <v/>
      </c>
      <c r="G366" s="156"/>
      <c r="H366" s="157"/>
      <c r="I366" s="157"/>
      <c r="J366" s="156"/>
      <c r="K366" s="155"/>
      <c r="L366" s="156"/>
      <c r="M366" s="155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153" t="str">
        <f t="shared" si="5"/>
        <v/>
      </c>
      <c r="B367" s="158" t="str">
        <f t="shared" si="7"/>
        <v/>
      </c>
      <c r="C367" s="154"/>
      <c r="D367" s="155"/>
      <c r="E367" s="156" t="str">
        <f>IFERROR(VLOOKUP(D367,'🗂️ DATA_ESCUELAS'!$A:$D,2,0),"")</f>
        <v/>
      </c>
      <c r="F367" s="156" t="str">
        <f>IFERROR(VLOOKUP(D367,'🗂️ DATA_ESCUELAS'!$A:$D,3,0),"")</f>
        <v/>
      </c>
      <c r="G367" s="156"/>
      <c r="H367" s="157"/>
      <c r="I367" s="157"/>
      <c r="J367" s="156"/>
      <c r="K367" s="155"/>
      <c r="L367" s="156"/>
      <c r="M367" s="155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153" t="str">
        <f t="shared" si="5"/>
        <v/>
      </c>
      <c r="B368" s="158" t="str">
        <f t="shared" si="7"/>
        <v/>
      </c>
      <c r="C368" s="154"/>
      <c r="D368" s="155"/>
      <c r="E368" s="156" t="str">
        <f>IFERROR(VLOOKUP(D368,'🗂️ DATA_ESCUELAS'!$A:$D,2,0),"")</f>
        <v/>
      </c>
      <c r="F368" s="156" t="str">
        <f>IFERROR(VLOOKUP(D368,'🗂️ DATA_ESCUELAS'!$A:$D,3,0),"")</f>
        <v/>
      </c>
      <c r="G368" s="156"/>
      <c r="H368" s="157"/>
      <c r="I368" s="157"/>
      <c r="J368" s="156"/>
      <c r="K368" s="155"/>
      <c r="L368" s="156"/>
      <c r="M368" s="155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153" t="str">
        <f t="shared" si="5"/>
        <v/>
      </c>
      <c r="B369" s="158" t="str">
        <f t="shared" si="7"/>
        <v/>
      </c>
      <c r="C369" s="154"/>
      <c r="D369" s="155"/>
      <c r="E369" s="156" t="str">
        <f>IFERROR(VLOOKUP(D369,'🗂️ DATA_ESCUELAS'!$A:$D,2,0),"")</f>
        <v/>
      </c>
      <c r="F369" s="156" t="str">
        <f>IFERROR(VLOOKUP(D369,'🗂️ DATA_ESCUELAS'!$A:$D,3,0),"")</f>
        <v/>
      </c>
      <c r="G369" s="156"/>
      <c r="H369" s="157"/>
      <c r="I369" s="157"/>
      <c r="J369" s="156"/>
      <c r="K369" s="155"/>
      <c r="L369" s="156"/>
      <c r="M369" s="155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153" t="str">
        <f t="shared" si="5"/>
        <v/>
      </c>
      <c r="B370" s="158" t="str">
        <f t="shared" si="7"/>
        <v/>
      </c>
      <c r="C370" s="154"/>
      <c r="D370" s="155"/>
      <c r="E370" s="156" t="str">
        <f>IFERROR(VLOOKUP(D370,'🗂️ DATA_ESCUELAS'!$A:$D,2,0),"")</f>
        <v/>
      </c>
      <c r="F370" s="156" t="str">
        <f>IFERROR(VLOOKUP(D370,'🗂️ DATA_ESCUELAS'!$A:$D,3,0),"")</f>
        <v/>
      </c>
      <c r="G370" s="156"/>
      <c r="H370" s="157"/>
      <c r="I370" s="157"/>
      <c r="J370" s="156"/>
      <c r="K370" s="155"/>
      <c r="L370" s="156"/>
      <c r="M370" s="155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153" t="str">
        <f t="shared" si="5"/>
        <v/>
      </c>
      <c r="B371" s="158" t="str">
        <f t="shared" si="7"/>
        <v/>
      </c>
      <c r="C371" s="154"/>
      <c r="D371" s="155"/>
      <c r="E371" s="156" t="str">
        <f>IFERROR(VLOOKUP(D371,'🗂️ DATA_ESCUELAS'!$A:$D,2,0),"")</f>
        <v/>
      </c>
      <c r="F371" s="156" t="str">
        <f>IFERROR(VLOOKUP(D371,'🗂️ DATA_ESCUELAS'!$A:$D,3,0),"")</f>
        <v/>
      </c>
      <c r="G371" s="156"/>
      <c r="H371" s="157"/>
      <c r="I371" s="157"/>
      <c r="J371" s="156"/>
      <c r="K371" s="155"/>
      <c r="L371" s="156"/>
      <c r="M371" s="155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153" t="str">
        <f t="shared" si="5"/>
        <v/>
      </c>
      <c r="B372" s="158" t="str">
        <f t="shared" si="7"/>
        <v/>
      </c>
      <c r="C372" s="154"/>
      <c r="D372" s="155"/>
      <c r="E372" s="156" t="str">
        <f>IFERROR(VLOOKUP(D372,'🗂️ DATA_ESCUELAS'!$A:$D,2,0),"")</f>
        <v/>
      </c>
      <c r="F372" s="156" t="str">
        <f>IFERROR(VLOOKUP(D372,'🗂️ DATA_ESCUELAS'!$A:$D,3,0),"")</f>
        <v/>
      </c>
      <c r="G372" s="156"/>
      <c r="H372" s="157"/>
      <c r="I372" s="157"/>
      <c r="J372" s="156"/>
      <c r="K372" s="155"/>
      <c r="L372" s="156"/>
      <c r="M372" s="155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153" t="str">
        <f t="shared" si="5"/>
        <v/>
      </c>
      <c r="B373" s="158" t="str">
        <f t="shared" si="7"/>
        <v/>
      </c>
      <c r="C373" s="154"/>
      <c r="D373" s="155"/>
      <c r="E373" s="156" t="str">
        <f>IFERROR(VLOOKUP(D373,'🗂️ DATA_ESCUELAS'!$A:$D,2,0),"")</f>
        <v/>
      </c>
      <c r="F373" s="156" t="str">
        <f>IFERROR(VLOOKUP(D373,'🗂️ DATA_ESCUELAS'!$A:$D,3,0),"")</f>
        <v/>
      </c>
      <c r="G373" s="156"/>
      <c r="H373" s="157"/>
      <c r="I373" s="157"/>
      <c r="J373" s="156"/>
      <c r="K373" s="155"/>
      <c r="L373" s="156"/>
      <c r="M373" s="155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153" t="str">
        <f t="shared" si="5"/>
        <v/>
      </c>
      <c r="B374" s="158" t="str">
        <f t="shared" si="7"/>
        <v/>
      </c>
      <c r="C374" s="154"/>
      <c r="D374" s="155"/>
      <c r="E374" s="156" t="str">
        <f>IFERROR(VLOOKUP(D374,'🗂️ DATA_ESCUELAS'!$A:$D,2,0),"")</f>
        <v/>
      </c>
      <c r="F374" s="156" t="str">
        <f>IFERROR(VLOOKUP(D374,'🗂️ DATA_ESCUELAS'!$A:$D,3,0),"")</f>
        <v/>
      </c>
      <c r="G374" s="156"/>
      <c r="H374" s="157"/>
      <c r="I374" s="157"/>
      <c r="J374" s="156"/>
      <c r="K374" s="155"/>
      <c r="L374" s="156"/>
      <c r="M374" s="155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153" t="str">
        <f t="shared" si="5"/>
        <v/>
      </c>
      <c r="B375" s="158" t="str">
        <f t="shared" si="7"/>
        <v/>
      </c>
      <c r="C375" s="154"/>
      <c r="D375" s="155"/>
      <c r="E375" s="156" t="str">
        <f>IFERROR(VLOOKUP(D375,'🗂️ DATA_ESCUELAS'!$A:$D,2,0),"")</f>
        <v/>
      </c>
      <c r="F375" s="156" t="str">
        <f>IFERROR(VLOOKUP(D375,'🗂️ DATA_ESCUELAS'!$A:$D,3,0),"")</f>
        <v/>
      </c>
      <c r="G375" s="156"/>
      <c r="H375" s="157"/>
      <c r="I375" s="157"/>
      <c r="J375" s="156"/>
      <c r="K375" s="155"/>
      <c r="L375" s="156"/>
      <c r="M375" s="155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153" t="str">
        <f t="shared" si="5"/>
        <v/>
      </c>
      <c r="B376" s="158" t="str">
        <f t="shared" si="7"/>
        <v/>
      </c>
      <c r="C376" s="154"/>
      <c r="D376" s="155"/>
      <c r="E376" s="156" t="str">
        <f>IFERROR(VLOOKUP(D376,'🗂️ DATA_ESCUELAS'!$A:$D,2,0),"")</f>
        <v/>
      </c>
      <c r="F376" s="156" t="str">
        <f>IFERROR(VLOOKUP(D376,'🗂️ DATA_ESCUELAS'!$A:$D,3,0),"")</f>
        <v/>
      </c>
      <c r="G376" s="156"/>
      <c r="H376" s="157"/>
      <c r="I376" s="157"/>
      <c r="J376" s="156"/>
      <c r="K376" s="155"/>
      <c r="L376" s="156"/>
      <c r="M376" s="155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153" t="str">
        <f t="shared" si="5"/>
        <v/>
      </c>
      <c r="B377" s="158" t="str">
        <f t="shared" si="7"/>
        <v/>
      </c>
      <c r="C377" s="154"/>
      <c r="D377" s="155"/>
      <c r="E377" s="156" t="str">
        <f>IFERROR(VLOOKUP(D377,'🗂️ DATA_ESCUELAS'!$A:$D,2,0),"")</f>
        <v/>
      </c>
      <c r="F377" s="156" t="str">
        <f>IFERROR(VLOOKUP(D377,'🗂️ DATA_ESCUELAS'!$A:$D,3,0),"")</f>
        <v/>
      </c>
      <c r="G377" s="156"/>
      <c r="H377" s="157"/>
      <c r="I377" s="157"/>
      <c r="J377" s="156"/>
      <c r="K377" s="155"/>
      <c r="L377" s="156"/>
      <c r="M377" s="155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153" t="str">
        <f t="shared" si="5"/>
        <v/>
      </c>
      <c r="B378" s="158" t="str">
        <f t="shared" si="7"/>
        <v/>
      </c>
      <c r="C378" s="154"/>
      <c r="D378" s="155"/>
      <c r="E378" s="156" t="str">
        <f>IFERROR(VLOOKUP(D378,'🗂️ DATA_ESCUELAS'!$A:$D,2,0),"")</f>
        <v/>
      </c>
      <c r="F378" s="156" t="str">
        <f>IFERROR(VLOOKUP(D378,'🗂️ DATA_ESCUELAS'!$A:$D,3,0),"")</f>
        <v/>
      </c>
      <c r="G378" s="156"/>
      <c r="H378" s="157"/>
      <c r="I378" s="157"/>
      <c r="J378" s="156"/>
      <c r="K378" s="155"/>
      <c r="L378" s="156"/>
      <c r="M378" s="155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153" t="str">
        <f t="shared" si="5"/>
        <v/>
      </c>
      <c r="B379" s="158" t="str">
        <f t="shared" si="7"/>
        <v/>
      </c>
      <c r="C379" s="154"/>
      <c r="D379" s="155"/>
      <c r="E379" s="156" t="str">
        <f>IFERROR(VLOOKUP(D379,'🗂️ DATA_ESCUELAS'!$A:$D,2,0),"")</f>
        <v/>
      </c>
      <c r="F379" s="156" t="str">
        <f>IFERROR(VLOOKUP(D379,'🗂️ DATA_ESCUELAS'!$A:$D,3,0),"")</f>
        <v/>
      </c>
      <c r="G379" s="156"/>
      <c r="H379" s="157"/>
      <c r="I379" s="157"/>
      <c r="J379" s="156"/>
      <c r="K379" s="155"/>
      <c r="L379" s="156"/>
      <c r="M379" s="155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153" t="str">
        <f t="shared" si="5"/>
        <v/>
      </c>
      <c r="B380" s="158" t="str">
        <f t="shared" si="7"/>
        <v/>
      </c>
      <c r="C380" s="154"/>
      <c r="D380" s="155"/>
      <c r="E380" s="156" t="str">
        <f>IFERROR(VLOOKUP(D380,'🗂️ DATA_ESCUELAS'!$A:$D,2,0),"")</f>
        <v/>
      </c>
      <c r="F380" s="156" t="str">
        <f>IFERROR(VLOOKUP(D380,'🗂️ DATA_ESCUELAS'!$A:$D,3,0),"")</f>
        <v/>
      </c>
      <c r="G380" s="156"/>
      <c r="H380" s="157"/>
      <c r="I380" s="157"/>
      <c r="J380" s="156"/>
      <c r="K380" s="155"/>
      <c r="L380" s="156"/>
      <c r="M380" s="155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153" t="str">
        <f t="shared" si="5"/>
        <v/>
      </c>
      <c r="B381" s="158" t="str">
        <f t="shared" si="7"/>
        <v/>
      </c>
      <c r="C381" s="154"/>
      <c r="D381" s="155"/>
      <c r="E381" s="156" t="str">
        <f>IFERROR(VLOOKUP(D381,'🗂️ DATA_ESCUELAS'!$A:$D,2,0),"")</f>
        <v/>
      </c>
      <c r="F381" s="156" t="str">
        <f>IFERROR(VLOOKUP(D381,'🗂️ DATA_ESCUELAS'!$A:$D,3,0),"")</f>
        <v/>
      </c>
      <c r="G381" s="156"/>
      <c r="H381" s="157"/>
      <c r="I381" s="157"/>
      <c r="J381" s="156"/>
      <c r="K381" s="155"/>
      <c r="L381" s="156"/>
      <c r="M381" s="155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153" t="str">
        <f t="shared" si="5"/>
        <v/>
      </c>
      <c r="B382" s="158" t="str">
        <f t="shared" si="7"/>
        <v/>
      </c>
      <c r="C382" s="154"/>
      <c r="D382" s="155"/>
      <c r="E382" s="156" t="str">
        <f>IFERROR(VLOOKUP(D382,'🗂️ DATA_ESCUELAS'!$A:$D,2,0),"")</f>
        <v/>
      </c>
      <c r="F382" s="156" t="str">
        <f>IFERROR(VLOOKUP(D382,'🗂️ DATA_ESCUELAS'!$A:$D,3,0),"")</f>
        <v/>
      </c>
      <c r="G382" s="156"/>
      <c r="H382" s="157"/>
      <c r="I382" s="157"/>
      <c r="J382" s="156"/>
      <c r="K382" s="155"/>
      <c r="L382" s="156"/>
      <c r="M382" s="155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153" t="str">
        <f t="shared" si="5"/>
        <v/>
      </c>
      <c r="B383" s="158" t="str">
        <f t="shared" si="7"/>
        <v/>
      </c>
      <c r="C383" s="154"/>
      <c r="D383" s="155"/>
      <c r="E383" s="156" t="str">
        <f>IFERROR(VLOOKUP(D383,'🗂️ DATA_ESCUELAS'!$A:$D,2,0),"")</f>
        <v/>
      </c>
      <c r="F383" s="156" t="str">
        <f>IFERROR(VLOOKUP(D383,'🗂️ DATA_ESCUELAS'!$A:$D,3,0),"")</f>
        <v/>
      </c>
      <c r="G383" s="156"/>
      <c r="H383" s="157"/>
      <c r="I383" s="157"/>
      <c r="J383" s="156"/>
      <c r="K383" s="155"/>
      <c r="L383" s="156"/>
      <c r="M383" s="155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153" t="str">
        <f t="shared" si="5"/>
        <v/>
      </c>
      <c r="B384" s="158" t="str">
        <f t="shared" si="7"/>
        <v/>
      </c>
      <c r="C384" s="154"/>
      <c r="D384" s="155"/>
      <c r="E384" s="156" t="str">
        <f>IFERROR(VLOOKUP(D384,'🗂️ DATA_ESCUELAS'!$A:$D,2,0),"")</f>
        <v/>
      </c>
      <c r="F384" s="156" t="str">
        <f>IFERROR(VLOOKUP(D384,'🗂️ DATA_ESCUELAS'!$A:$D,3,0),"")</f>
        <v/>
      </c>
      <c r="G384" s="156"/>
      <c r="H384" s="157"/>
      <c r="I384" s="157"/>
      <c r="J384" s="156"/>
      <c r="K384" s="155"/>
      <c r="L384" s="156"/>
      <c r="M384" s="155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153" t="str">
        <f t="shared" si="5"/>
        <v/>
      </c>
      <c r="B385" s="158" t="str">
        <f t="shared" si="7"/>
        <v/>
      </c>
      <c r="C385" s="154"/>
      <c r="D385" s="155"/>
      <c r="E385" s="156" t="str">
        <f>IFERROR(VLOOKUP(D385,'🗂️ DATA_ESCUELAS'!$A:$D,2,0),"")</f>
        <v/>
      </c>
      <c r="F385" s="156" t="str">
        <f>IFERROR(VLOOKUP(D385,'🗂️ DATA_ESCUELAS'!$A:$D,3,0),"")</f>
        <v/>
      </c>
      <c r="G385" s="156"/>
      <c r="H385" s="157"/>
      <c r="I385" s="157"/>
      <c r="J385" s="156"/>
      <c r="K385" s="155"/>
      <c r="L385" s="156"/>
      <c r="M385" s="155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153" t="str">
        <f t="shared" si="5"/>
        <v/>
      </c>
      <c r="B386" s="158" t="str">
        <f t="shared" si="7"/>
        <v/>
      </c>
      <c r="C386" s="154"/>
      <c r="D386" s="155"/>
      <c r="E386" s="156" t="str">
        <f>IFERROR(VLOOKUP(D386,'🗂️ DATA_ESCUELAS'!$A:$D,2,0),"")</f>
        <v/>
      </c>
      <c r="F386" s="156" t="str">
        <f>IFERROR(VLOOKUP(D386,'🗂️ DATA_ESCUELAS'!$A:$D,3,0),"")</f>
        <v/>
      </c>
      <c r="G386" s="156"/>
      <c r="H386" s="157"/>
      <c r="I386" s="157"/>
      <c r="J386" s="156"/>
      <c r="K386" s="155"/>
      <c r="L386" s="156"/>
      <c r="M386" s="155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153" t="str">
        <f t="shared" si="5"/>
        <v/>
      </c>
      <c r="B387" s="158" t="str">
        <f t="shared" si="7"/>
        <v/>
      </c>
      <c r="C387" s="154"/>
      <c r="D387" s="155"/>
      <c r="E387" s="156" t="str">
        <f>IFERROR(VLOOKUP(D387,'🗂️ DATA_ESCUELAS'!$A:$D,2,0),"")</f>
        <v/>
      </c>
      <c r="F387" s="156" t="str">
        <f>IFERROR(VLOOKUP(D387,'🗂️ DATA_ESCUELAS'!$A:$D,3,0),"")</f>
        <v/>
      </c>
      <c r="G387" s="156"/>
      <c r="H387" s="157"/>
      <c r="I387" s="157"/>
      <c r="J387" s="156"/>
      <c r="K387" s="155"/>
      <c r="L387" s="156"/>
      <c r="M387" s="155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153" t="str">
        <f t="shared" si="5"/>
        <v/>
      </c>
      <c r="B388" s="158" t="str">
        <f t="shared" si="7"/>
        <v/>
      </c>
      <c r="C388" s="154"/>
      <c r="D388" s="155"/>
      <c r="E388" s="156" t="str">
        <f>IFERROR(VLOOKUP(D388,'🗂️ DATA_ESCUELAS'!$A:$D,2,0),"")</f>
        <v/>
      </c>
      <c r="F388" s="156" t="str">
        <f>IFERROR(VLOOKUP(D388,'🗂️ DATA_ESCUELAS'!$A:$D,3,0),"")</f>
        <v/>
      </c>
      <c r="G388" s="156"/>
      <c r="H388" s="157"/>
      <c r="I388" s="157"/>
      <c r="J388" s="156"/>
      <c r="K388" s="155"/>
      <c r="L388" s="156"/>
      <c r="M388" s="155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153" t="str">
        <f t="shared" si="5"/>
        <v/>
      </c>
      <c r="B389" s="158" t="str">
        <f t="shared" si="7"/>
        <v/>
      </c>
      <c r="C389" s="154"/>
      <c r="D389" s="155"/>
      <c r="E389" s="156" t="str">
        <f>IFERROR(VLOOKUP(D389,'🗂️ DATA_ESCUELAS'!$A:$D,2,0),"")</f>
        <v/>
      </c>
      <c r="F389" s="156" t="str">
        <f>IFERROR(VLOOKUP(D389,'🗂️ DATA_ESCUELAS'!$A:$D,3,0),"")</f>
        <v/>
      </c>
      <c r="G389" s="156"/>
      <c r="H389" s="157"/>
      <c r="I389" s="157"/>
      <c r="J389" s="156"/>
      <c r="K389" s="155"/>
      <c r="L389" s="156"/>
      <c r="M389" s="155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153" t="str">
        <f t="shared" si="5"/>
        <v/>
      </c>
      <c r="B390" s="158" t="str">
        <f t="shared" si="7"/>
        <v/>
      </c>
      <c r="C390" s="154"/>
      <c r="D390" s="155"/>
      <c r="E390" s="156" t="str">
        <f>IFERROR(VLOOKUP(D390,'🗂️ DATA_ESCUELAS'!$A:$D,2,0),"")</f>
        <v/>
      </c>
      <c r="F390" s="156" t="str">
        <f>IFERROR(VLOOKUP(D390,'🗂️ DATA_ESCUELAS'!$A:$D,3,0),"")</f>
        <v/>
      </c>
      <c r="G390" s="156"/>
      <c r="H390" s="157"/>
      <c r="I390" s="157"/>
      <c r="J390" s="156"/>
      <c r="K390" s="155"/>
      <c r="L390" s="156"/>
      <c r="M390" s="155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153" t="str">
        <f t="shared" si="5"/>
        <v/>
      </c>
      <c r="B391" s="158" t="str">
        <f t="shared" si="7"/>
        <v/>
      </c>
      <c r="C391" s="154"/>
      <c r="D391" s="155"/>
      <c r="E391" s="156" t="str">
        <f>IFERROR(VLOOKUP(D391,'🗂️ DATA_ESCUELAS'!$A:$D,2,0),"")</f>
        <v/>
      </c>
      <c r="F391" s="156" t="str">
        <f>IFERROR(VLOOKUP(D391,'🗂️ DATA_ESCUELAS'!$A:$D,3,0),"")</f>
        <v/>
      </c>
      <c r="G391" s="156"/>
      <c r="H391" s="157"/>
      <c r="I391" s="157"/>
      <c r="J391" s="156"/>
      <c r="K391" s="155"/>
      <c r="L391" s="156"/>
      <c r="M391" s="155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153" t="str">
        <f t="shared" si="5"/>
        <v/>
      </c>
      <c r="B392" s="158" t="str">
        <f t="shared" si="7"/>
        <v/>
      </c>
      <c r="C392" s="154"/>
      <c r="D392" s="155"/>
      <c r="E392" s="156" t="str">
        <f>IFERROR(VLOOKUP(D392,'🗂️ DATA_ESCUELAS'!$A:$D,2,0),"")</f>
        <v/>
      </c>
      <c r="F392" s="156" t="str">
        <f>IFERROR(VLOOKUP(D392,'🗂️ DATA_ESCUELAS'!$A:$D,3,0),"")</f>
        <v/>
      </c>
      <c r="G392" s="156"/>
      <c r="H392" s="157"/>
      <c r="I392" s="157"/>
      <c r="J392" s="156"/>
      <c r="K392" s="155"/>
      <c r="L392" s="156"/>
      <c r="M392" s="155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153" t="str">
        <f t="shared" si="5"/>
        <v/>
      </c>
      <c r="B393" s="158" t="str">
        <f t="shared" si="7"/>
        <v/>
      </c>
      <c r="C393" s="154"/>
      <c r="D393" s="155"/>
      <c r="E393" s="156" t="str">
        <f>IFERROR(VLOOKUP(D393,'🗂️ DATA_ESCUELAS'!$A:$D,2,0),"")</f>
        <v/>
      </c>
      <c r="F393" s="156" t="str">
        <f>IFERROR(VLOOKUP(D393,'🗂️ DATA_ESCUELAS'!$A:$D,3,0),"")</f>
        <v/>
      </c>
      <c r="G393" s="156"/>
      <c r="H393" s="157"/>
      <c r="I393" s="157"/>
      <c r="J393" s="156"/>
      <c r="K393" s="155"/>
      <c r="L393" s="156"/>
      <c r="M393" s="155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153" t="str">
        <f t="shared" si="5"/>
        <v/>
      </c>
      <c r="B394" s="158" t="str">
        <f t="shared" si="7"/>
        <v/>
      </c>
      <c r="C394" s="154"/>
      <c r="D394" s="155"/>
      <c r="E394" s="156" t="str">
        <f>IFERROR(VLOOKUP(D394,'🗂️ DATA_ESCUELAS'!$A:$D,2,0),"")</f>
        <v/>
      </c>
      <c r="F394" s="156" t="str">
        <f>IFERROR(VLOOKUP(D394,'🗂️ DATA_ESCUELAS'!$A:$D,3,0),"")</f>
        <v/>
      </c>
      <c r="G394" s="156"/>
      <c r="H394" s="157"/>
      <c r="I394" s="157"/>
      <c r="J394" s="156"/>
      <c r="K394" s="155"/>
      <c r="L394" s="156"/>
      <c r="M394" s="155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153" t="str">
        <f t="shared" si="5"/>
        <v/>
      </c>
      <c r="B395" s="158" t="str">
        <f t="shared" si="7"/>
        <v/>
      </c>
      <c r="C395" s="154"/>
      <c r="D395" s="155"/>
      <c r="E395" s="156" t="str">
        <f>IFERROR(VLOOKUP(D395,'🗂️ DATA_ESCUELAS'!$A:$D,2,0),"")</f>
        <v/>
      </c>
      <c r="F395" s="156" t="str">
        <f>IFERROR(VLOOKUP(D395,'🗂️ DATA_ESCUELAS'!$A:$D,3,0),"")</f>
        <v/>
      </c>
      <c r="G395" s="156"/>
      <c r="H395" s="157"/>
      <c r="I395" s="157"/>
      <c r="J395" s="156"/>
      <c r="K395" s="155"/>
      <c r="L395" s="156"/>
      <c r="M395" s="155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153" t="str">
        <f t="shared" si="5"/>
        <v/>
      </c>
      <c r="B396" s="158" t="str">
        <f t="shared" si="7"/>
        <v/>
      </c>
      <c r="C396" s="154"/>
      <c r="D396" s="155"/>
      <c r="E396" s="156" t="str">
        <f>IFERROR(VLOOKUP(D396,'🗂️ DATA_ESCUELAS'!$A:$D,2,0),"")</f>
        <v/>
      </c>
      <c r="F396" s="156" t="str">
        <f>IFERROR(VLOOKUP(D396,'🗂️ DATA_ESCUELAS'!$A:$D,3,0),"")</f>
        <v/>
      </c>
      <c r="G396" s="156"/>
      <c r="H396" s="157"/>
      <c r="I396" s="157"/>
      <c r="J396" s="156"/>
      <c r="K396" s="155"/>
      <c r="L396" s="156"/>
      <c r="M396" s="155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153" t="str">
        <f t="shared" si="5"/>
        <v/>
      </c>
      <c r="B397" s="158" t="str">
        <f t="shared" si="7"/>
        <v/>
      </c>
      <c r="C397" s="154"/>
      <c r="D397" s="155"/>
      <c r="E397" s="156" t="str">
        <f>IFERROR(VLOOKUP(D397,'🗂️ DATA_ESCUELAS'!$A:$D,2,0),"")</f>
        <v/>
      </c>
      <c r="F397" s="156" t="str">
        <f>IFERROR(VLOOKUP(D397,'🗂️ DATA_ESCUELAS'!$A:$D,3,0),"")</f>
        <v/>
      </c>
      <c r="G397" s="156"/>
      <c r="H397" s="157"/>
      <c r="I397" s="157"/>
      <c r="J397" s="156"/>
      <c r="K397" s="155"/>
      <c r="L397" s="156"/>
      <c r="M397" s="155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153" t="str">
        <f t="shared" si="5"/>
        <v/>
      </c>
      <c r="B398" s="158" t="str">
        <f t="shared" si="7"/>
        <v/>
      </c>
      <c r="C398" s="154"/>
      <c r="D398" s="155"/>
      <c r="E398" s="156" t="str">
        <f>IFERROR(VLOOKUP(D398,'🗂️ DATA_ESCUELAS'!$A:$D,2,0),"")</f>
        <v/>
      </c>
      <c r="F398" s="156" t="str">
        <f>IFERROR(VLOOKUP(D398,'🗂️ DATA_ESCUELAS'!$A:$D,3,0),"")</f>
        <v/>
      </c>
      <c r="G398" s="156"/>
      <c r="H398" s="157"/>
      <c r="I398" s="157"/>
      <c r="J398" s="156"/>
      <c r="K398" s="155"/>
      <c r="L398" s="156"/>
      <c r="M398" s="155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153" t="str">
        <f t="shared" si="5"/>
        <v/>
      </c>
      <c r="B399" s="158" t="str">
        <f t="shared" si="7"/>
        <v/>
      </c>
      <c r="C399" s="154"/>
      <c r="D399" s="155"/>
      <c r="E399" s="156" t="str">
        <f>IFERROR(VLOOKUP(D399,'🗂️ DATA_ESCUELAS'!$A:$D,2,0),"")</f>
        <v/>
      </c>
      <c r="F399" s="156" t="str">
        <f>IFERROR(VLOOKUP(D399,'🗂️ DATA_ESCUELAS'!$A:$D,3,0),"")</f>
        <v/>
      </c>
      <c r="G399" s="156"/>
      <c r="H399" s="157"/>
      <c r="I399" s="157"/>
      <c r="J399" s="156"/>
      <c r="K399" s="155"/>
      <c r="L399" s="156"/>
      <c r="M399" s="155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153" t="str">
        <f t="shared" si="5"/>
        <v/>
      </c>
      <c r="B400" s="158" t="str">
        <f t="shared" si="7"/>
        <v/>
      </c>
      <c r="C400" s="154"/>
      <c r="D400" s="155"/>
      <c r="E400" s="156" t="str">
        <f>IFERROR(VLOOKUP(D400,'🗂️ DATA_ESCUELAS'!$A:$D,2,0),"")</f>
        <v/>
      </c>
      <c r="F400" s="156" t="str">
        <f>IFERROR(VLOOKUP(D400,'🗂️ DATA_ESCUELAS'!$A:$D,3,0),"")</f>
        <v/>
      </c>
      <c r="G400" s="156"/>
      <c r="H400" s="157"/>
      <c r="I400" s="157"/>
      <c r="J400" s="156"/>
      <c r="K400" s="155"/>
      <c r="L400" s="156"/>
      <c r="M400" s="155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153" t="str">
        <f t="shared" si="5"/>
        <v/>
      </c>
      <c r="B401" s="158" t="str">
        <f t="shared" si="7"/>
        <v/>
      </c>
      <c r="C401" s="154"/>
      <c r="D401" s="155"/>
      <c r="E401" s="156" t="str">
        <f>IFERROR(VLOOKUP(D401,'🗂️ DATA_ESCUELAS'!$A:$D,2,0),"")</f>
        <v/>
      </c>
      <c r="F401" s="156" t="str">
        <f>IFERROR(VLOOKUP(D401,'🗂️ DATA_ESCUELAS'!$A:$D,3,0),"")</f>
        <v/>
      </c>
      <c r="G401" s="156"/>
      <c r="H401" s="157"/>
      <c r="I401" s="157"/>
      <c r="J401" s="156"/>
      <c r="K401" s="155"/>
      <c r="L401" s="156"/>
      <c r="M401" s="155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153" t="str">
        <f t="shared" si="5"/>
        <v/>
      </c>
      <c r="B402" s="158" t="str">
        <f t="shared" si="7"/>
        <v/>
      </c>
      <c r="C402" s="154"/>
      <c r="D402" s="155"/>
      <c r="E402" s="156" t="str">
        <f>IFERROR(VLOOKUP(D402,'🗂️ DATA_ESCUELAS'!$A:$D,2,0),"")</f>
        <v/>
      </c>
      <c r="F402" s="156" t="str">
        <f>IFERROR(VLOOKUP(D402,'🗂️ DATA_ESCUELAS'!$A:$D,3,0),"")</f>
        <v/>
      </c>
      <c r="G402" s="156"/>
      <c r="H402" s="157"/>
      <c r="I402" s="157"/>
      <c r="J402" s="156"/>
      <c r="K402" s="155"/>
      <c r="L402" s="156"/>
      <c r="M402" s="155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153" t="str">
        <f t="shared" si="5"/>
        <v/>
      </c>
      <c r="B403" s="158" t="str">
        <f t="shared" si="7"/>
        <v/>
      </c>
      <c r="C403" s="154"/>
      <c r="D403" s="155"/>
      <c r="E403" s="156" t="str">
        <f>IFERROR(VLOOKUP(D403,'🗂️ DATA_ESCUELAS'!$A:$D,2,0),"")</f>
        <v/>
      </c>
      <c r="F403" s="156" t="str">
        <f>IFERROR(VLOOKUP(D403,'🗂️ DATA_ESCUELAS'!$A:$D,3,0),"")</f>
        <v/>
      </c>
      <c r="G403" s="156"/>
      <c r="H403" s="157"/>
      <c r="I403" s="157"/>
      <c r="J403" s="156"/>
      <c r="K403" s="155"/>
      <c r="L403" s="156"/>
      <c r="M403" s="155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153" t="str">
        <f t="shared" si="5"/>
        <v/>
      </c>
      <c r="B404" s="158" t="str">
        <f t="shared" si="7"/>
        <v/>
      </c>
      <c r="C404" s="154"/>
      <c r="D404" s="155"/>
      <c r="E404" s="156" t="str">
        <f>IFERROR(VLOOKUP(D404,'🗂️ DATA_ESCUELAS'!$A:$D,2,0),"")</f>
        <v/>
      </c>
      <c r="F404" s="156" t="str">
        <f>IFERROR(VLOOKUP(D404,'🗂️ DATA_ESCUELAS'!$A:$D,3,0),"")</f>
        <v/>
      </c>
      <c r="G404" s="156"/>
      <c r="H404" s="157"/>
      <c r="I404" s="157"/>
      <c r="J404" s="156"/>
      <c r="K404" s="155"/>
      <c r="L404" s="156"/>
      <c r="M404" s="155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153" t="str">
        <f t="shared" si="5"/>
        <v/>
      </c>
      <c r="B405" s="158" t="str">
        <f t="shared" si="7"/>
        <v/>
      </c>
      <c r="C405" s="154"/>
      <c r="D405" s="155"/>
      <c r="E405" s="156" t="str">
        <f>IFERROR(VLOOKUP(D405,'🗂️ DATA_ESCUELAS'!$A:$D,2,0),"")</f>
        <v/>
      </c>
      <c r="F405" s="156" t="str">
        <f>IFERROR(VLOOKUP(D405,'🗂️ DATA_ESCUELAS'!$A:$D,3,0),"")</f>
        <v/>
      </c>
      <c r="G405" s="156"/>
      <c r="H405" s="157"/>
      <c r="I405" s="157"/>
      <c r="J405" s="156"/>
      <c r="K405" s="155"/>
      <c r="L405" s="156"/>
      <c r="M405" s="155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153" t="str">
        <f t="shared" si="5"/>
        <v/>
      </c>
      <c r="B406" s="158" t="str">
        <f t="shared" si="7"/>
        <v/>
      </c>
      <c r="C406" s="154"/>
      <c r="D406" s="155"/>
      <c r="E406" s="156" t="str">
        <f>IFERROR(VLOOKUP(D406,'🗂️ DATA_ESCUELAS'!$A:$D,2,0),"")</f>
        <v/>
      </c>
      <c r="F406" s="156" t="str">
        <f>IFERROR(VLOOKUP(D406,'🗂️ DATA_ESCUELAS'!$A:$D,3,0),"")</f>
        <v/>
      </c>
      <c r="G406" s="156"/>
      <c r="H406" s="157"/>
      <c r="I406" s="157"/>
      <c r="J406" s="156"/>
      <c r="K406" s="155"/>
      <c r="L406" s="156"/>
      <c r="M406" s="155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153" t="str">
        <f t="shared" si="5"/>
        <v/>
      </c>
      <c r="B407" s="158" t="str">
        <f t="shared" si="7"/>
        <v/>
      </c>
      <c r="C407" s="154"/>
      <c r="D407" s="155"/>
      <c r="E407" s="156" t="str">
        <f>IFERROR(VLOOKUP(D407,'🗂️ DATA_ESCUELAS'!$A:$D,2,0),"")</f>
        <v/>
      </c>
      <c r="F407" s="156" t="str">
        <f>IFERROR(VLOOKUP(D407,'🗂️ DATA_ESCUELAS'!$A:$D,3,0),"")</f>
        <v/>
      </c>
      <c r="G407" s="156"/>
      <c r="H407" s="157"/>
      <c r="I407" s="157"/>
      <c r="J407" s="156"/>
      <c r="K407" s="155"/>
      <c r="L407" s="156"/>
      <c r="M407" s="155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153" t="str">
        <f t="shared" si="5"/>
        <v/>
      </c>
      <c r="B408" s="158" t="str">
        <f t="shared" si="7"/>
        <v/>
      </c>
      <c r="C408" s="154"/>
      <c r="D408" s="155"/>
      <c r="E408" s="156" t="str">
        <f>IFERROR(VLOOKUP(D408,'🗂️ DATA_ESCUELAS'!$A:$D,2,0),"")</f>
        <v/>
      </c>
      <c r="F408" s="156" t="str">
        <f>IFERROR(VLOOKUP(D408,'🗂️ DATA_ESCUELAS'!$A:$D,3,0),"")</f>
        <v/>
      </c>
      <c r="G408" s="156"/>
      <c r="H408" s="157"/>
      <c r="I408" s="157"/>
      <c r="J408" s="156"/>
      <c r="K408" s="155"/>
      <c r="L408" s="156"/>
      <c r="M408" s="155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153" t="str">
        <f t="shared" si="5"/>
        <v/>
      </c>
      <c r="B409" s="158" t="str">
        <f t="shared" si="7"/>
        <v/>
      </c>
      <c r="C409" s="154"/>
      <c r="D409" s="155"/>
      <c r="E409" s="156" t="str">
        <f>IFERROR(VLOOKUP(D409,'🗂️ DATA_ESCUELAS'!$A:$D,2,0),"")</f>
        <v/>
      </c>
      <c r="F409" s="156" t="str">
        <f>IFERROR(VLOOKUP(D409,'🗂️ DATA_ESCUELAS'!$A:$D,3,0),"")</f>
        <v/>
      </c>
      <c r="G409" s="156"/>
      <c r="H409" s="157"/>
      <c r="I409" s="157"/>
      <c r="J409" s="156"/>
      <c r="K409" s="155"/>
      <c r="L409" s="156"/>
      <c r="M409" s="155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153" t="str">
        <f t="shared" si="5"/>
        <v/>
      </c>
      <c r="B410" s="158" t="str">
        <f t="shared" si="7"/>
        <v/>
      </c>
      <c r="C410" s="154"/>
      <c r="D410" s="155"/>
      <c r="E410" s="156" t="str">
        <f>IFERROR(VLOOKUP(D410,'🗂️ DATA_ESCUELAS'!$A:$D,2,0),"")</f>
        <v/>
      </c>
      <c r="F410" s="156" t="str">
        <f>IFERROR(VLOOKUP(D410,'🗂️ DATA_ESCUELAS'!$A:$D,3,0),"")</f>
        <v/>
      </c>
      <c r="G410" s="156"/>
      <c r="H410" s="157"/>
      <c r="I410" s="157"/>
      <c r="J410" s="156"/>
      <c r="K410" s="155"/>
      <c r="L410" s="156"/>
      <c r="M410" s="155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153" t="str">
        <f t="shared" si="5"/>
        <v/>
      </c>
      <c r="B411" s="158" t="str">
        <f t="shared" si="7"/>
        <v/>
      </c>
      <c r="C411" s="154"/>
      <c r="D411" s="155"/>
      <c r="E411" s="156" t="str">
        <f>IFERROR(VLOOKUP(D411,'🗂️ DATA_ESCUELAS'!$A:$D,2,0),"")</f>
        <v/>
      </c>
      <c r="F411" s="156" t="str">
        <f>IFERROR(VLOOKUP(D411,'🗂️ DATA_ESCUELAS'!$A:$D,3,0),"")</f>
        <v/>
      </c>
      <c r="G411" s="156"/>
      <c r="H411" s="157"/>
      <c r="I411" s="157"/>
      <c r="J411" s="156"/>
      <c r="K411" s="155"/>
      <c r="L411" s="156"/>
      <c r="M411" s="155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153" t="str">
        <f t="shared" si="5"/>
        <v/>
      </c>
      <c r="B412" s="158" t="str">
        <f t="shared" si="7"/>
        <v/>
      </c>
      <c r="C412" s="154"/>
      <c r="D412" s="155"/>
      <c r="E412" s="156" t="str">
        <f>IFERROR(VLOOKUP(D412,'🗂️ DATA_ESCUELAS'!$A:$D,2,0),"")</f>
        <v/>
      </c>
      <c r="F412" s="156" t="str">
        <f>IFERROR(VLOOKUP(D412,'🗂️ DATA_ESCUELAS'!$A:$D,3,0),"")</f>
        <v/>
      </c>
      <c r="G412" s="156"/>
      <c r="H412" s="157"/>
      <c r="I412" s="157"/>
      <c r="J412" s="156"/>
      <c r="K412" s="155"/>
      <c r="L412" s="156"/>
      <c r="M412" s="155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153" t="str">
        <f t="shared" si="5"/>
        <v/>
      </c>
      <c r="B413" s="158" t="str">
        <f t="shared" si="7"/>
        <v/>
      </c>
      <c r="C413" s="154"/>
      <c r="D413" s="155"/>
      <c r="E413" s="156" t="str">
        <f>IFERROR(VLOOKUP(D413,'🗂️ DATA_ESCUELAS'!$A:$D,2,0),"")</f>
        <v/>
      </c>
      <c r="F413" s="156" t="str">
        <f>IFERROR(VLOOKUP(D413,'🗂️ DATA_ESCUELAS'!$A:$D,3,0),"")</f>
        <v/>
      </c>
      <c r="G413" s="156"/>
      <c r="H413" s="157"/>
      <c r="I413" s="157"/>
      <c r="J413" s="156"/>
      <c r="K413" s="155"/>
      <c r="L413" s="156"/>
      <c r="M413" s="155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153" t="str">
        <f t="shared" si="5"/>
        <v/>
      </c>
      <c r="B414" s="158" t="str">
        <f t="shared" si="7"/>
        <v/>
      </c>
      <c r="C414" s="154"/>
      <c r="D414" s="155"/>
      <c r="E414" s="156" t="str">
        <f>IFERROR(VLOOKUP(D414,'🗂️ DATA_ESCUELAS'!$A:$D,2,0),"")</f>
        <v/>
      </c>
      <c r="F414" s="156" t="str">
        <f>IFERROR(VLOOKUP(D414,'🗂️ DATA_ESCUELAS'!$A:$D,3,0),"")</f>
        <v/>
      </c>
      <c r="G414" s="156"/>
      <c r="H414" s="157"/>
      <c r="I414" s="157"/>
      <c r="J414" s="156"/>
      <c r="K414" s="155"/>
      <c r="L414" s="156"/>
      <c r="M414" s="155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153" t="str">
        <f t="shared" si="5"/>
        <v/>
      </c>
      <c r="B415" s="158" t="str">
        <f t="shared" si="7"/>
        <v/>
      </c>
      <c r="C415" s="154"/>
      <c r="D415" s="155"/>
      <c r="E415" s="156" t="str">
        <f>IFERROR(VLOOKUP(D415,'🗂️ DATA_ESCUELAS'!$A:$D,2,0),"")</f>
        <v/>
      </c>
      <c r="F415" s="156" t="str">
        <f>IFERROR(VLOOKUP(D415,'🗂️ DATA_ESCUELAS'!$A:$D,3,0),"")</f>
        <v/>
      </c>
      <c r="G415" s="156"/>
      <c r="H415" s="157"/>
      <c r="I415" s="157"/>
      <c r="J415" s="156"/>
      <c r="K415" s="155"/>
      <c r="L415" s="156"/>
      <c r="M415" s="155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153" t="str">
        <f t="shared" si="5"/>
        <v/>
      </c>
      <c r="B416" s="158" t="str">
        <f t="shared" si="7"/>
        <v/>
      </c>
      <c r="C416" s="154"/>
      <c r="D416" s="155"/>
      <c r="E416" s="156" t="str">
        <f>IFERROR(VLOOKUP(D416,'🗂️ DATA_ESCUELAS'!$A:$D,2,0),"")</f>
        <v/>
      </c>
      <c r="F416" s="156" t="str">
        <f>IFERROR(VLOOKUP(D416,'🗂️ DATA_ESCUELAS'!$A:$D,3,0),"")</f>
        <v/>
      </c>
      <c r="G416" s="156"/>
      <c r="H416" s="157"/>
      <c r="I416" s="157"/>
      <c r="J416" s="156"/>
      <c r="K416" s="155"/>
      <c r="L416" s="156"/>
      <c r="M416" s="155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153" t="str">
        <f t="shared" si="5"/>
        <v/>
      </c>
      <c r="B417" s="158" t="str">
        <f t="shared" si="7"/>
        <v/>
      </c>
      <c r="C417" s="154"/>
      <c r="D417" s="155"/>
      <c r="E417" s="156" t="str">
        <f>IFERROR(VLOOKUP(D417,'🗂️ DATA_ESCUELAS'!$A:$D,2,0),"")</f>
        <v/>
      </c>
      <c r="F417" s="156" t="str">
        <f>IFERROR(VLOOKUP(D417,'🗂️ DATA_ESCUELAS'!$A:$D,3,0),"")</f>
        <v/>
      </c>
      <c r="G417" s="156"/>
      <c r="H417" s="157"/>
      <c r="I417" s="157"/>
      <c r="J417" s="156"/>
      <c r="K417" s="155"/>
      <c r="L417" s="156"/>
      <c r="M417" s="155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153" t="str">
        <f t="shared" si="5"/>
        <v/>
      </c>
      <c r="B418" s="158" t="str">
        <f t="shared" si="7"/>
        <v/>
      </c>
      <c r="C418" s="154"/>
      <c r="D418" s="155"/>
      <c r="E418" s="156" t="str">
        <f>IFERROR(VLOOKUP(D418,'🗂️ DATA_ESCUELAS'!$A:$D,2,0),"")</f>
        <v/>
      </c>
      <c r="F418" s="156" t="str">
        <f>IFERROR(VLOOKUP(D418,'🗂️ DATA_ESCUELAS'!$A:$D,3,0),"")</f>
        <v/>
      </c>
      <c r="G418" s="156"/>
      <c r="H418" s="157"/>
      <c r="I418" s="157"/>
      <c r="J418" s="156"/>
      <c r="K418" s="155"/>
      <c r="L418" s="156"/>
      <c r="M418" s="155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153" t="str">
        <f t="shared" si="5"/>
        <v/>
      </c>
      <c r="B419" s="158" t="str">
        <f t="shared" si="7"/>
        <v/>
      </c>
      <c r="C419" s="154"/>
      <c r="D419" s="155"/>
      <c r="E419" s="156" t="str">
        <f>IFERROR(VLOOKUP(D419,'🗂️ DATA_ESCUELAS'!$A:$D,2,0),"")</f>
        <v/>
      </c>
      <c r="F419" s="156" t="str">
        <f>IFERROR(VLOOKUP(D419,'🗂️ DATA_ESCUELAS'!$A:$D,3,0),"")</f>
        <v/>
      </c>
      <c r="G419" s="156"/>
      <c r="H419" s="157"/>
      <c r="I419" s="157"/>
      <c r="J419" s="156"/>
      <c r="K419" s="155"/>
      <c r="L419" s="156"/>
      <c r="M419" s="155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153" t="str">
        <f t="shared" si="5"/>
        <v/>
      </c>
      <c r="B420" s="158" t="str">
        <f t="shared" si="7"/>
        <v/>
      </c>
      <c r="C420" s="154"/>
      <c r="D420" s="155"/>
      <c r="E420" s="156" t="str">
        <f>IFERROR(VLOOKUP(D420,'🗂️ DATA_ESCUELAS'!$A:$D,2,0),"")</f>
        <v/>
      </c>
      <c r="F420" s="156" t="str">
        <f>IFERROR(VLOOKUP(D420,'🗂️ DATA_ESCUELAS'!$A:$D,3,0),"")</f>
        <v/>
      </c>
      <c r="G420" s="156"/>
      <c r="H420" s="157"/>
      <c r="I420" s="157"/>
      <c r="J420" s="156"/>
      <c r="K420" s="155"/>
      <c r="L420" s="156"/>
      <c r="M420" s="155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153" t="str">
        <f t="shared" si="5"/>
        <v/>
      </c>
      <c r="B421" s="158" t="str">
        <f t="shared" si="7"/>
        <v/>
      </c>
      <c r="C421" s="154"/>
      <c r="D421" s="155"/>
      <c r="E421" s="156" t="str">
        <f>IFERROR(VLOOKUP(D421,'🗂️ DATA_ESCUELAS'!$A:$D,2,0),"")</f>
        <v/>
      </c>
      <c r="F421" s="156" t="str">
        <f>IFERROR(VLOOKUP(D421,'🗂️ DATA_ESCUELAS'!$A:$D,3,0),"")</f>
        <v/>
      </c>
      <c r="G421" s="156"/>
      <c r="H421" s="157"/>
      <c r="I421" s="157"/>
      <c r="J421" s="156"/>
      <c r="K421" s="155"/>
      <c r="L421" s="156"/>
      <c r="M421" s="155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153" t="str">
        <f t="shared" si="5"/>
        <v/>
      </c>
      <c r="B422" s="158" t="str">
        <f t="shared" si="7"/>
        <v/>
      </c>
      <c r="C422" s="154"/>
      <c r="D422" s="155"/>
      <c r="E422" s="156" t="str">
        <f>IFERROR(VLOOKUP(D422,'🗂️ DATA_ESCUELAS'!$A:$D,2,0),"")</f>
        <v/>
      </c>
      <c r="F422" s="156" t="str">
        <f>IFERROR(VLOOKUP(D422,'🗂️ DATA_ESCUELAS'!$A:$D,3,0),"")</f>
        <v/>
      </c>
      <c r="G422" s="156"/>
      <c r="H422" s="157"/>
      <c r="I422" s="157"/>
      <c r="J422" s="156"/>
      <c r="K422" s="155"/>
      <c r="L422" s="156"/>
      <c r="M422" s="155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153" t="str">
        <f t="shared" si="5"/>
        <v/>
      </c>
      <c r="B423" s="158" t="str">
        <f t="shared" si="7"/>
        <v/>
      </c>
      <c r="C423" s="154"/>
      <c r="D423" s="155"/>
      <c r="E423" s="156" t="str">
        <f>IFERROR(VLOOKUP(D423,'🗂️ DATA_ESCUELAS'!$A:$D,2,0),"")</f>
        <v/>
      </c>
      <c r="F423" s="156" t="str">
        <f>IFERROR(VLOOKUP(D423,'🗂️ DATA_ESCUELAS'!$A:$D,3,0),"")</f>
        <v/>
      </c>
      <c r="G423" s="156"/>
      <c r="H423" s="157"/>
      <c r="I423" s="157"/>
      <c r="J423" s="156"/>
      <c r="K423" s="155"/>
      <c r="L423" s="156"/>
      <c r="M423" s="155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153" t="str">
        <f t="shared" si="5"/>
        <v/>
      </c>
      <c r="B424" s="158" t="str">
        <f t="shared" si="7"/>
        <v/>
      </c>
      <c r="C424" s="154"/>
      <c r="D424" s="155"/>
      <c r="E424" s="156" t="str">
        <f>IFERROR(VLOOKUP(D424,'🗂️ DATA_ESCUELAS'!$A:$D,2,0),"")</f>
        <v/>
      </c>
      <c r="F424" s="156" t="str">
        <f>IFERROR(VLOOKUP(D424,'🗂️ DATA_ESCUELAS'!$A:$D,3,0),"")</f>
        <v/>
      </c>
      <c r="G424" s="156"/>
      <c r="H424" s="157"/>
      <c r="I424" s="157"/>
      <c r="J424" s="156"/>
      <c r="K424" s="155"/>
      <c r="L424" s="156"/>
      <c r="M424" s="155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153" t="str">
        <f t="shared" si="5"/>
        <v/>
      </c>
      <c r="B425" s="158" t="str">
        <f t="shared" si="7"/>
        <v/>
      </c>
      <c r="C425" s="154"/>
      <c r="D425" s="155"/>
      <c r="E425" s="156" t="str">
        <f>IFERROR(VLOOKUP(D425,'🗂️ DATA_ESCUELAS'!$A:$D,2,0),"")</f>
        <v/>
      </c>
      <c r="F425" s="156" t="str">
        <f>IFERROR(VLOOKUP(D425,'🗂️ DATA_ESCUELAS'!$A:$D,3,0),"")</f>
        <v/>
      </c>
      <c r="G425" s="156"/>
      <c r="H425" s="157"/>
      <c r="I425" s="157"/>
      <c r="J425" s="156"/>
      <c r="K425" s="155"/>
      <c r="L425" s="156"/>
      <c r="M425" s="155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153" t="str">
        <f t="shared" si="5"/>
        <v/>
      </c>
      <c r="B426" s="158" t="str">
        <f t="shared" si="7"/>
        <v/>
      </c>
      <c r="C426" s="154"/>
      <c r="D426" s="155"/>
      <c r="E426" s="156" t="str">
        <f>IFERROR(VLOOKUP(D426,'🗂️ DATA_ESCUELAS'!$A:$D,2,0),"")</f>
        <v/>
      </c>
      <c r="F426" s="156" t="str">
        <f>IFERROR(VLOOKUP(D426,'🗂️ DATA_ESCUELAS'!$A:$D,3,0),"")</f>
        <v/>
      </c>
      <c r="G426" s="156"/>
      <c r="H426" s="157"/>
      <c r="I426" s="157"/>
      <c r="J426" s="156"/>
      <c r="K426" s="155"/>
      <c r="L426" s="156"/>
      <c r="M426" s="155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153" t="str">
        <f t="shared" si="5"/>
        <v/>
      </c>
      <c r="B427" s="158" t="str">
        <f t="shared" si="7"/>
        <v/>
      </c>
      <c r="C427" s="154"/>
      <c r="D427" s="155"/>
      <c r="E427" s="156" t="str">
        <f>IFERROR(VLOOKUP(D427,'🗂️ DATA_ESCUELAS'!$A:$D,2,0),"")</f>
        <v/>
      </c>
      <c r="F427" s="156" t="str">
        <f>IFERROR(VLOOKUP(D427,'🗂️ DATA_ESCUELAS'!$A:$D,3,0),"")</f>
        <v/>
      </c>
      <c r="G427" s="156"/>
      <c r="H427" s="157"/>
      <c r="I427" s="157"/>
      <c r="J427" s="156"/>
      <c r="K427" s="155"/>
      <c r="L427" s="156"/>
      <c r="M427" s="155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153" t="str">
        <f t="shared" si="5"/>
        <v/>
      </c>
      <c r="B428" s="158" t="str">
        <f t="shared" si="7"/>
        <v/>
      </c>
      <c r="C428" s="154"/>
      <c r="D428" s="155"/>
      <c r="E428" s="156" t="str">
        <f>IFERROR(VLOOKUP(D428,'🗂️ DATA_ESCUELAS'!$A:$D,2,0),"")</f>
        <v/>
      </c>
      <c r="F428" s="156" t="str">
        <f>IFERROR(VLOOKUP(D428,'🗂️ DATA_ESCUELAS'!$A:$D,3,0),"")</f>
        <v/>
      </c>
      <c r="G428" s="156"/>
      <c r="H428" s="157"/>
      <c r="I428" s="157"/>
      <c r="J428" s="156"/>
      <c r="K428" s="155"/>
      <c r="L428" s="156"/>
      <c r="M428" s="155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153" t="str">
        <f t="shared" si="5"/>
        <v/>
      </c>
      <c r="B429" s="158" t="str">
        <f t="shared" si="7"/>
        <v/>
      </c>
      <c r="C429" s="154"/>
      <c r="D429" s="155"/>
      <c r="E429" s="156" t="str">
        <f>IFERROR(VLOOKUP(D429,'🗂️ DATA_ESCUELAS'!$A:$D,2,0),"")</f>
        <v/>
      </c>
      <c r="F429" s="156" t="str">
        <f>IFERROR(VLOOKUP(D429,'🗂️ DATA_ESCUELAS'!$A:$D,3,0),"")</f>
        <v/>
      </c>
      <c r="G429" s="156"/>
      <c r="H429" s="157"/>
      <c r="I429" s="157"/>
      <c r="J429" s="156"/>
      <c r="K429" s="155"/>
      <c r="L429" s="156"/>
      <c r="M429" s="155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153" t="str">
        <f t="shared" si="5"/>
        <v/>
      </c>
      <c r="B430" s="158" t="str">
        <f t="shared" si="7"/>
        <v/>
      </c>
      <c r="C430" s="154"/>
      <c r="D430" s="155"/>
      <c r="E430" s="156" t="str">
        <f>IFERROR(VLOOKUP(D430,'🗂️ DATA_ESCUELAS'!$A:$D,2,0),"")</f>
        <v/>
      </c>
      <c r="F430" s="156" t="str">
        <f>IFERROR(VLOOKUP(D430,'🗂️ DATA_ESCUELAS'!$A:$D,3,0),"")</f>
        <v/>
      </c>
      <c r="G430" s="156"/>
      <c r="H430" s="157"/>
      <c r="I430" s="157"/>
      <c r="J430" s="156"/>
      <c r="K430" s="155"/>
      <c r="L430" s="156"/>
      <c r="M430" s="155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153" t="str">
        <f t="shared" si="5"/>
        <v/>
      </c>
      <c r="B431" s="158" t="str">
        <f t="shared" si="7"/>
        <v/>
      </c>
      <c r="C431" s="154"/>
      <c r="D431" s="155"/>
      <c r="E431" s="156" t="str">
        <f>IFERROR(VLOOKUP(D431,'🗂️ DATA_ESCUELAS'!$A:$D,2,0),"")</f>
        <v/>
      </c>
      <c r="F431" s="156" t="str">
        <f>IFERROR(VLOOKUP(D431,'🗂️ DATA_ESCUELAS'!$A:$D,3,0),"")</f>
        <v/>
      </c>
      <c r="G431" s="156"/>
      <c r="H431" s="157"/>
      <c r="I431" s="157"/>
      <c r="J431" s="156"/>
      <c r="K431" s="155"/>
      <c r="L431" s="156"/>
      <c r="M431" s="155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153" t="str">
        <f t="shared" si="5"/>
        <v/>
      </c>
      <c r="B432" s="158" t="str">
        <f t="shared" si="7"/>
        <v/>
      </c>
      <c r="C432" s="154"/>
      <c r="D432" s="155"/>
      <c r="E432" s="156" t="str">
        <f>IFERROR(VLOOKUP(D432,'🗂️ DATA_ESCUELAS'!$A:$D,2,0),"")</f>
        <v/>
      </c>
      <c r="F432" s="156" t="str">
        <f>IFERROR(VLOOKUP(D432,'🗂️ DATA_ESCUELAS'!$A:$D,3,0),"")</f>
        <v/>
      </c>
      <c r="G432" s="156"/>
      <c r="H432" s="157"/>
      <c r="I432" s="157"/>
      <c r="J432" s="156"/>
      <c r="K432" s="155"/>
      <c r="L432" s="156"/>
      <c r="M432" s="155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153" t="str">
        <f t="shared" si="5"/>
        <v/>
      </c>
      <c r="B433" s="158" t="str">
        <f t="shared" si="7"/>
        <v/>
      </c>
      <c r="C433" s="154"/>
      <c r="D433" s="155"/>
      <c r="E433" s="156" t="str">
        <f>IFERROR(VLOOKUP(D433,'🗂️ DATA_ESCUELAS'!$A:$D,2,0),"")</f>
        <v/>
      </c>
      <c r="F433" s="156" t="str">
        <f>IFERROR(VLOOKUP(D433,'🗂️ DATA_ESCUELAS'!$A:$D,3,0),"")</f>
        <v/>
      </c>
      <c r="G433" s="156"/>
      <c r="H433" s="157"/>
      <c r="I433" s="157"/>
      <c r="J433" s="156"/>
      <c r="K433" s="155"/>
      <c r="L433" s="156"/>
      <c r="M433" s="155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153" t="str">
        <f t="shared" si="5"/>
        <v/>
      </c>
      <c r="B434" s="158" t="str">
        <f t="shared" si="7"/>
        <v/>
      </c>
      <c r="C434" s="154"/>
      <c r="D434" s="155"/>
      <c r="E434" s="156" t="str">
        <f>IFERROR(VLOOKUP(D434,'🗂️ DATA_ESCUELAS'!$A:$D,2,0),"")</f>
        <v/>
      </c>
      <c r="F434" s="156" t="str">
        <f>IFERROR(VLOOKUP(D434,'🗂️ DATA_ESCUELAS'!$A:$D,3,0),"")</f>
        <v/>
      </c>
      <c r="G434" s="156"/>
      <c r="H434" s="157"/>
      <c r="I434" s="157"/>
      <c r="J434" s="156"/>
      <c r="K434" s="155"/>
      <c r="L434" s="156"/>
      <c r="M434" s="155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153" t="str">
        <f t="shared" si="5"/>
        <v/>
      </c>
      <c r="B435" s="158" t="str">
        <f t="shared" si="7"/>
        <v/>
      </c>
      <c r="C435" s="154"/>
      <c r="D435" s="155"/>
      <c r="E435" s="156" t="str">
        <f>IFERROR(VLOOKUP(D435,'🗂️ DATA_ESCUELAS'!$A:$D,2,0),"")</f>
        <v/>
      </c>
      <c r="F435" s="156" t="str">
        <f>IFERROR(VLOOKUP(D435,'🗂️ DATA_ESCUELAS'!$A:$D,3,0),"")</f>
        <v/>
      </c>
      <c r="G435" s="156"/>
      <c r="H435" s="157"/>
      <c r="I435" s="157"/>
      <c r="J435" s="156"/>
      <c r="K435" s="155"/>
      <c r="L435" s="156"/>
      <c r="M435" s="155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153" t="str">
        <f t="shared" si="5"/>
        <v/>
      </c>
      <c r="B436" s="158" t="str">
        <f t="shared" si="7"/>
        <v/>
      </c>
      <c r="C436" s="154"/>
      <c r="D436" s="155"/>
      <c r="E436" s="156" t="str">
        <f>IFERROR(VLOOKUP(D436,'🗂️ DATA_ESCUELAS'!$A:$D,2,0),"")</f>
        <v/>
      </c>
      <c r="F436" s="156" t="str">
        <f>IFERROR(VLOOKUP(D436,'🗂️ DATA_ESCUELAS'!$A:$D,3,0),"")</f>
        <v/>
      </c>
      <c r="G436" s="156"/>
      <c r="H436" s="157"/>
      <c r="I436" s="157"/>
      <c r="J436" s="156"/>
      <c r="K436" s="155"/>
      <c r="L436" s="156"/>
      <c r="M436" s="155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153" t="str">
        <f t="shared" si="5"/>
        <v/>
      </c>
      <c r="B437" s="158" t="str">
        <f t="shared" si="7"/>
        <v/>
      </c>
      <c r="C437" s="154"/>
      <c r="D437" s="155"/>
      <c r="E437" s="156" t="str">
        <f>IFERROR(VLOOKUP(D437,'🗂️ DATA_ESCUELAS'!$A:$D,2,0),"")</f>
        <v/>
      </c>
      <c r="F437" s="156" t="str">
        <f>IFERROR(VLOOKUP(D437,'🗂️ DATA_ESCUELAS'!$A:$D,3,0),"")</f>
        <v/>
      </c>
      <c r="G437" s="156"/>
      <c r="H437" s="157"/>
      <c r="I437" s="157"/>
      <c r="J437" s="156"/>
      <c r="K437" s="155"/>
      <c r="L437" s="156"/>
      <c r="M437" s="155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153" t="str">
        <f t="shared" si="5"/>
        <v/>
      </c>
      <c r="B438" s="158" t="str">
        <f t="shared" si="7"/>
        <v/>
      </c>
      <c r="C438" s="154"/>
      <c r="D438" s="155"/>
      <c r="E438" s="156" t="str">
        <f>IFERROR(VLOOKUP(D438,'🗂️ DATA_ESCUELAS'!$A:$D,2,0),"")</f>
        <v/>
      </c>
      <c r="F438" s="156" t="str">
        <f>IFERROR(VLOOKUP(D438,'🗂️ DATA_ESCUELAS'!$A:$D,3,0),"")</f>
        <v/>
      </c>
      <c r="G438" s="156"/>
      <c r="H438" s="157"/>
      <c r="I438" s="157"/>
      <c r="J438" s="156"/>
      <c r="K438" s="155"/>
      <c r="L438" s="156"/>
      <c r="M438" s="155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153" t="str">
        <f t="shared" si="5"/>
        <v/>
      </c>
      <c r="B439" s="158" t="str">
        <f t="shared" si="7"/>
        <v/>
      </c>
      <c r="C439" s="154"/>
      <c r="D439" s="155"/>
      <c r="E439" s="156" t="str">
        <f>IFERROR(VLOOKUP(D439,'🗂️ DATA_ESCUELAS'!$A:$D,2,0),"")</f>
        <v/>
      </c>
      <c r="F439" s="156" t="str">
        <f>IFERROR(VLOOKUP(D439,'🗂️ DATA_ESCUELAS'!$A:$D,3,0),"")</f>
        <v/>
      </c>
      <c r="G439" s="156"/>
      <c r="H439" s="157"/>
      <c r="I439" s="157"/>
      <c r="J439" s="156"/>
      <c r="K439" s="155"/>
      <c r="L439" s="156"/>
      <c r="M439" s="155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153" t="str">
        <f t="shared" si="5"/>
        <v/>
      </c>
      <c r="B440" s="158" t="str">
        <f t="shared" si="7"/>
        <v/>
      </c>
      <c r="C440" s="154"/>
      <c r="D440" s="155"/>
      <c r="E440" s="156" t="str">
        <f>IFERROR(VLOOKUP(D440,'🗂️ DATA_ESCUELAS'!$A:$D,2,0),"")</f>
        <v/>
      </c>
      <c r="F440" s="156" t="str">
        <f>IFERROR(VLOOKUP(D440,'🗂️ DATA_ESCUELAS'!$A:$D,3,0),"")</f>
        <v/>
      </c>
      <c r="G440" s="156"/>
      <c r="H440" s="157"/>
      <c r="I440" s="157"/>
      <c r="J440" s="156"/>
      <c r="K440" s="155"/>
      <c r="L440" s="156"/>
      <c r="M440" s="155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153" t="str">
        <f t="shared" si="5"/>
        <v/>
      </c>
      <c r="B441" s="158" t="str">
        <f t="shared" si="7"/>
        <v/>
      </c>
      <c r="C441" s="154"/>
      <c r="D441" s="155"/>
      <c r="E441" s="156" t="str">
        <f>IFERROR(VLOOKUP(D441,'🗂️ DATA_ESCUELAS'!$A:$D,2,0),"")</f>
        <v/>
      </c>
      <c r="F441" s="156" t="str">
        <f>IFERROR(VLOOKUP(D441,'🗂️ DATA_ESCUELAS'!$A:$D,3,0),"")</f>
        <v/>
      </c>
      <c r="G441" s="156"/>
      <c r="H441" s="157"/>
      <c r="I441" s="157"/>
      <c r="J441" s="156"/>
      <c r="K441" s="155"/>
      <c r="L441" s="156"/>
      <c r="M441" s="155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153" t="str">
        <f t="shared" si="5"/>
        <v/>
      </c>
      <c r="B442" s="158" t="str">
        <f t="shared" si="7"/>
        <v/>
      </c>
      <c r="C442" s="154"/>
      <c r="D442" s="155"/>
      <c r="E442" s="156" t="str">
        <f>IFERROR(VLOOKUP(D442,'🗂️ DATA_ESCUELAS'!$A:$D,2,0),"")</f>
        <v/>
      </c>
      <c r="F442" s="156" t="str">
        <f>IFERROR(VLOOKUP(D442,'🗂️ DATA_ESCUELAS'!$A:$D,3,0),"")</f>
        <v/>
      </c>
      <c r="G442" s="156"/>
      <c r="H442" s="157"/>
      <c r="I442" s="157"/>
      <c r="J442" s="156"/>
      <c r="K442" s="155"/>
      <c r="L442" s="156"/>
      <c r="M442" s="155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153" t="str">
        <f t="shared" si="5"/>
        <v/>
      </c>
      <c r="B443" s="158" t="str">
        <f t="shared" si="7"/>
        <v/>
      </c>
      <c r="C443" s="154"/>
      <c r="D443" s="155"/>
      <c r="E443" s="156" t="str">
        <f>IFERROR(VLOOKUP(D443,'🗂️ DATA_ESCUELAS'!$A:$D,2,0),"")</f>
        <v/>
      </c>
      <c r="F443" s="156" t="str">
        <f>IFERROR(VLOOKUP(D443,'🗂️ DATA_ESCUELAS'!$A:$D,3,0),"")</f>
        <v/>
      </c>
      <c r="G443" s="156"/>
      <c r="H443" s="157"/>
      <c r="I443" s="157"/>
      <c r="J443" s="156"/>
      <c r="K443" s="155"/>
      <c r="L443" s="156"/>
      <c r="M443" s="155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153" t="str">
        <f t="shared" si="5"/>
        <v/>
      </c>
      <c r="B444" s="158" t="str">
        <f t="shared" si="7"/>
        <v/>
      </c>
      <c r="C444" s="154"/>
      <c r="D444" s="155"/>
      <c r="E444" s="156" t="str">
        <f>IFERROR(VLOOKUP(D444,'🗂️ DATA_ESCUELAS'!$A:$D,2,0),"")</f>
        <v/>
      </c>
      <c r="F444" s="156" t="str">
        <f>IFERROR(VLOOKUP(D444,'🗂️ DATA_ESCUELAS'!$A:$D,3,0),"")</f>
        <v/>
      </c>
      <c r="G444" s="156"/>
      <c r="H444" s="157"/>
      <c r="I444" s="157"/>
      <c r="J444" s="156"/>
      <c r="K444" s="155"/>
      <c r="L444" s="156"/>
      <c r="M444" s="155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153" t="str">
        <f t="shared" si="5"/>
        <v/>
      </c>
      <c r="B445" s="158" t="str">
        <f t="shared" si="7"/>
        <v/>
      </c>
      <c r="C445" s="154"/>
      <c r="D445" s="155"/>
      <c r="E445" s="156" t="str">
        <f>IFERROR(VLOOKUP(D445,'🗂️ DATA_ESCUELAS'!$A:$D,2,0),"")</f>
        <v/>
      </c>
      <c r="F445" s="156" t="str">
        <f>IFERROR(VLOOKUP(D445,'🗂️ DATA_ESCUELAS'!$A:$D,3,0),"")</f>
        <v/>
      </c>
      <c r="G445" s="156"/>
      <c r="H445" s="157"/>
      <c r="I445" s="157"/>
      <c r="J445" s="156"/>
      <c r="K445" s="155"/>
      <c r="L445" s="156"/>
      <c r="M445" s="155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153" t="str">
        <f t="shared" si="5"/>
        <v/>
      </c>
      <c r="B446" s="158" t="str">
        <f t="shared" si="7"/>
        <v/>
      </c>
      <c r="C446" s="154"/>
      <c r="D446" s="155"/>
      <c r="E446" s="156" t="str">
        <f>IFERROR(VLOOKUP(D446,'🗂️ DATA_ESCUELAS'!$A:$D,2,0),"")</f>
        <v/>
      </c>
      <c r="F446" s="156" t="str">
        <f>IFERROR(VLOOKUP(D446,'🗂️ DATA_ESCUELAS'!$A:$D,3,0),"")</f>
        <v/>
      </c>
      <c r="G446" s="156"/>
      <c r="H446" s="157"/>
      <c r="I446" s="157"/>
      <c r="J446" s="156"/>
      <c r="K446" s="155"/>
      <c r="L446" s="156"/>
      <c r="M446" s="155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153" t="str">
        <f t="shared" si="5"/>
        <v/>
      </c>
      <c r="B447" s="158" t="str">
        <f t="shared" si="7"/>
        <v/>
      </c>
      <c r="C447" s="154"/>
      <c r="D447" s="155"/>
      <c r="E447" s="156" t="str">
        <f>IFERROR(VLOOKUP(D447,'🗂️ DATA_ESCUELAS'!$A:$D,2,0),"")</f>
        <v/>
      </c>
      <c r="F447" s="156" t="str">
        <f>IFERROR(VLOOKUP(D447,'🗂️ DATA_ESCUELAS'!$A:$D,3,0),"")</f>
        <v/>
      </c>
      <c r="G447" s="156"/>
      <c r="H447" s="157"/>
      <c r="I447" s="157"/>
      <c r="J447" s="156"/>
      <c r="K447" s="155"/>
      <c r="L447" s="156"/>
      <c r="M447" s="155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153" t="str">
        <f t="shared" si="5"/>
        <v/>
      </c>
      <c r="B448" s="158" t="str">
        <f t="shared" si="7"/>
        <v/>
      </c>
      <c r="C448" s="154"/>
      <c r="D448" s="155"/>
      <c r="E448" s="156" t="str">
        <f>IFERROR(VLOOKUP(D448,'🗂️ DATA_ESCUELAS'!$A:$D,2,0),"")</f>
        <v/>
      </c>
      <c r="F448" s="156" t="str">
        <f>IFERROR(VLOOKUP(D448,'🗂️ DATA_ESCUELAS'!$A:$D,3,0),"")</f>
        <v/>
      </c>
      <c r="G448" s="156"/>
      <c r="H448" s="157"/>
      <c r="I448" s="157"/>
      <c r="J448" s="156"/>
      <c r="K448" s="155"/>
      <c r="L448" s="156"/>
      <c r="M448" s="155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153" t="str">
        <f t="shared" si="5"/>
        <v/>
      </c>
      <c r="B449" s="158" t="str">
        <f t="shared" si="7"/>
        <v/>
      </c>
      <c r="C449" s="154"/>
      <c r="D449" s="155"/>
      <c r="E449" s="156" t="str">
        <f>IFERROR(VLOOKUP(D449,'🗂️ DATA_ESCUELAS'!$A:$D,2,0),"")</f>
        <v/>
      </c>
      <c r="F449" s="156" t="str">
        <f>IFERROR(VLOOKUP(D449,'🗂️ DATA_ESCUELAS'!$A:$D,3,0),"")</f>
        <v/>
      </c>
      <c r="G449" s="156"/>
      <c r="H449" s="157"/>
      <c r="I449" s="157"/>
      <c r="J449" s="156"/>
      <c r="K449" s="155"/>
      <c r="L449" s="156"/>
      <c r="M449" s="155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153" t="str">
        <f t="shared" si="5"/>
        <v/>
      </c>
      <c r="B450" s="158" t="str">
        <f t="shared" si="7"/>
        <v/>
      </c>
      <c r="C450" s="154"/>
      <c r="D450" s="155"/>
      <c r="E450" s="156" t="str">
        <f>IFERROR(VLOOKUP(D450,'🗂️ DATA_ESCUELAS'!$A:$D,2,0),"")</f>
        <v/>
      </c>
      <c r="F450" s="156" t="str">
        <f>IFERROR(VLOOKUP(D450,'🗂️ DATA_ESCUELAS'!$A:$D,3,0),"")</f>
        <v/>
      </c>
      <c r="G450" s="156"/>
      <c r="H450" s="157"/>
      <c r="I450" s="157"/>
      <c r="J450" s="156"/>
      <c r="K450" s="155"/>
      <c r="L450" s="156"/>
      <c r="M450" s="155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153" t="str">
        <f t="shared" si="5"/>
        <v/>
      </c>
      <c r="B451" s="158" t="str">
        <f t="shared" si="7"/>
        <v/>
      </c>
      <c r="C451" s="154"/>
      <c r="D451" s="155"/>
      <c r="E451" s="156" t="str">
        <f>IFERROR(VLOOKUP(D451,'🗂️ DATA_ESCUELAS'!$A:$D,2,0),"")</f>
        <v/>
      </c>
      <c r="F451" s="156" t="str">
        <f>IFERROR(VLOOKUP(D451,'🗂️ DATA_ESCUELAS'!$A:$D,3,0),"")</f>
        <v/>
      </c>
      <c r="G451" s="156"/>
      <c r="H451" s="157"/>
      <c r="I451" s="157"/>
      <c r="J451" s="156"/>
      <c r="K451" s="155"/>
      <c r="L451" s="156"/>
      <c r="M451" s="155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153" t="str">
        <f t="shared" si="5"/>
        <v/>
      </c>
      <c r="B452" s="158" t="str">
        <f t="shared" si="7"/>
        <v/>
      </c>
      <c r="C452" s="154"/>
      <c r="D452" s="155"/>
      <c r="E452" s="156" t="str">
        <f>IFERROR(VLOOKUP(D452,'🗂️ DATA_ESCUELAS'!$A:$D,2,0),"")</f>
        <v/>
      </c>
      <c r="F452" s="156" t="str">
        <f>IFERROR(VLOOKUP(D452,'🗂️ DATA_ESCUELAS'!$A:$D,3,0),"")</f>
        <v/>
      </c>
      <c r="G452" s="156"/>
      <c r="H452" s="157"/>
      <c r="I452" s="157"/>
      <c r="J452" s="156"/>
      <c r="K452" s="155"/>
      <c r="L452" s="156"/>
      <c r="M452" s="155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153" t="str">
        <f t="shared" si="5"/>
        <v/>
      </c>
      <c r="B453" s="158" t="str">
        <f t="shared" si="7"/>
        <v/>
      </c>
      <c r="C453" s="154"/>
      <c r="D453" s="155"/>
      <c r="E453" s="156" t="str">
        <f>IFERROR(VLOOKUP(D453,'🗂️ DATA_ESCUELAS'!$A:$D,2,0),"")</f>
        <v/>
      </c>
      <c r="F453" s="156" t="str">
        <f>IFERROR(VLOOKUP(D453,'🗂️ DATA_ESCUELAS'!$A:$D,3,0),"")</f>
        <v/>
      </c>
      <c r="G453" s="156"/>
      <c r="H453" s="157"/>
      <c r="I453" s="157"/>
      <c r="J453" s="156"/>
      <c r="K453" s="155"/>
      <c r="L453" s="156"/>
      <c r="M453" s="155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153" t="str">
        <f t="shared" si="5"/>
        <v/>
      </c>
      <c r="B454" s="158" t="str">
        <f t="shared" si="7"/>
        <v/>
      </c>
      <c r="C454" s="154"/>
      <c r="D454" s="155"/>
      <c r="E454" s="156" t="str">
        <f>IFERROR(VLOOKUP(D454,'🗂️ DATA_ESCUELAS'!$A:$D,2,0),"")</f>
        <v/>
      </c>
      <c r="F454" s="156" t="str">
        <f>IFERROR(VLOOKUP(D454,'🗂️ DATA_ESCUELAS'!$A:$D,3,0),"")</f>
        <v/>
      </c>
      <c r="G454" s="156"/>
      <c r="H454" s="157"/>
      <c r="I454" s="157"/>
      <c r="J454" s="156"/>
      <c r="K454" s="155"/>
      <c r="L454" s="156"/>
      <c r="M454" s="155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153" t="str">
        <f t="shared" si="5"/>
        <v/>
      </c>
      <c r="B455" s="158" t="str">
        <f t="shared" si="7"/>
        <v/>
      </c>
      <c r="C455" s="154"/>
      <c r="D455" s="155"/>
      <c r="E455" s="156" t="str">
        <f>IFERROR(VLOOKUP(D455,'🗂️ DATA_ESCUELAS'!$A:$D,2,0),"")</f>
        <v/>
      </c>
      <c r="F455" s="156" t="str">
        <f>IFERROR(VLOOKUP(D455,'🗂️ DATA_ESCUELAS'!$A:$D,3,0),"")</f>
        <v/>
      </c>
      <c r="G455" s="156"/>
      <c r="H455" s="157"/>
      <c r="I455" s="157"/>
      <c r="J455" s="156"/>
      <c r="K455" s="155"/>
      <c r="L455" s="156"/>
      <c r="M455" s="155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153" t="str">
        <f t="shared" si="5"/>
        <v/>
      </c>
      <c r="B456" s="158" t="str">
        <f t="shared" si="7"/>
        <v/>
      </c>
      <c r="C456" s="154"/>
      <c r="D456" s="155"/>
      <c r="E456" s="156" t="str">
        <f>IFERROR(VLOOKUP(D456,'🗂️ DATA_ESCUELAS'!$A:$D,2,0),"")</f>
        <v/>
      </c>
      <c r="F456" s="156" t="str">
        <f>IFERROR(VLOOKUP(D456,'🗂️ DATA_ESCUELAS'!$A:$D,3,0),"")</f>
        <v/>
      </c>
      <c r="G456" s="156"/>
      <c r="H456" s="157"/>
      <c r="I456" s="157"/>
      <c r="J456" s="156"/>
      <c r="K456" s="155"/>
      <c r="L456" s="156"/>
      <c r="M456" s="155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153" t="str">
        <f t="shared" si="5"/>
        <v/>
      </c>
      <c r="B457" s="158" t="str">
        <f t="shared" si="7"/>
        <v/>
      </c>
      <c r="C457" s="154"/>
      <c r="D457" s="155"/>
      <c r="E457" s="156" t="str">
        <f>IFERROR(VLOOKUP(D457,'🗂️ DATA_ESCUELAS'!$A:$D,2,0),"")</f>
        <v/>
      </c>
      <c r="F457" s="156" t="str">
        <f>IFERROR(VLOOKUP(D457,'🗂️ DATA_ESCUELAS'!$A:$D,3,0),"")</f>
        <v/>
      </c>
      <c r="G457" s="156"/>
      <c r="H457" s="157"/>
      <c r="I457" s="157"/>
      <c r="J457" s="156"/>
      <c r="K457" s="155"/>
      <c r="L457" s="156"/>
      <c r="M457" s="155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153" t="str">
        <f t="shared" si="5"/>
        <v/>
      </c>
      <c r="B458" s="158" t="str">
        <f t="shared" si="7"/>
        <v/>
      </c>
      <c r="C458" s="154"/>
      <c r="D458" s="155"/>
      <c r="E458" s="156" t="str">
        <f>IFERROR(VLOOKUP(D458,'🗂️ DATA_ESCUELAS'!$A:$D,2,0),"")</f>
        <v/>
      </c>
      <c r="F458" s="156" t="str">
        <f>IFERROR(VLOOKUP(D458,'🗂️ DATA_ESCUELAS'!$A:$D,3,0),"")</f>
        <v/>
      </c>
      <c r="G458" s="156"/>
      <c r="H458" s="157"/>
      <c r="I458" s="157"/>
      <c r="J458" s="156"/>
      <c r="K458" s="155"/>
      <c r="L458" s="156"/>
      <c r="M458" s="155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153" t="str">
        <f t="shared" si="5"/>
        <v/>
      </c>
      <c r="B459" s="158" t="str">
        <f t="shared" si="7"/>
        <v/>
      </c>
      <c r="C459" s="154"/>
      <c r="D459" s="155"/>
      <c r="E459" s="156" t="str">
        <f>IFERROR(VLOOKUP(D459,'🗂️ DATA_ESCUELAS'!$A:$D,2,0),"")</f>
        <v/>
      </c>
      <c r="F459" s="156" t="str">
        <f>IFERROR(VLOOKUP(D459,'🗂️ DATA_ESCUELAS'!$A:$D,3,0),"")</f>
        <v/>
      </c>
      <c r="G459" s="156"/>
      <c r="H459" s="157"/>
      <c r="I459" s="157"/>
      <c r="J459" s="156"/>
      <c r="K459" s="155"/>
      <c r="L459" s="156"/>
      <c r="M459" s="155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153" t="str">
        <f t="shared" si="5"/>
        <v/>
      </c>
      <c r="B460" s="158" t="str">
        <f t="shared" si="7"/>
        <v/>
      </c>
      <c r="C460" s="154"/>
      <c r="D460" s="155"/>
      <c r="E460" s="156" t="str">
        <f>IFERROR(VLOOKUP(D460,'🗂️ DATA_ESCUELAS'!$A:$D,2,0),"")</f>
        <v/>
      </c>
      <c r="F460" s="156" t="str">
        <f>IFERROR(VLOOKUP(D460,'🗂️ DATA_ESCUELAS'!$A:$D,3,0),"")</f>
        <v/>
      </c>
      <c r="G460" s="156"/>
      <c r="H460" s="157"/>
      <c r="I460" s="157"/>
      <c r="J460" s="156"/>
      <c r="K460" s="155"/>
      <c r="L460" s="156"/>
      <c r="M460" s="155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153" t="str">
        <f t="shared" si="5"/>
        <v/>
      </c>
      <c r="B461" s="158" t="str">
        <f t="shared" si="7"/>
        <v/>
      </c>
      <c r="C461" s="154"/>
      <c r="D461" s="155"/>
      <c r="E461" s="156" t="str">
        <f>IFERROR(VLOOKUP(D461,'🗂️ DATA_ESCUELAS'!$A:$D,2,0),"")</f>
        <v/>
      </c>
      <c r="F461" s="156" t="str">
        <f>IFERROR(VLOOKUP(D461,'🗂️ DATA_ESCUELAS'!$A:$D,3,0),"")</f>
        <v/>
      </c>
      <c r="G461" s="156"/>
      <c r="H461" s="157"/>
      <c r="I461" s="157"/>
      <c r="J461" s="156"/>
      <c r="K461" s="155"/>
      <c r="L461" s="156"/>
      <c r="M461" s="155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153" t="str">
        <f t="shared" si="5"/>
        <v/>
      </c>
      <c r="B462" s="158" t="str">
        <f t="shared" si="7"/>
        <v/>
      </c>
      <c r="C462" s="154"/>
      <c r="D462" s="155"/>
      <c r="E462" s="156" t="str">
        <f>IFERROR(VLOOKUP(D462,'🗂️ DATA_ESCUELAS'!$A:$D,2,0),"")</f>
        <v/>
      </c>
      <c r="F462" s="156" t="str">
        <f>IFERROR(VLOOKUP(D462,'🗂️ DATA_ESCUELAS'!$A:$D,3,0),"")</f>
        <v/>
      </c>
      <c r="G462" s="156"/>
      <c r="H462" s="157"/>
      <c r="I462" s="157"/>
      <c r="J462" s="156"/>
      <c r="K462" s="155"/>
      <c r="L462" s="156"/>
      <c r="M462" s="155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153" t="str">
        <f t="shared" si="5"/>
        <v/>
      </c>
      <c r="B463" s="158" t="str">
        <f t="shared" si="7"/>
        <v/>
      </c>
      <c r="C463" s="154"/>
      <c r="D463" s="155"/>
      <c r="E463" s="156" t="str">
        <f>IFERROR(VLOOKUP(D463,'🗂️ DATA_ESCUELAS'!$A:$D,2,0),"")</f>
        <v/>
      </c>
      <c r="F463" s="156" t="str">
        <f>IFERROR(VLOOKUP(D463,'🗂️ DATA_ESCUELAS'!$A:$D,3,0),"")</f>
        <v/>
      </c>
      <c r="G463" s="156"/>
      <c r="H463" s="157"/>
      <c r="I463" s="157"/>
      <c r="J463" s="156"/>
      <c r="K463" s="155"/>
      <c r="L463" s="156"/>
      <c r="M463" s="155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153" t="str">
        <f t="shared" si="5"/>
        <v/>
      </c>
      <c r="B464" s="158" t="str">
        <f t="shared" si="7"/>
        <v/>
      </c>
      <c r="C464" s="154"/>
      <c r="D464" s="155"/>
      <c r="E464" s="156" t="str">
        <f>IFERROR(VLOOKUP(D464,'🗂️ DATA_ESCUELAS'!$A:$D,2,0),"")</f>
        <v/>
      </c>
      <c r="F464" s="156" t="str">
        <f>IFERROR(VLOOKUP(D464,'🗂️ DATA_ESCUELAS'!$A:$D,3,0),"")</f>
        <v/>
      </c>
      <c r="G464" s="156"/>
      <c r="H464" s="157"/>
      <c r="I464" s="157"/>
      <c r="J464" s="156"/>
      <c r="K464" s="155"/>
      <c r="L464" s="156"/>
      <c r="M464" s="155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153" t="str">
        <f t="shared" si="5"/>
        <v/>
      </c>
      <c r="B465" s="158" t="str">
        <f t="shared" si="7"/>
        <v/>
      </c>
      <c r="C465" s="154"/>
      <c r="D465" s="155"/>
      <c r="E465" s="156" t="str">
        <f>IFERROR(VLOOKUP(D465,'🗂️ DATA_ESCUELAS'!$A:$D,2,0),"")</f>
        <v/>
      </c>
      <c r="F465" s="156" t="str">
        <f>IFERROR(VLOOKUP(D465,'🗂️ DATA_ESCUELAS'!$A:$D,3,0),"")</f>
        <v/>
      </c>
      <c r="G465" s="156"/>
      <c r="H465" s="157"/>
      <c r="I465" s="157"/>
      <c r="J465" s="156"/>
      <c r="K465" s="155"/>
      <c r="L465" s="156"/>
      <c r="M465" s="155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153" t="str">
        <f t="shared" si="5"/>
        <v/>
      </c>
      <c r="B466" s="158" t="str">
        <f t="shared" si="7"/>
        <v/>
      </c>
      <c r="C466" s="154"/>
      <c r="D466" s="155"/>
      <c r="E466" s="156" t="str">
        <f>IFERROR(VLOOKUP(D466,'🗂️ DATA_ESCUELAS'!$A:$D,2,0),"")</f>
        <v/>
      </c>
      <c r="F466" s="156" t="str">
        <f>IFERROR(VLOOKUP(D466,'🗂️ DATA_ESCUELAS'!$A:$D,3,0),"")</f>
        <v/>
      </c>
      <c r="G466" s="156"/>
      <c r="H466" s="157"/>
      <c r="I466" s="157"/>
      <c r="J466" s="156"/>
      <c r="K466" s="155"/>
      <c r="L466" s="156"/>
      <c r="M466" s="155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153" t="str">
        <f t="shared" si="5"/>
        <v/>
      </c>
      <c r="B467" s="158" t="str">
        <f t="shared" si="7"/>
        <v/>
      </c>
      <c r="C467" s="154"/>
      <c r="D467" s="155"/>
      <c r="E467" s="156" t="str">
        <f>IFERROR(VLOOKUP(D467,'🗂️ DATA_ESCUELAS'!$A:$D,2,0),"")</f>
        <v/>
      </c>
      <c r="F467" s="156" t="str">
        <f>IFERROR(VLOOKUP(D467,'🗂️ DATA_ESCUELAS'!$A:$D,3,0),"")</f>
        <v/>
      </c>
      <c r="G467" s="156"/>
      <c r="H467" s="157"/>
      <c r="I467" s="157"/>
      <c r="J467" s="156"/>
      <c r="K467" s="155"/>
      <c r="L467" s="156"/>
      <c r="M467" s="155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153" t="str">
        <f t="shared" si="5"/>
        <v/>
      </c>
      <c r="B468" s="158" t="str">
        <f t="shared" si="7"/>
        <v/>
      </c>
      <c r="C468" s="154"/>
      <c r="D468" s="155"/>
      <c r="E468" s="156" t="str">
        <f>IFERROR(VLOOKUP(D468,'🗂️ DATA_ESCUELAS'!$A:$D,2,0),"")</f>
        <v/>
      </c>
      <c r="F468" s="156" t="str">
        <f>IFERROR(VLOOKUP(D468,'🗂️ DATA_ESCUELAS'!$A:$D,3,0),"")</f>
        <v/>
      </c>
      <c r="G468" s="156"/>
      <c r="H468" s="157"/>
      <c r="I468" s="157"/>
      <c r="J468" s="156"/>
      <c r="K468" s="155"/>
      <c r="L468" s="156"/>
      <c r="M468" s="155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153" t="str">
        <f t="shared" si="5"/>
        <v/>
      </c>
      <c r="B469" s="158" t="str">
        <f t="shared" si="7"/>
        <v/>
      </c>
      <c r="C469" s="154"/>
      <c r="D469" s="155"/>
      <c r="E469" s="156" t="str">
        <f>IFERROR(VLOOKUP(D469,'🗂️ DATA_ESCUELAS'!$A:$D,2,0),"")</f>
        <v/>
      </c>
      <c r="F469" s="156" t="str">
        <f>IFERROR(VLOOKUP(D469,'🗂️ DATA_ESCUELAS'!$A:$D,3,0),"")</f>
        <v/>
      </c>
      <c r="G469" s="156"/>
      <c r="H469" s="157"/>
      <c r="I469" s="157"/>
      <c r="J469" s="156"/>
      <c r="K469" s="155"/>
      <c r="L469" s="156"/>
      <c r="M469" s="155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153" t="str">
        <f t="shared" si="5"/>
        <v/>
      </c>
      <c r="B470" s="158" t="str">
        <f t="shared" si="7"/>
        <v/>
      </c>
      <c r="C470" s="154"/>
      <c r="D470" s="155"/>
      <c r="E470" s="156" t="str">
        <f>IFERROR(VLOOKUP(D470,'🗂️ DATA_ESCUELAS'!$A:$D,2,0),"")</f>
        <v/>
      </c>
      <c r="F470" s="156" t="str">
        <f>IFERROR(VLOOKUP(D470,'🗂️ DATA_ESCUELAS'!$A:$D,3,0),"")</f>
        <v/>
      </c>
      <c r="G470" s="156"/>
      <c r="H470" s="157"/>
      <c r="I470" s="157"/>
      <c r="J470" s="156"/>
      <c r="K470" s="155"/>
      <c r="L470" s="156"/>
      <c r="M470" s="155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153" t="str">
        <f t="shared" si="5"/>
        <v/>
      </c>
      <c r="B471" s="158" t="str">
        <f t="shared" si="7"/>
        <v/>
      </c>
      <c r="C471" s="154"/>
      <c r="D471" s="155"/>
      <c r="E471" s="156" t="str">
        <f>IFERROR(VLOOKUP(D471,'🗂️ DATA_ESCUELAS'!$A:$D,2,0),"")</f>
        <v/>
      </c>
      <c r="F471" s="156" t="str">
        <f>IFERROR(VLOOKUP(D471,'🗂️ DATA_ESCUELAS'!$A:$D,3,0),"")</f>
        <v/>
      </c>
      <c r="G471" s="156"/>
      <c r="H471" s="157"/>
      <c r="I471" s="157"/>
      <c r="J471" s="156"/>
      <c r="K471" s="155"/>
      <c r="L471" s="156"/>
      <c r="M471" s="155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153" t="str">
        <f t="shared" si="5"/>
        <v/>
      </c>
      <c r="B472" s="158" t="str">
        <f t="shared" si="7"/>
        <v/>
      </c>
      <c r="C472" s="154"/>
      <c r="D472" s="155"/>
      <c r="E472" s="156" t="str">
        <f>IFERROR(VLOOKUP(D472,'🗂️ DATA_ESCUELAS'!$A:$D,2,0),"")</f>
        <v/>
      </c>
      <c r="F472" s="156" t="str">
        <f>IFERROR(VLOOKUP(D472,'🗂️ DATA_ESCUELAS'!$A:$D,3,0),"")</f>
        <v/>
      </c>
      <c r="G472" s="156"/>
      <c r="H472" s="157"/>
      <c r="I472" s="157"/>
      <c r="J472" s="156"/>
      <c r="K472" s="155"/>
      <c r="L472" s="156"/>
      <c r="M472" s="155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153" t="str">
        <f t="shared" si="5"/>
        <v/>
      </c>
      <c r="B473" s="158" t="str">
        <f t="shared" si="7"/>
        <v/>
      </c>
      <c r="C473" s="154"/>
      <c r="D473" s="155"/>
      <c r="E473" s="156" t="str">
        <f>IFERROR(VLOOKUP(D473,'🗂️ DATA_ESCUELAS'!$A:$D,2,0),"")</f>
        <v/>
      </c>
      <c r="F473" s="156" t="str">
        <f>IFERROR(VLOOKUP(D473,'🗂️ DATA_ESCUELAS'!$A:$D,3,0),"")</f>
        <v/>
      </c>
      <c r="G473" s="156"/>
      <c r="H473" s="157"/>
      <c r="I473" s="157"/>
      <c r="J473" s="156"/>
      <c r="K473" s="155"/>
      <c r="L473" s="156"/>
      <c r="M473" s="155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153" t="str">
        <f t="shared" si="5"/>
        <v/>
      </c>
      <c r="B474" s="158" t="str">
        <f t="shared" si="7"/>
        <v/>
      </c>
      <c r="C474" s="154"/>
      <c r="D474" s="155"/>
      <c r="E474" s="156" t="str">
        <f>IFERROR(VLOOKUP(D474,'🗂️ DATA_ESCUELAS'!$A:$D,2,0),"")</f>
        <v/>
      </c>
      <c r="F474" s="156" t="str">
        <f>IFERROR(VLOOKUP(D474,'🗂️ DATA_ESCUELAS'!$A:$D,3,0),"")</f>
        <v/>
      </c>
      <c r="G474" s="156"/>
      <c r="H474" s="157"/>
      <c r="I474" s="157"/>
      <c r="J474" s="156"/>
      <c r="K474" s="155"/>
      <c r="L474" s="156"/>
      <c r="M474" s="155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153" t="str">
        <f t="shared" si="5"/>
        <v/>
      </c>
      <c r="B475" s="158" t="str">
        <f t="shared" si="7"/>
        <v/>
      </c>
      <c r="C475" s="154"/>
      <c r="D475" s="155"/>
      <c r="E475" s="156" t="str">
        <f>IFERROR(VLOOKUP(D475,'🗂️ DATA_ESCUELAS'!$A:$D,2,0),"")</f>
        <v/>
      </c>
      <c r="F475" s="156" t="str">
        <f>IFERROR(VLOOKUP(D475,'🗂️ DATA_ESCUELAS'!$A:$D,3,0),"")</f>
        <v/>
      </c>
      <c r="G475" s="156"/>
      <c r="H475" s="157"/>
      <c r="I475" s="157"/>
      <c r="J475" s="156"/>
      <c r="K475" s="155"/>
      <c r="L475" s="156"/>
      <c r="M475" s="155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153" t="str">
        <f t="shared" si="5"/>
        <v/>
      </c>
      <c r="B476" s="158" t="str">
        <f t="shared" si="7"/>
        <v/>
      </c>
      <c r="C476" s="154"/>
      <c r="D476" s="155"/>
      <c r="E476" s="156" t="str">
        <f>IFERROR(VLOOKUP(D476,'🗂️ DATA_ESCUELAS'!$A:$D,2,0),"")</f>
        <v/>
      </c>
      <c r="F476" s="156" t="str">
        <f>IFERROR(VLOOKUP(D476,'🗂️ DATA_ESCUELAS'!$A:$D,3,0),"")</f>
        <v/>
      </c>
      <c r="G476" s="156"/>
      <c r="H476" s="157"/>
      <c r="I476" s="157"/>
      <c r="J476" s="156"/>
      <c r="K476" s="155"/>
      <c r="L476" s="156"/>
      <c r="M476" s="155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153" t="str">
        <f t="shared" si="5"/>
        <v/>
      </c>
      <c r="B477" s="158" t="str">
        <f t="shared" si="7"/>
        <v/>
      </c>
      <c r="C477" s="154"/>
      <c r="D477" s="155"/>
      <c r="E477" s="156" t="str">
        <f>IFERROR(VLOOKUP(D477,'🗂️ DATA_ESCUELAS'!$A:$D,2,0),"")</f>
        <v/>
      </c>
      <c r="F477" s="156" t="str">
        <f>IFERROR(VLOOKUP(D477,'🗂️ DATA_ESCUELAS'!$A:$D,3,0),"")</f>
        <v/>
      </c>
      <c r="G477" s="156"/>
      <c r="H477" s="157"/>
      <c r="I477" s="157"/>
      <c r="J477" s="156"/>
      <c r="K477" s="155"/>
      <c r="L477" s="156"/>
      <c r="M477" s="155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153" t="str">
        <f t="shared" si="5"/>
        <v/>
      </c>
      <c r="B478" s="158" t="str">
        <f t="shared" si="7"/>
        <v/>
      </c>
      <c r="C478" s="154"/>
      <c r="D478" s="155"/>
      <c r="E478" s="156" t="str">
        <f>IFERROR(VLOOKUP(D478,'🗂️ DATA_ESCUELAS'!$A:$D,2,0),"")</f>
        <v/>
      </c>
      <c r="F478" s="156" t="str">
        <f>IFERROR(VLOOKUP(D478,'🗂️ DATA_ESCUELAS'!$A:$D,3,0),"")</f>
        <v/>
      </c>
      <c r="G478" s="156"/>
      <c r="H478" s="157"/>
      <c r="I478" s="157"/>
      <c r="J478" s="156"/>
      <c r="K478" s="155"/>
      <c r="L478" s="156"/>
      <c r="M478" s="155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153" t="str">
        <f t="shared" si="5"/>
        <v/>
      </c>
      <c r="B479" s="158" t="str">
        <f t="shared" si="7"/>
        <v/>
      </c>
      <c r="C479" s="154"/>
      <c r="D479" s="155"/>
      <c r="E479" s="156" t="str">
        <f>IFERROR(VLOOKUP(D479,'🗂️ DATA_ESCUELAS'!$A:$D,2,0),"")</f>
        <v/>
      </c>
      <c r="F479" s="156" t="str">
        <f>IFERROR(VLOOKUP(D479,'🗂️ DATA_ESCUELAS'!$A:$D,3,0),"")</f>
        <v/>
      </c>
      <c r="G479" s="156"/>
      <c r="H479" s="157"/>
      <c r="I479" s="157"/>
      <c r="J479" s="156"/>
      <c r="K479" s="155"/>
      <c r="L479" s="156"/>
      <c r="M479" s="155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153" t="str">
        <f t="shared" si="5"/>
        <v/>
      </c>
      <c r="B480" s="158" t="str">
        <f t="shared" si="7"/>
        <v/>
      </c>
      <c r="C480" s="154"/>
      <c r="D480" s="155"/>
      <c r="E480" s="156" t="str">
        <f>IFERROR(VLOOKUP(D480,'🗂️ DATA_ESCUELAS'!$A:$D,2,0),"")</f>
        <v/>
      </c>
      <c r="F480" s="156" t="str">
        <f>IFERROR(VLOOKUP(D480,'🗂️ DATA_ESCUELAS'!$A:$D,3,0),"")</f>
        <v/>
      </c>
      <c r="G480" s="156"/>
      <c r="H480" s="157"/>
      <c r="I480" s="157"/>
      <c r="J480" s="156"/>
      <c r="K480" s="155"/>
      <c r="L480" s="156"/>
      <c r="M480" s="155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153" t="str">
        <f t="shared" si="5"/>
        <v/>
      </c>
      <c r="B481" s="158" t="str">
        <f t="shared" si="7"/>
        <v/>
      </c>
      <c r="C481" s="154"/>
      <c r="D481" s="155"/>
      <c r="E481" s="156" t="str">
        <f>IFERROR(VLOOKUP(D481,'🗂️ DATA_ESCUELAS'!$A:$D,2,0),"")</f>
        <v/>
      </c>
      <c r="F481" s="156" t="str">
        <f>IFERROR(VLOOKUP(D481,'🗂️ DATA_ESCUELAS'!$A:$D,3,0),"")</f>
        <v/>
      </c>
      <c r="G481" s="156"/>
      <c r="H481" s="157"/>
      <c r="I481" s="157"/>
      <c r="J481" s="156"/>
      <c r="K481" s="155"/>
      <c r="L481" s="156"/>
      <c r="M481" s="155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153" t="str">
        <f t="shared" si="5"/>
        <v/>
      </c>
      <c r="B482" s="158" t="str">
        <f t="shared" si="7"/>
        <v/>
      </c>
      <c r="C482" s="154"/>
      <c r="D482" s="155"/>
      <c r="E482" s="156" t="str">
        <f>IFERROR(VLOOKUP(D482,'🗂️ DATA_ESCUELAS'!$A:$D,2,0),"")</f>
        <v/>
      </c>
      <c r="F482" s="156" t="str">
        <f>IFERROR(VLOOKUP(D482,'🗂️ DATA_ESCUELAS'!$A:$D,3,0),"")</f>
        <v/>
      </c>
      <c r="G482" s="156"/>
      <c r="H482" s="157"/>
      <c r="I482" s="157"/>
      <c r="J482" s="156"/>
      <c r="K482" s="155"/>
      <c r="L482" s="156"/>
      <c r="M482" s="155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153" t="str">
        <f t="shared" si="5"/>
        <v/>
      </c>
      <c r="B483" s="158" t="str">
        <f t="shared" si="7"/>
        <v/>
      </c>
      <c r="C483" s="154"/>
      <c r="D483" s="155"/>
      <c r="E483" s="156" t="str">
        <f>IFERROR(VLOOKUP(D483,'🗂️ DATA_ESCUELAS'!$A:$D,2,0),"")</f>
        <v/>
      </c>
      <c r="F483" s="156" t="str">
        <f>IFERROR(VLOOKUP(D483,'🗂️ DATA_ESCUELAS'!$A:$D,3,0),"")</f>
        <v/>
      </c>
      <c r="G483" s="156"/>
      <c r="H483" s="157"/>
      <c r="I483" s="157"/>
      <c r="J483" s="156"/>
      <c r="K483" s="155"/>
      <c r="L483" s="156"/>
      <c r="M483" s="155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153" t="str">
        <f t="shared" si="5"/>
        <v/>
      </c>
      <c r="B484" s="158" t="str">
        <f t="shared" si="7"/>
        <v/>
      </c>
      <c r="C484" s="154"/>
      <c r="D484" s="155"/>
      <c r="E484" s="156" t="str">
        <f>IFERROR(VLOOKUP(D484,'🗂️ DATA_ESCUELAS'!$A:$D,2,0),"")</f>
        <v/>
      </c>
      <c r="F484" s="156" t="str">
        <f>IFERROR(VLOOKUP(D484,'🗂️ DATA_ESCUELAS'!$A:$D,3,0),"")</f>
        <v/>
      </c>
      <c r="G484" s="156"/>
      <c r="H484" s="157"/>
      <c r="I484" s="157"/>
      <c r="J484" s="156"/>
      <c r="K484" s="155"/>
      <c r="L484" s="156"/>
      <c r="M484" s="155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153" t="str">
        <f t="shared" si="5"/>
        <v/>
      </c>
      <c r="B485" s="158" t="str">
        <f t="shared" si="7"/>
        <v/>
      </c>
      <c r="C485" s="154"/>
      <c r="D485" s="155"/>
      <c r="E485" s="156" t="str">
        <f>IFERROR(VLOOKUP(D485,'🗂️ DATA_ESCUELAS'!$A:$D,2,0),"")</f>
        <v/>
      </c>
      <c r="F485" s="156" t="str">
        <f>IFERROR(VLOOKUP(D485,'🗂️ DATA_ESCUELAS'!$A:$D,3,0),"")</f>
        <v/>
      </c>
      <c r="G485" s="156"/>
      <c r="H485" s="157"/>
      <c r="I485" s="157"/>
      <c r="J485" s="156"/>
      <c r="K485" s="155"/>
      <c r="L485" s="156"/>
      <c r="M485" s="155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153" t="str">
        <f t="shared" si="5"/>
        <v/>
      </c>
      <c r="B486" s="158" t="str">
        <f t="shared" si="7"/>
        <v/>
      </c>
      <c r="C486" s="154"/>
      <c r="D486" s="155"/>
      <c r="E486" s="156" t="str">
        <f>IFERROR(VLOOKUP(D486,'🗂️ DATA_ESCUELAS'!$A:$D,2,0),"")</f>
        <v/>
      </c>
      <c r="F486" s="156" t="str">
        <f>IFERROR(VLOOKUP(D486,'🗂️ DATA_ESCUELAS'!$A:$D,3,0),"")</f>
        <v/>
      </c>
      <c r="G486" s="156"/>
      <c r="H486" s="157"/>
      <c r="I486" s="157"/>
      <c r="J486" s="156"/>
      <c r="K486" s="155"/>
      <c r="L486" s="156"/>
      <c r="M486" s="155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153" t="str">
        <f t="shared" si="5"/>
        <v/>
      </c>
      <c r="B487" s="158" t="str">
        <f t="shared" si="7"/>
        <v/>
      </c>
      <c r="C487" s="154"/>
      <c r="D487" s="155"/>
      <c r="E487" s="156" t="str">
        <f>IFERROR(VLOOKUP(D487,'🗂️ DATA_ESCUELAS'!$A:$D,2,0),"")</f>
        <v/>
      </c>
      <c r="F487" s="156" t="str">
        <f>IFERROR(VLOOKUP(D487,'🗂️ DATA_ESCUELAS'!$A:$D,3,0),"")</f>
        <v/>
      </c>
      <c r="G487" s="156"/>
      <c r="H487" s="157"/>
      <c r="I487" s="157"/>
      <c r="J487" s="156"/>
      <c r="K487" s="155"/>
      <c r="L487" s="156"/>
      <c r="M487" s="155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153" t="str">
        <f t="shared" si="5"/>
        <v/>
      </c>
      <c r="B488" s="158" t="str">
        <f t="shared" si="7"/>
        <v/>
      </c>
      <c r="C488" s="154"/>
      <c r="D488" s="155"/>
      <c r="E488" s="156" t="str">
        <f>IFERROR(VLOOKUP(D488,'🗂️ DATA_ESCUELAS'!$A:$D,2,0),"")</f>
        <v/>
      </c>
      <c r="F488" s="156" t="str">
        <f>IFERROR(VLOOKUP(D488,'🗂️ DATA_ESCUELAS'!$A:$D,3,0),"")</f>
        <v/>
      </c>
      <c r="G488" s="156"/>
      <c r="H488" s="157"/>
      <c r="I488" s="157"/>
      <c r="J488" s="156"/>
      <c r="K488" s="155"/>
      <c r="L488" s="156"/>
      <c r="M488" s="155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153" t="str">
        <f t="shared" si="5"/>
        <v/>
      </c>
      <c r="B489" s="158" t="str">
        <f t="shared" si="7"/>
        <v/>
      </c>
      <c r="C489" s="154"/>
      <c r="D489" s="155"/>
      <c r="E489" s="156" t="str">
        <f>IFERROR(VLOOKUP(D489,'🗂️ DATA_ESCUELAS'!$A:$D,2,0),"")</f>
        <v/>
      </c>
      <c r="F489" s="156" t="str">
        <f>IFERROR(VLOOKUP(D489,'🗂️ DATA_ESCUELAS'!$A:$D,3,0),"")</f>
        <v/>
      </c>
      <c r="G489" s="156"/>
      <c r="H489" s="157"/>
      <c r="I489" s="157"/>
      <c r="J489" s="156"/>
      <c r="K489" s="155"/>
      <c r="L489" s="156"/>
      <c r="M489" s="155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153" t="str">
        <f t="shared" si="5"/>
        <v/>
      </c>
      <c r="B490" s="158" t="str">
        <f t="shared" si="7"/>
        <v/>
      </c>
      <c r="C490" s="154"/>
      <c r="D490" s="155"/>
      <c r="E490" s="156" t="str">
        <f>IFERROR(VLOOKUP(D490,'🗂️ DATA_ESCUELAS'!$A:$D,2,0),"")</f>
        <v/>
      </c>
      <c r="F490" s="156" t="str">
        <f>IFERROR(VLOOKUP(D490,'🗂️ DATA_ESCUELAS'!$A:$D,3,0),"")</f>
        <v/>
      </c>
      <c r="G490" s="156"/>
      <c r="H490" s="157"/>
      <c r="I490" s="157"/>
      <c r="J490" s="156"/>
      <c r="K490" s="155"/>
      <c r="L490" s="156"/>
      <c r="M490" s="155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153" t="str">
        <f t="shared" si="5"/>
        <v/>
      </c>
      <c r="B491" s="158" t="str">
        <f t="shared" si="7"/>
        <v/>
      </c>
      <c r="C491" s="154"/>
      <c r="D491" s="155"/>
      <c r="E491" s="156" t="str">
        <f>IFERROR(VLOOKUP(D491,'🗂️ DATA_ESCUELAS'!$A:$D,2,0),"")</f>
        <v/>
      </c>
      <c r="F491" s="156" t="str">
        <f>IFERROR(VLOOKUP(D491,'🗂️ DATA_ESCUELAS'!$A:$D,3,0),"")</f>
        <v/>
      </c>
      <c r="G491" s="156"/>
      <c r="H491" s="157"/>
      <c r="I491" s="157"/>
      <c r="J491" s="156"/>
      <c r="K491" s="155"/>
      <c r="L491" s="156"/>
      <c r="M491" s="155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153" t="str">
        <f t="shared" si="5"/>
        <v/>
      </c>
      <c r="B492" s="158" t="str">
        <f t="shared" si="7"/>
        <v/>
      </c>
      <c r="C492" s="154"/>
      <c r="D492" s="155"/>
      <c r="E492" s="156" t="str">
        <f>IFERROR(VLOOKUP(D492,'🗂️ DATA_ESCUELAS'!$A:$D,2,0),"")</f>
        <v/>
      </c>
      <c r="F492" s="156" t="str">
        <f>IFERROR(VLOOKUP(D492,'🗂️ DATA_ESCUELAS'!$A:$D,3,0),"")</f>
        <v/>
      </c>
      <c r="G492" s="156"/>
      <c r="H492" s="157"/>
      <c r="I492" s="157"/>
      <c r="J492" s="156"/>
      <c r="K492" s="155"/>
      <c r="L492" s="156"/>
      <c r="M492" s="155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153" t="str">
        <f t="shared" si="5"/>
        <v/>
      </c>
      <c r="B493" s="158" t="str">
        <f t="shared" si="7"/>
        <v/>
      </c>
      <c r="C493" s="154"/>
      <c r="D493" s="155"/>
      <c r="E493" s="156" t="str">
        <f>IFERROR(VLOOKUP(D493,'🗂️ DATA_ESCUELAS'!$A:$D,2,0),"")</f>
        <v/>
      </c>
      <c r="F493" s="156" t="str">
        <f>IFERROR(VLOOKUP(D493,'🗂️ DATA_ESCUELAS'!$A:$D,3,0),"")</f>
        <v/>
      </c>
      <c r="G493" s="156"/>
      <c r="H493" s="157"/>
      <c r="I493" s="157"/>
      <c r="J493" s="156"/>
      <c r="K493" s="155"/>
      <c r="L493" s="156"/>
      <c r="M493" s="155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153" t="str">
        <f t="shared" si="5"/>
        <v/>
      </c>
      <c r="B494" s="158" t="str">
        <f t="shared" si="7"/>
        <v/>
      </c>
      <c r="C494" s="154"/>
      <c r="D494" s="155"/>
      <c r="E494" s="156" t="str">
        <f>IFERROR(VLOOKUP(D494,'🗂️ DATA_ESCUELAS'!$A:$D,2,0),"")</f>
        <v/>
      </c>
      <c r="F494" s="156" t="str">
        <f>IFERROR(VLOOKUP(D494,'🗂️ DATA_ESCUELAS'!$A:$D,3,0),"")</f>
        <v/>
      </c>
      <c r="G494" s="156"/>
      <c r="H494" s="157"/>
      <c r="I494" s="157"/>
      <c r="J494" s="156"/>
      <c r="K494" s="155"/>
      <c r="L494" s="156"/>
      <c r="M494" s="155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153" t="str">
        <f t="shared" si="5"/>
        <v/>
      </c>
      <c r="B495" s="158" t="str">
        <f t="shared" si="7"/>
        <v/>
      </c>
      <c r="C495" s="154"/>
      <c r="D495" s="155"/>
      <c r="E495" s="156" t="str">
        <f>IFERROR(VLOOKUP(D495,'🗂️ DATA_ESCUELAS'!$A:$D,2,0),"")</f>
        <v/>
      </c>
      <c r="F495" s="156" t="str">
        <f>IFERROR(VLOOKUP(D495,'🗂️ DATA_ESCUELAS'!$A:$D,3,0),"")</f>
        <v/>
      </c>
      <c r="G495" s="156"/>
      <c r="H495" s="157"/>
      <c r="I495" s="157"/>
      <c r="J495" s="156"/>
      <c r="K495" s="155"/>
      <c r="L495" s="156"/>
      <c r="M495" s="155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153" t="str">
        <f t="shared" si="5"/>
        <v/>
      </c>
      <c r="B496" s="158" t="str">
        <f t="shared" si="7"/>
        <v/>
      </c>
      <c r="C496" s="154"/>
      <c r="D496" s="155"/>
      <c r="E496" s="156" t="str">
        <f>IFERROR(VLOOKUP(D496,'🗂️ DATA_ESCUELAS'!$A:$D,2,0),"")</f>
        <v/>
      </c>
      <c r="F496" s="156" t="str">
        <f>IFERROR(VLOOKUP(D496,'🗂️ DATA_ESCUELAS'!$A:$D,3,0),"")</f>
        <v/>
      </c>
      <c r="G496" s="156"/>
      <c r="H496" s="157"/>
      <c r="I496" s="157"/>
      <c r="J496" s="156"/>
      <c r="K496" s="155"/>
      <c r="L496" s="156"/>
      <c r="M496" s="155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153" t="str">
        <f t="shared" si="5"/>
        <v/>
      </c>
      <c r="B497" s="158" t="str">
        <f t="shared" si="7"/>
        <v/>
      </c>
      <c r="C497" s="154"/>
      <c r="D497" s="155"/>
      <c r="E497" s="156" t="str">
        <f>IFERROR(VLOOKUP(D497,'🗂️ DATA_ESCUELAS'!$A:$D,2,0),"")</f>
        <v/>
      </c>
      <c r="F497" s="156" t="str">
        <f>IFERROR(VLOOKUP(D497,'🗂️ DATA_ESCUELAS'!$A:$D,3,0),"")</f>
        <v/>
      </c>
      <c r="G497" s="156"/>
      <c r="H497" s="157"/>
      <c r="I497" s="157"/>
      <c r="J497" s="156"/>
      <c r="K497" s="155"/>
      <c r="L497" s="156"/>
      <c r="M497" s="155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153" t="str">
        <f t="shared" si="5"/>
        <v/>
      </c>
      <c r="B498" s="158" t="str">
        <f t="shared" si="7"/>
        <v/>
      </c>
      <c r="C498" s="154"/>
      <c r="D498" s="155"/>
      <c r="E498" s="156" t="str">
        <f>IFERROR(VLOOKUP(D498,'🗂️ DATA_ESCUELAS'!$A:$D,2,0),"")</f>
        <v/>
      </c>
      <c r="F498" s="156" t="str">
        <f>IFERROR(VLOOKUP(D498,'🗂️ DATA_ESCUELAS'!$A:$D,3,0),"")</f>
        <v/>
      </c>
      <c r="G498" s="156"/>
      <c r="H498" s="157"/>
      <c r="I498" s="157"/>
      <c r="J498" s="156"/>
      <c r="K498" s="155"/>
      <c r="L498" s="156"/>
      <c r="M498" s="155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153" t="str">
        <f t="shared" si="5"/>
        <v/>
      </c>
      <c r="B499" s="158" t="str">
        <f t="shared" si="7"/>
        <v/>
      </c>
      <c r="C499" s="154"/>
      <c r="D499" s="155"/>
      <c r="E499" s="156" t="str">
        <f>IFERROR(VLOOKUP(D499,'🗂️ DATA_ESCUELAS'!$A:$D,2,0),"")</f>
        <v/>
      </c>
      <c r="F499" s="156" t="str">
        <f>IFERROR(VLOOKUP(D499,'🗂️ DATA_ESCUELAS'!$A:$D,3,0),"")</f>
        <v/>
      </c>
      <c r="G499" s="156"/>
      <c r="H499" s="157"/>
      <c r="I499" s="157"/>
      <c r="J499" s="156"/>
      <c r="K499" s="155"/>
      <c r="L499" s="156"/>
      <c r="M499" s="155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153" t="str">
        <f t="shared" si="5"/>
        <v/>
      </c>
      <c r="B500" s="158" t="str">
        <f t="shared" si="7"/>
        <v/>
      </c>
      <c r="C500" s="154"/>
      <c r="D500" s="155"/>
      <c r="E500" s="156" t="str">
        <f>IFERROR(VLOOKUP(D500,'🗂️ DATA_ESCUELAS'!$A:$D,2,0),"")</f>
        <v/>
      </c>
      <c r="F500" s="156" t="str">
        <f>IFERROR(VLOOKUP(D500,'🗂️ DATA_ESCUELAS'!$A:$D,3,0),"")</f>
        <v/>
      </c>
      <c r="G500" s="156"/>
      <c r="H500" s="157"/>
      <c r="I500" s="157"/>
      <c r="J500" s="156"/>
      <c r="K500" s="155"/>
      <c r="L500" s="156"/>
      <c r="M500" s="155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11"/>
      <c r="B501" s="13"/>
      <c r="C501" s="15"/>
      <c r="D501" s="16"/>
      <c r="E501" s="6"/>
      <c r="F501" s="6"/>
      <c r="G501" s="6"/>
      <c r="H501" s="18"/>
      <c r="I501" s="18"/>
      <c r="J501" s="6"/>
      <c r="K501" s="16"/>
      <c r="L501" s="6"/>
      <c r="M501" s="1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11"/>
      <c r="B502" s="13"/>
      <c r="C502" s="15"/>
      <c r="D502" s="16"/>
      <c r="E502" s="6"/>
      <c r="F502" s="6"/>
      <c r="G502" s="6"/>
      <c r="H502" s="18"/>
      <c r="I502" s="18"/>
      <c r="J502" s="6"/>
      <c r="K502" s="16"/>
      <c r="L502" s="6"/>
      <c r="M502" s="1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11"/>
      <c r="B503" s="13"/>
      <c r="C503" s="15"/>
      <c r="D503" s="16"/>
      <c r="E503" s="6"/>
      <c r="F503" s="6"/>
      <c r="G503" s="6"/>
      <c r="H503" s="18"/>
      <c r="I503" s="18"/>
      <c r="J503" s="6"/>
      <c r="K503" s="16"/>
      <c r="L503" s="6"/>
      <c r="M503" s="1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11"/>
      <c r="B504" s="13"/>
      <c r="C504" s="15"/>
      <c r="D504" s="16"/>
      <c r="E504" s="6"/>
      <c r="F504" s="6"/>
      <c r="G504" s="6"/>
      <c r="H504" s="18"/>
      <c r="I504" s="18"/>
      <c r="J504" s="6"/>
      <c r="K504" s="16"/>
      <c r="L504" s="6"/>
      <c r="M504" s="1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11"/>
      <c r="B505" s="13"/>
      <c r="C505" s="15"/>
      <c r="D505" s="16"/>
      <c r="E505" s="6"/>
      <c r="F505" s="6"/>
      <c r="G505" s="6"/>
      <c r="H505" s="18"/>
      <c r="I505" s="18"/>
      <c r="J505" s="6"/>
      <c r="K505" s="16"/>
      <c r="L505" s="6"/>
      <c r="M505" s="1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11"/>
      <c r="B506" s="13"/>
      <c r="C506" s="15"/>
      <c r="D506" s="16"/>
      <c r="E506" s="6"/>
      <c r="F506" s="6"/>
      <c r="G506" s="6"/>
      <c r="H506" s="18"/>
      <c r="I506" s="18"/>
      <c r="J506" s="6"/>
      <c r="K506" s="16"/>
      <c r="L506" s="6"/>
      <c r="M506" s="1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11"/>
      <c r="B507" s="13"/>
      <c r="C507" s="15"/>
      <c r="D507" s="16"/>
      <c r="E507" s="6"/>
      <c r="F507" s="6"/>
      <c r="G507" s="6"/>
      <c r="H507" s="18"/>
      <c r="I507" s="18"/>
      <c r="J507" s="6"/>
      <c r="K507" s="16"/>
      <c r="L507" s="6"/>
      <c r="M507" s="1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11"/>
      <c r="B508" s="13"/>
      <c r="C508" s="15"/>
      <c r="D508" s="16"/>
      <c r="E508" s="6"/>
      <c r="F508" s="6"/>
      <c r="G508" s="6"/>
      <c r="H508" s="18"/>
      <c r="I508" s="18"/>
      <c r="J508" s="6"/>
      <c r="K508" s="16"/>
      <c r="L508" s="6"/>
      <c r="M508" s="1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11"/>
      <c r="B509" s="13"/>
      <c r="C509" s="15"/>
      <c r="D509" s="16"/>
      <c r="E509" s="6"/>
      <c r="F509" s="6"/>
      <c r="G509" s="6"/>
      <c r="H509" s="18"/>
      <c r="I509" s="18"/>
      <c r="J509" s="6"/>
      <c r="K509" s="16"/>
      <c r="L509" s="6"/>
      <c r="M509" s="1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11"/>
      <c r="B510" s="13"/>
      <c r="C510" s="15"/>
      <c r="D510" s="16"/>
      <c r="E510" s="6"/>
      <c r="F510" s="6"/>
      <c r="G510" s="6"/>
      <c r="H510" s="18"/>
      <c r="I510" s="18"/>
      <c r="J510" s="6"/>
      <c r="K510" s="16"/>
      <c r="L510" s="6"/>
      <c r="M510" s="1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11"/>
      <c r="B511" s="13"/>
      <c r="C511" s="15"/>
      <c r="D511" s="16"/>
      <c r="E511" s="6"/>
      <c r="F511" s="6"/>
      <c r="G511" s="6"/>
      <c r="H511" s="18"/>
      <c r="I511" s="18"/>
      <c r="J511" s="6"/>
      <c r="K511" s="16"/>
      <c r="L511" s="6"/>
      <c r="M511" s="1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11"/>
      <c r="B512" s="13"/>
      <c r="C512" s="15"/>
      <c r="D512" s="16"/>
      <c r="E512" s="6"/>
      <c r="F512" s="6"/>
      <c r="G512" s="6"/>
      <c r="H512" s="18"/>
      <c r="I512" s="18"/>
      <c r="J512" s="6"/>
      <c r="K512" s="16"/>
      <c r="L512" s="6"/>
      <c r="M512" s="1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11"/>
      <c r="B513" s="13"/>
      <c r="C513" s="15"/>
      <c r="D513" s="16"/>
      <c r="E513" s="6"/>
      <c r="F513" s="6"/>
      <c r="G513" s="6"/>
      <c r="H513" s="18"/>
      <c r="I513" s="18"/>
      <c r="J513" s="6"/>
      <c r="K513" s="16"/>
      <c r="L513" s="6"/>
      <c r="M513" s="1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11"/>
      <c r="B514" s="13"/>
      <c r="C514" s="15"/>
      <c r="D514" s="16"/>
      <c r="E514" s="6"/>
      <c r="F514" s="6"/>
      <c r="G514" s="6"/>
      <c r="H514" s="18"/>
      <c r="I514" s="18"/>
      <c r="J514" s="6"/>
      <c r="K514" s="16"/>
      <c r="L514" s="6"/>
      <c r="M514" s="1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11"/>
      <c r="B515" s="13"/>
      <c r="C515" s="15"/>
      <c r="D515" s="16"/>
      <c r="E515" s="6"/>
      <c r="F515" s="6"/>
      <c r="G515" s="6"/>
      <c r="H515" s="18"/>
      <c r="I515" s="18"/>
      <c r="J515" s="6"/>
      <c r="K515" s="16"/>
      <c r="L515" s="6"/>
      <c r="M515" s="1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11"/>
      <c r="B516" s="13"/>
      <c r="C516" s="15"/>
      <c r="D516" s="16"/>
      <c r="E516" s="6"/>
      <c r="F516" s="6"/>
      <c r="G516" s="6"/>
      <c r="H516" s="18"/>
      <c r="I516" s="18"/>
      <c r="J516" s="6"/>
      <c r="K516" s="16"/>
      <c r="L516" s="6"/>
      <c r="M516" s="1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11"/>
      <c r="B517" s="13"/>
      <c r="C517" s="15"/>
      <c r="D517" s="16"/>
      <c r="E517" s="6"/>
      <c r="F517" s="6"/>
      <c r="G517" s="6"/>
      <c r="H517" s="18"/>
      <c r="I517" s="18"/>
      <c r="J517" s="6"/>
      <c r="K517" s="16"/>
      <c r="L517" s="6"/>
      <c r="M517" s="1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11"/>
      <c r="B518" s="13"/>
      <c r="C518" s="15"/>
      <c r="D518" s="16"/>
      <c r="E518" s="6"/>
      <c r="F518" s="6"/>
      <c r="G518" s="6"/>
      <c r="H518" s="18"/>
      <c r="I518" s="18"/>
      <c r="J518" s="6"/>
      <c r="K518" s="16"/>
      <c r="L518" s="6"/>
      <c r="M518" s="1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11"/>
      <c r="B519" s="13"/>
      <c r="C519" s="15"/>
      <c r="D519" s="16"/>
      <c r="E519" s="6"/>
      <c r="F519" s="6"/>
      <c r="G519" s="6"/>
      <c r="H519" s="18"/>
      <c r="I519" s="18"/>
      <c r="J519" s="6"/>
      <c r="K519" s="16"/>
      <c r="L519" s="6"/>
      <c r="M519" s="1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11"/>
      <c r="B520" s="13"/>
      <c r="C520" s="15"/>
      <c r="D520" s="16"/>
      <c r="E520" s="6"/>
      <c r="F520" s="6"/>
      <c r="G520" s="6"/>
      <c r="H520" s="18"/>
      <c r="I520" s="18"/>
      <c r="J520" s="6"/>
      <c r="K520" s="16"/>
      <c r="L520" s="6"/>
      <c r="M520" s="1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11"/>
      <c r="B521" s="13"/>
      <c r="C521" s="15"/>
      <c r="D521" s="16"/>
      <c r="E521" s="6"/>
      <c r="F521" s="6"/>
      <c r="G521" s="6"/>
      <c r="H521" s="18"/>
      <c r="I521" s="18"/>
      <c r="J521" s="6"/>
      <c r="K521" s="16"/>
      <c r="L521" s="6"/>
      <c r="M521" s="1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11"/>
      <c r="B522" s="13"/>
      <c r="C522" s="15"/>
      <c r="D522" s="16"/>
      <c r="E522" s="6"/>
      <c r="F522" s="6"/>
      <c r="G522" s="6"/>
      <c r="H522" s="18"/>
      <c r="I522" s="18"/>
      <c r="J522" s="6"/>
      <c r="K522" s="16"/>
      <c r="L522" s="6"/>
      <c r="M522" s="1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11"/>
      <c r="B523" s="13"/>
      <c r="C523" s="15"/>
      <c r="D523" s="16"/>
      <c r="E523" s="6"/>
      <c r="F523" s="6"/>
      <c r="G523" s="6"/>
      <c r="H523" s="18"/>
      <c r="I523" s="18"/>
      <c r="J523" s="6"/>
      <c r="K523" s="16"/>
      <c r="L523" s="6"/>
      <c r="M523" s="1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11"/>
      <c r="B524" s="13"/>
      <c r="C524" s="15"/>
      <c r="D524" s="16"/>
      <c r="E524" s="6"/>
      <c r="F524" s="6"/>
      <c r="G524" s="6"/>
      <c r="H524" s="18"/>
      <c r="I524" s="18"/>
      <c r="J524" s="6"/>
      <c r="K524" s="16"/>
      <c r="L524" s="6"/>
      <c r="M524" s="1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11"/>
      <c r="B525" s="13"/>
      <c r="C525" s="15"/>
      <c r="D525" s="16"/>
      <c r="E525" s="6"/>
      <c r="F525" s="6"/>
      <c r="G525" s="6"/>
      <c r="H525" s="18"/>
      <c r="I525" s="18"/>
      <c r="J525" s="6"/>
      <c r="K525" s="16"/>
      <c r="L525" s="6"/>
      <c r="M525" s="1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11"/>
      <c r="B526" s="13"/>
      <c r="C526" s="15"/>
      <c r="D526" s="16"/>
      <c r="E526" s="6"/>
      <c r="F526" s="6"/>
      <c r="G526" s="6"/>
      <c r="H526" s="18"/>
      <c r="I526" s="18"/>
      <c r="J526" s="6"/>
      <c r="K526" s="16"/>
      <c r="L526" s="6"/>
      <c r="M526" s="1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11"/>
      <c r="B527" s="13"/>
      <c r="C527" s="15"/>
      <c r="D527" s="16"/>
      <c r="E527" s="6"/>
      <c r="F527" s="6"/>
      <c r="G527" s="6"/>
      <c r="H527" s="18"/>
      <c r="I527" s="18"/>
      <c r="J527" s="6"/>
      <c r="K527" s="16"/>
      <c r="L527" s="6"/>
      <c r="M527" s="1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11"/>
      <c r="B528" s="13"/>
      <c r="C528" s="15"/>
      <c r="D528" s="16"/>
      <c r="E528" s="6"/>
      <c r="F528" s="6"/>
      <c r="G528" s="6"/>
      <c r="H528" s="18"/>
      <c r="I528" s="18"/>
      <c r="J528" s="6"/>
      <c r="K528" s="16"/>
      <c r="L528" s="6"/>
      <c r="M528" s="1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11"/>
      <c r="B529" s="13"/>
      <c r="C529" s="15"/>
      <c r="D529" s="16"/>
      <c r="E529" s="6"/>
      <c r="F529" s="6"/>
      <c r="G529" s="6"/>
      <c r="H529" s="18"/>
      <c r="I529" s="18"/>
      <c r="J529" s="6"/>
      <c r="K529" s="16"/>
      <c r="L529" s="6"/>
      <c r="M529" s="1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11"/>
      <c r="B530" s="13"/>
      <c r="C530" s="15"/>
      <c r="D530" s="16"/>
      <c r="E530" s="6"/>
      <c r="F530" s="6"/>
      <c r="G530" s="6"/>
      <c r="H530" s="18"/>
      <c r="I530" s="18"/>
      <c r="J530" s="6"/>
      <c r="K530" s="16"/>
      <c r="L530" s="6"/>
      <c r="M530" s="1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11"/>
      <c r="B531" s="13"/>
      <c r="C531" s="15"/>
      <c r="D531" s="16"/>
      <c r="E531" s="6"/>
      <c r="F531" s="6"/>
      <c r="G531" s="6"/>
      <c r="H531" s="18"/>
      <c r="I531" s="18"/>
      <c r="J531" s="6"/>
      <c r="K531" s="16"/>
      <c r="L531" s="6"/>
      <c r="M531" s="1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11"/>
      <c r="B532" s="13"/>
      <c r="C532" s="15"/>
      <c r="D532" s="16"/>
      <c r="E532" s="6"/>
      <c r="F532" s="6"/>
      <c r="G532" s="6"/>
      <c r="H532" s="18"/>
      <c r="I532" s="18"/>
      <c r="J532" s="6"/>
      <c r="K532" s="16"/>
      <c r="L532" s="6"/>
      <c r="M532" s="1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11"/>
      <c r="B533" s="13"/>
      <c r="C533" s="15"/>
      <c r="D533" s="16"/>
      <c r="E533" s="6"/>
      <c r="F533" s="6"/>
      <c r="G533" s="6"/>
      <c r="H533" s="18"/>
      <c r="I533" s="18"/>
      <c r="J533" s="6"/>
      <c r="K533" s="16"/>
      <c r="L533" s="6"/>
      <c r="M533" s="1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11"/>
      <c r="B534" s="13"/>
      <c r="C534" s="15"/>
      <c r="D534" s="16"/>
      <c r="E534" s="6"/>
      <c r="F534" s="6"/>
      <c r="G534" s="6"/>
      <c r="H534" s="18"/>
      <c r="I534" s="18"/>
      <c r="J534" s="6"/>
      <c r="K534" s="16"/>
      <c r="L534" s="6"/>
      <c r="M534" s="1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11"/>
      <c r="B535" s="13"/>
      <c r="C535" s="15"/>
      <c r="D535" s="16"/>
      <c r="E535" s="6"/>
      <c r="F535" s="6"/>
      <c r="G535" s="6"/>
      <c r="H535" s="18"/>
      <c r="I535" s="18"/>
      <c r="J535" s="6"/>
      <c r="K535" s="16"/>
      <c r="L535" s="6"/>
      <c r="M535" s="1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11"/>
      <c r="B536" s="13"/>
      <c r="C536" s="15"/>
      <c r="D536" s="16"/>
      <c r="E536" s="6"/>
      <c r="F536" s="6"/>
      <c r="G536" s="6"/>
      <c r="H536" s="18"/>
      <c r="I536" s="18"/>
      <c r="J536" s="6"/>
      <c r="K536" s="16"/>
      <c r="L536" s="6"/>
      <c r="M536" s="1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11"/>
      <c r="B537" s="13"/>
      <c r="C537" s="15"/>
      <c r="D537" s="16"/>
      <c r="E537" s="6"/>
      <c r="F537" s="6"/>
      <c r="G537" s="6"/>
      <c r="H537" s="18"/>
      <c r="I537" s="18"/>
      <c r="J537" s="6"/>
      <c r="K537" s="16"/>
      <c r="L537" s="6"/>
      <c r="M537" s="1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11"/>
      <c r="B538" s="13"/>
      <c r="C538" s="15"/>
      <c r="D538" s="16"/>
      <c r="E538" s="6"/>
      <c r="F538" s="6"/>
      <c r="G538" s="6"/>
      <c r="H538" s="18"/>
      <c r="I538" s="18"/>
      <c r="J538" s="6"/>
      <c r="K538" s="16"/>
      <c r="L538" s="6"/>
      <c r="M538" s="1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11"/>
      <c r="B539" s="13"/>
      <c r="C539" s="15"/>
      <c r="D539" s="16"/>
      <c r="E539" s="6"/>
      <c r="F539" s="6"/>
      <c r="G539" s="6"/>
      <c r="H539" s="18"/>
      <c r="I539" s="18"/>
      <c r="J539" s="6"/>
      <c r="K539" s="16"/>
      <c r="L539" s="6"/>
      <c r="M539" s="1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11"/>
      <c r="B540" s="13"/>
      <c r="C540" s="15"/>
      <c r="D540" s="16"/>
      <c r="E540" s="6"/>
      <c r="F540" s="6"/>
      <c r="G540" s="6"/>
      <c r="H540" s="18"/>
      <c r="I540" s="18"/>
      <c r="J540" s="6"/>
      <c r="K540" s="16"/>
      <c r="L540" s="6"/>
      <c r="M540" s="1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11"/>
      <c r="B541" s="13"/>
      <c r="C541" s="15"/>
      <c r="D541" s="16"/>
      <c r="E541" s="6"/>
      <c r="F541" s="6"/>
      <c r="G541" s="6"/>
      <c r="H541" s="18"/>
      <c r="I541" s="18"/>
      <c r="J541" s="6"/>
      <c r="K541" s="16"/>
      <c r="L541" s="6"/>
      <c r="M541" s="1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11"/>
      <c r="B542" s="13"/>
      <c r="C542" s="15"/>
      <c r="D542" s="16"/>
      <c r="E542" s="6"/>
      <c r="F542" s="6"/>
      <c r="G542" s="6"/>
      <c r="H542" s="18"/>
      <c r="I542" s="18"/>
      <c r="J542" s="6"/>
      <c r="K542" s="16"/>
      <c r="L542" s="6"/>
      <c r="M542" s="1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11"/>
      <c r="B543" s="13"/>
      <c r="C543" s="15"/>
      <c r="D543" s="16"/>
      <c r="E543" s="6"/>
      <c r="F543" s="6"/>
      <c r="G543" s="6"/>
      <c r="H543" s="18"/>
      <c r="I543" s="18"/>
      <c r="J543" s="6"/>
      <c r="K543" s="16"/>
      <c r="L543" s="6"/>
      <c r="M543" s="1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11"/>
      <c r="B544" s="13"/>
      <c r="C544" s="15"/>
      <c r="D544" s="16"/>
      <c r="E544" s="6"/>
      <c r="F544" s="6"/>
      <c r="G544" s="6"/>
      <c r="H544" s="18"/>
      <c r="I544" s="18"/>
      <c r="J544" s="6"/>
      <c r="K544" s="16"/>
      <c r="L544" s="6"/>
      <c r="M544" s="1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11"/>
      <c r="B545" s="13"/>
      <c r="C545" s="15"/>
      <c r="D545" s="16"/>
      <c r="E545" s="6"/>
      <c r="F545" s="6"/>
      <c r="G545" s="6"/>
      <c r="H545" s="18"/>
      <c r="I545" s="18"/>
      <c r="J545" s="6"/>
      <c r="K545" s="16"/>
      <c r="L545" s="6"/>
      <c r="M545" s="1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11"/>
      <c r="B546" s="13"/>
      <c r="C546" s="15"/>
      <c r="D546" s="16"/>
      <c r="E546" s="6"/>
      <c r="F546" s="6"/>
      <c r="G546" s="6"/>
      <c r="H546" s="18"/>
      <c r="I546" s="18"/>
      <c r="J546" s="6"/>
      <c r="K546" s="16"/>
      <c r="L546" s="6"/>
      <c r="M546" s="1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11"/>
      <c r="B547" s="13"/>
      <c r="C547" s="15"/>
      <c r="D547" s="16"/>
      <c r="E547" s="6"/>
      <c r="F547" s="6"/>
      <c r="G547" s="6"/>
      <c r="H547" s="18"/>
      <c r="I547" s="18"/>
      <c r="J547" s="6"/>
      <c r="K547" s="16"/>
      <c r="L547" s="6"/>
      <c r="M547" s="1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11"/>
      <c r="B548" s="13"/>
      <c r="C548" s="15"/>
      <c r="D548" s="16"/>
      <c r="E548" s="6"/>
      <c r="F548" s="6"/>
      <c r="G548" s="6"/>
      <c r="H548" s="18"/>
      <c r="I548" s="18"/>
      <c r="J548" s="6"/>
      <c r="K548" s="16"/>
      <c r="L548" s="6"/>
      <c r="M548" s="1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11"/>
      <c r="B549" s="13"/>
      <c r="C549" s="15"/>
      <c r="D549" s="16"/>
      <c r="E549" s="6"/>
      <c r="F549" s="6"/>
      <c r="G549" s="6"/>
      <c r="H549" s="18"/>
      <c r="I549" s="18"/>
      <c r="J549" s="6"/>
      <c r="K549" s="16"/>
      <c r="L549" s="6"/>
      <c r="M549" s="1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11"/>
      <c r="B550" s="13"/>
      <c r="C550" s="15"/>
      <c r="D550" s="16"/>
      <c r="E550" s="6"/>
      <c r="F550" s="6"/>
      <c r="G550" s="6"/>
      <c r="H550" s="18"/>
      <c r="I550" s="18"/>
      <c r="J550" s="6"/>
      <c r="K550" s="16"/>
      <c r="L550" s="6"/>
      <c r="M550" s="1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11"/>
      <c r="B551" s="13"/>
      <c r="C551" s="15"/>
      <c r="D551" s="16"/>
      <c r="E551" s="6"/>
      <c r="F551" s="6"/>
      <c r="G551" s="6"/>
      <c r="H551" s="18"/>
      <c r="I551" s="18"/>
      <c r="J551" s="6"/>
      <c r="K551" s="16"/>
      <c r="L551" s="6"/>
      <c r="M551" s="1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11"/>
      <c r="B552" s="13"/>
      <c r="C552" s="15"/>
      <c r="D552" s="16"/>
      <c r="E552" s="6"/>
      <c r="F552" s="6"/>
      <c r="G552" s="6"/>
      <c r="H552" s="18"/>
      <c r="I552" s="18"/>
      <c r="J552" s="6"/>
      <c r="K552" s="16"/>
      <c r="L552" s="6"/>
      <c r="M552" s="1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11"/>
      <c r="B553" s="13"/>
      <c r="C553" s="15"/>
      <c r="D553" s="16"/>
      <c r="E553" s="6"/>
      <c r="F553" s="6"/>
      <c r="G553" s="6"/>
      <c r="H553" s="18"/>
      <c r="I553" s="18"/>
      <c r="J553" s="6"/>
      <c r="K553" s="16"/>
      <c r="L553" s="6"/>
      <c r="M553" s="1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11"/>
      <c r="B554" s="13"/>
      <c r="C554" s="15"/>
      <c r="D554" s="16"/>
      <c r="E554" s="6"/>
      <c r="F554" s="6"/>
      <c r="G554" s="6"/>
      <c r="H554" s="18"/>
      <c r="I554" s="18"/>
      <c r="J554" s="6"/>
      <c r="K554" s="16"/>
      <c r="L554" s="6"/>
      <c r="M554" s="1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11"/>
      <c r="B555" s="13"/>
      <c r="C555" s="15"/>
      <c r="D555" s="16"/>
      <c r="E555" s="6"/>
      <c r="F555" s="6"/>
      <c r="G555" s="6"/>
      <c r="H555" s="18"/>
      <c r="I555" s="18"/>
      <c r="J555" s="6"/>
      <c r="K555" s="16"/>
      <c r="L555" s="6"/>
      <c r="M555" s="1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11"/>
      <c r="B556" s="13"/>
      <c r="C556" s="15"/>
      <c r="D556" s="16"/>
      <c r="E556" s="6"/>
      <c r="F556" s="6"/>
      <c r="G556" s="6"/>
      <c r="H556" s="18"/>
      <c r="I556" s="18"/>
      <c r="J556" s="6"/>
      <c r="K556" s="16"/>
      <c r="L556" s="6"/>
      <c r="M556" s="1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11"/>
      <c r="B557" s="13"/>
      <c r="C557" s="15"/>
      <c r="D557" s="16"/>
      <c r="E557" s="6"/>
      <c r="F557" s="6"/>
      <c r="G557" s="6"/>
      <c r="H557" s="18"/>
      <c r="I557" s="18"/>
      <c r="J557" s="6"/>
      <c r="K557" s="16"/>
      <c r="L557" s="6"/>
      <c r="M557" s="1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11"/>
      <c r="B558" s="13"/>
      <c r="C558" s="15"/>
      <c r="D558" s="16"/>
      <c r="E558" s="6"/>
      <c r="F558" s="6"/>
      <c r="G558" s="6"/>
      <c r="H558" s="18"/>
      <c r="I558" s="18"/>
      <c r="J558" s="6"/>
      <c r="K558" s="16"/>
      <c r="L558" s="6"/>
      <c r="M558" s="1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11"/>
      <c r="B559" s="13"/>
      <c r="C559" s="15"/>
      <c r="D559" s="16"/>
      <c r="E559" s="6"/>
      <c r="F559" s="6"/>
      <c r="G559" s="6"/>
      <c r="H559" s="18"/>
      <c r="I559" s="18"/>
      <c r="J559" s="6"/>
      <c r="K559" s="16"/>
      <c r="L559" s="6"/>
      <c r="M559" s="1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11"/>
      <c r="B560" s="13"/>
      <c r="C560" s="15"/>
      <c r="D560" s="16"/>
      <c r="E560" s="6"/>
      <c r="F560" s="6"/>
      <c r="G560" s="6"/>
      <c r="H560" s="18"/>
      <c r="I560" s="18"/>
      <c r="J560" s="6"/>
      <c r="K560" s="16"/>
      <c r="L560" s="6"/>
      <c r="M560" s="1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11"/>
      <c r="B561" s="13"/>
      <c r="C561" s="15"/>
      <c r="D561" s="16"/>
      <c r="E561" s="6"/>
      <c r="F561" s="6"/>
      <c r="G561" s="6"/>
      <c r="H561" s="18"/>
      <c r="I561" s="18"/>
      <c r="J561" s="6"/>
      <c r="K561" s="16"/>
      <c r="L561" s="6"/>
      <c r="M561" s="1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11"/>
      <c r="B562" s="13"/>
      <c r="C562" s="15"/>
      <c r="D562" s="16"/>
      <c r="E562" s="6"/>
      <c r="F562" s="6"/>
      <c r="G562" s="6"/>
      <c r="H562" s="18"/>
      <c r="I562" s="18"/>
      <c r="J562" s="6"/>
      <c r="K562" s="16"/>
      <c r="L562" s="6"/>
      <c r="M562" s="1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11"/>
      <c r="B563" s="13"/>
      <c r="C563" s="15"/>
      <c r="D563" s="16"/>
      <c r="E563" s="6"/>
      <c r="F563" s="6"/>
      <c r="G563" s="6"/>
      <c r="H563" s="18"/>
      <c r="I563" s="18"/>
      <c r="J563" s="6"/>
      <c r="K563" s="16"/>
      <c r="L563" s="6"/>
      <c r="M563" s="1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11"/>
      <c r="B564" s="13"/>
      <c r="C564" s="15"/>
      <c r="D564" s="16"/>
      <c r="E564" s="6"/>
      <c r="F564" s="6"/>
      <c r="G564" s="6"/>
      <c r="H564" s="18"/>
      <c r="I564" s="18"/>
      <c r="J564" s="6"/>
      <c r="K564" s="16"/>
      <c r="L564" s="6"/>
      <c r="M564" s="1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11"/>
      <c r="B565" s="13"/>
      <c r="C565" s="15"/>
      <c r="D565" s="16"/>
      <c r="E565" s="6"/>
      <c r="F565" s="6"/>
      <c r="G565" s="6"/>
      <c r="H565" s="18"/>
      <c r="I565" s="18"/>
      <c r="J565" s="6"/>
      <c r="K565" s="16"/>
      <c r="L565" s="6"/>
      <c r="M565" s="1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11"/>
      <c r="B566" s="13"/>
      <c r="C566" s="15"/>
      <c r="D566" s="16"/>
      <c r="E566" s="6"/>
      <c r="F566" s="6"/>
      <c r="G566" s="6"/>
      <c r="H566" s="18"/>
      <c r="I566" s="18"/>
      <c r="J566" s="6"/>
      <c r="K566" s="16"/>
      <c r="L566" s="6"/>
      <c r="M566" s="1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11"/>
      <c r="B567" s="13"/>
      <c r="C567" s="15"/>
      <c r="D567" s="16"/>
      <c r="E567" s="6"/>
      <c r="F567" s="6"/>
      <c r="G567" s="6"/>
      <c r="H567" s="18"/>
      <c r="I567" s="18"/>
      <c r="J567" s="6"/>
      <c r="K567" s="16"/>
      <c r="L567" s="6"/>
      <c r="M567" s="1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11"/>
      <c r="B568" s="13"/>
      <c r="C568" s="15"/>
      <c r="D568" s="16"/>
      <c r="E568" s="6"/>
      <c r="F568" s="6"/>
      <c r="G568" s="6"/>
      <c r="H568" s="18"/>
      <c r="I568" s="18"/>
      <c r="J568" s="6"/>
      <c r="K568" s="16"/>
      <c r="L568" s="6"/>
      <c r="M568" s="1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11"/>
      <c r="B569" s="13"/>
      <c r="C569" s="15"/>
      <c r="D569" s="16"/>
      <c r="E569" s="6"/>
      <c r="F569" s="6"/>
      <c r="G569" s="6"/>
      <c r="H569" s="18"/>
      <c r="I569" s="18"/>
      <c r="J569" s="6"/>
      <c r="K569" s="16"/>
      <c r="L569" s="6"/>
      <c r="M569" s="1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11"/>
      <c r="B570" s="13"/>
      <c r="C570" s="15"/>
      <c r="D570" s="16"/>
      <c r="E570" s="6"/>
      <c r="F570" s="6"/>
      <c r="G570" s="6"/>
      <c r="H570" s="18"/>
      <c r="I570" s="18"/>
      <c r="J570" s="6"/>
      <c r="K570" s="16"/>
      <c r="L570" s="6"/>
      <c r="M570" s="1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11"/>
      <c r="B571" s="13"/>
      <c r="C571" s="15"/>
      <c r="D571" s="16"/>
      <c r="E571" s="6"/>
      <c r="F571" s="6"/>
      <c r="G571" s="6"/>
      <c r="H571" s="18"/>
      <c r="I571" s="18"/>
      <c r="J571" s="6"/>
      <c r="K571" s="16"/>
      <c r="L571" s="6"/>
      <c r="M571" s="1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11"/>
      <c r="B572" s="13"/>
      <c r="C572" s="15"/>
      <c r="D572" s="16"/>
      <c r="E572" s="6"/>
      <c r="F572" s="6"/>
      <c r="G572" s="6"/>
      <c r="H572" s="18"/>
      <c r="I572" s="18"/>
      <c r="J572" s="6"/>
      <c r="K572" s="16"/>
      <c r="L572" s="6"/>
      <c r="M572" s="1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11"/>
      <c r="B573" s="13"/>
      <c r="C573" s="15"/>
      <c r="D573" s="16"/>
      <c r="E573" s="6"/>
      <c r="F573" s="6"/>
      <c r="G573" s="6"/>
      <c r="H573" s="18"/>
      <c r="I573" s="18"/>
      <c r="J573" s="6"/>
      <c r="K573" s="16"/>
      <c r="L573" s="6"/>
      <c r="M573" s="1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11"/>
      <c r="B574" s="13"/>
      <c r="C574" s="15"/>
      <c r="D574" s="16"/>
      <c r="E574" s="6"/>
      <c r="F574" s="6"/>
      <c r="G574" s="6"/>
      <c r="H574" s="18"/>
      <c r="I574" s="18"/>
      <c r="J574" s="6"/>
      <c r="K574" s="16"/>
      <c r="L574" s="6"/>
      <c r="M574" s="1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11"/>
      <c r="B575" s="13"/>
      <c r="C575" s="15"/>
      <c r="D575" s="16"/>
      <c r="E575" s="6"/>
      <c r="F575" s="6"/>
      <c r="G575" s="6"/>
      <c r="H575" s="18"/>
      <c r="I575" s="18"/>
      <c r="J575" s="6"/>
      <c r="K575" s="16"/>
      <c r="L575" s="6"/>
      <c r="M575" s="1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11"/>
      <c r="B576" s="13"/>
      <c r="C576" s="15"/>
      <c r="D576" s="16"/>
      <c r="E576" s="6"/>
      <c r="F576" s="6"/>
      <c r="G576" s="6"/>
      <c r="H576" s="18"/>
      <c r="I576" s="18"/>
      <c r="J576" s="6"/>
      <c r="K576" s="16"/>
      <c r="L576" s="6"/>
      <c r="M576" s="1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11"/>
      <c r="B577" s="13"/>
      <c r="C577" s="15"/>
      <c r="D577" s="16"/>
      <c r="E577" s="6"/>
      <c r="F577" s="6"/>
      <c r="G577" s="6"/>
      <c r="H577" s="18"/>
      <c r="I577" s="18"/>
      <c r="J577" s="6"/>
      <c r="K577" s="16"/>
      <c r="L577" s="6"/>
      <c r="M577" s="1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11"/>
      <c r="B578" s="13"/>
      <c r="C578" s="15"/>
      <c r="D578" s="16"/>
      <c r="E578" s="6"/>
      <c r="F578" s="6"/>
      <c r="G578" s="6"/>
      <c r="H578" s="18"/>
      <c r="I578" s="18"/>
      <c r="J578" s="6"/>
      <c r="K578" s="16"/>
      <c r="L578" s="6"/>
      <c r="M578" s="1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11"/>
      <c r="B579" s="13"/>
      <c r="C579" s="15"/>
      <c r="D579" s="16"/>
      <c r="E579" s="6"/>
      <c r="F579" s="6"/>
      <c r="G579" s="6"/>
      <c r="H579" s="18"/>
      <c r="I579" s="18"/>
      <c r="J579" s="6"/>
      <c r="K579" s="16"/>
      <c r="L579" s="6"/>
      <c r="M579" s="1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11"/>
      <c r="B580" s="13"/>
      <c r="C580" s="15"/>
      <c r="D580" s="16"/>
      <c r="E580" s="6"/>
      <c r="F580" s="6"/>
      <c r="G580" s="6"/>
      <c r="H580" s="18"/>
      <c r="I580" s="18"/>
      <c r="J580" s="6"/>
      <c r="K580" s="16"/>
      <c r="L580" s="6"/>
      <c r="M580" s="1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11"/>
      <c r="B581" s="13"/>
      <c r="C581" s="15"/>
      <c r="D581" s="16"/>
      <c r="E581" s="6"/>
      <c r="F581" s="6"/>
      <c r="G581" s="6"/>
      <c r="H581" s="18"/>
      <c r="I581" s="18"/>
      <c r="J581" s="6"/>
      <c r="K581" s="16"/>
      <c r="L581" s="6"/>
      <c r="M581" s="1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11"/>
      <c r="B582" s="13"/>
      <c r="C582" s="15"/>
      <c r="D582" s="16"/>
      <c r="E582" s="6"/>
      <c r="F582" s="6"/>
      <c r="G582" s="6"/>
      <c r="H582" s="18"/>
      <c r="I582" s="18"/>
      <c r="J582" s="6"/>
      <c r="K582" s="16"/>
      <c r="L582" s="6"/>
      <c r="M582" s="1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11"/>
      <c r="B583" s="13"/>
      <c r="C583" s="15"/>
      <c r="D583" s="16"/>
      <c r="E583" s="6"/>
      <c r="F583" s="6"/>
      <c r="G583" s="6"/>
      <c r="H583" s="18"/>
      <c r="I583" s="18"/>
      <c r="J583" s="6"/>
      <c r="K583" s="16"/>
      <c r="L583" s="6"/>
      <c r="M583" s="1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11"/>
      <c r="B584" s="13"/>
      <c r="C584" s="15"/>
      <c r="D584" s="16"/>
      <c r="E584" s="6"/>
      <c r="F584" s="6"/>
      <c r="G584" s="6"/>
      <c r="H584" s="18"/>
      <c r="I584" s="18"/>
      <c r="J584" s="6"/>
      <c r="K584" s="16"/>
      <c r="L584" s="6"/>
      <c r="M584" s="1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11"/>
      <c r="B585" s="13"/>
      <c r="C585" s="15"/>
      <c r="D585" s="16"/>
      <c r="E585" s="6"/>
      <c r="F585" s="6"/>
      <c r="G585" s="6"/>
      <c r="H585" s="18"/>
      <c r="I585" s="18"/>
      <c r="J585" s="6"/>
      <c r="K585" s="16"/>
      <c r="L585" s="6"/>
      <c r="M585" s="1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11"/>
      <c r="B586" s="13"/>
      <c r="C586" s="15"/>
      <c r="D586" s="16"/>
      <c r="E586" s="6"/>
      <c r="F586" s="6"/>
      <c r="G586" s="6"/>
      <c r="H586" s="18"/>
      <c r="I586" s="18"/>
      <c r="J586" s="6"/>
      <c r="K586" s="16"/>
      <c r="L586" s="6"/>
      <c r="M586" s="1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11"/>
      <c r="B587" s="13"/>
      <c r="C587" s="15"/>
      <c r="D587" s="16"/>
      <c r="E587" s="6"/>
      <c r="F587" s="6"/>
      <c r="G587" s="6"/>
      <c r="H587" s="18"/>
      <c r="I587" s="18"/>
      <c r="J587" s="6"/>
      <c r="K587" s="16"/>
      <c r="L587" s="6"/>
      <c r="M587" s="1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11"/>
      <c r="B588" s="13"/>
      <c r="C588" s="15"/>
      <c r="D588" s="16"/>
      <c r="E588" s="6"/>
      <c r="F588" s="6"/>
      <c r="G588" s="6"/>
      <c r="H588" s="18"/>
      <c r="I588" s="18"/>
      <c r="J588" s="6"/>
      <c r="K588" s="16"/>
      <c r="L588" s="6"/>
      <c r="M588" s="1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11"/>
      <c r="B589" s="13"/>
      <c r="C589" s="15"/>
      <c r="D589" s="16"/>
      <c r="E589" s="6"/>
      <c r="F589" s="6"/>
      <c r="G589" s="6"/>
      <c r="H589" s="18"/>
      <c r="I589" s="18"/>
      <c r="J589" s="6"/>
      <c r="K589" s="16"/>
      <c r="L589" s="6"/>
      <c r="M589" s="1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11"/>
      <c r="B590" s="13"/>
      <c r="C590" s="15"/>
      <c r="D590" s="16"/>
      <c r="E590" s="6"/>
      <c r="F590" s="6"/>
      <c r="G590" s="6"/>
      <c r="H590" s="18"/>
      <c r="I590" s="18"/>
      <c r="J590" s="6"/>
      <c r="K590" s="16"/>
      <c r="L590" s="6"/>
      <c r="M590" s="1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11"/>
      <c r="B591" s="13"/>
      <c r="C591" s="15"/>
      <c r="D591" s="16"/>
      <c r="E591" s="6"/>
      <c r="F591" s="6"/>
      <c r="G591" s="6"/>
      <c r="H591" s="18"/>
      <c r="I591" s="18"/>
      <c r="J591" s="6"/>
      <c r="K591" s="16"/>
      <c r="L591" s="6"/>
      <c r="M591" s="1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11"/>
      <c r="B592" s="13"/>
      <c r="C592" s="15"/>
      <c r="D592" s="16"/>
      <c r="E592" s="6"/>
      <c r="F592" s="6"/>
      <c r="G592" s="6"/>
      <c r="H592" s="18"/>
      <c r="I592" s="18"/>
      <c r="J592" s="6"/>
      <c r="K592" s="16"/>
      <c r="L592" s="6"/>
      <c r="M592" s="1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11"/>
      <c r="B593" s="13"/>
      <c r="C593" s="15"/>
      <c r="D593" s="16"/>
      <c r="E593" s="6"/>
      <c r="F593" s="6"/>
      <c r="G593" s="6"/>
      <c r="H593" s="18"/>
      <c r="I593" s="18"/>
      <c r="J593" s="6"/>
      <c r="K593" s="16"/>
      <c r="L593" s="6"/>
      <c r="M593" s="1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11"/>
      <c r="B594" s="13"/>
      <c r="C594" s="15"/>
      <c r="D594" s="16"/>
      <c r="E594" s="6"/>
      <c r="F594" s="6"/>
      <c r="G594" s="6"/>
      <c r="H594" s="18"/>
      <c r="I594" s="18"/>
      <c r="J594" s="6"/>
      <c r="K594" s="16"/>
      <c r="L594" s="6"/>
      <c r="M594" s="1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11"/>
      <c r="B595" s="13"/>
      <c r="C595" s="15"/>
      <c r="D595" s="16"/>
      <c r="E595" s="6"/>
      <c r="F595" s="6"/>
      <c r="G595" s="6"/>
      <c r="H595" s="18"/>
      <c r="I595" s="18"/>
      <c r="J595" s="6"/>
      <c r="K595" s="16"/>
      <c r="L595" s="6"/>
      <c r="M595" s="1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11"/>
      <c r="B596" s="13"/>
      <c r="C596" s="15"/>
      <c r="D596" s="16"/>
      <c r="E596" s="6"/>
      <c r="F596" s="6"/>
      <c r="G596" s="6"/>
      <c r="H596" s="18"/>
      <c r="I596" s="18"/>
      <c r="J596" s="6"/>
      <c r="K596" s="16"/>
      <c r="L596" s="6"/>
      <c r="M596" s="1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11"/>
      <c r="B597" s="13"/>
      <c r="C597" s="15"/>
      <c r="D597" s="16"/>
      <c r="E597" s="6"/>
      <c r="F597" s="6"/>
      <c r="G597" s="6"/>
      <c r="H597" s="18"/>
      <c r="I597" s="18"/>
      <c r="J597" s="6"/>
      <c r="K597" s="16"/>
      <c r="L597" s="6"/>
      <c r="M597" s="1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11"/>
      <c r="B598" s="13"/>
      <c r="C598" s="15"/>
      <c r="D598" s="16"/>
      <c r="E598" s="6"/>
      <c r="F598" s="6"/>
      <c r="G598" s="6"/>
      <c r="H598" s="18"/>
      <c r="I598" s="18"/>
      <c r="J598" s="6"/>
      <c r="K598" s="16"/>
      <c r="L598" s="6"/>
      <c r="M598" s="1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11"/>
      <c r="B599" s="13"/>
      <c r="C599" s="15"/>
      <c r="D599" s="16"/>
      <c r="E599" s="6"/>
      <c r="F599" s="6"/>
      <c r="G599" s="6"/>
      <c r="H599" s="18"/>
      <c r="I599" s="18"/>
      <c r="J599" s="6"/>
      <c r="K599" s="16"/>
      <c r="L599" s="6"/>
      <c r="M599" s="1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11"/>
      <c r="B600" s="13"/>
      <c r="C600" s="15"/>
      <c r="D600" s="16"/>
      <c r="E600" s="6"/>
      <c r="F600" s="6"/>
      <c r="G600" s="6"/>
      <c r="H600" s="18"/>
      <c r="I600" s="18"/>
      <c r="J600" s="6"/>
      <c r="K600" s="16"/>
      <c r="L600" s="6"/>
      <c r="M600" s="1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11"/>
      <c r="B601" s="13"/>
      <c r="C601" s="15"/>
      <c r="D601" s="16"/>
      <c r="E601" s="6"/>
      <c r="F601" s="6"/>
      <c r="G601" s="6"/>
      <c r="H601" s="18"/>
      <c r="I601" s="18"/>
      <c r="J601" s="6"/>
      <c r="K601" s="16"/>
      <c r="L601" s="6"/>
      <c r="M601" s="1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11"/>
      <c r="B602" s="13"/>
      <c r="C602" s="15"/>
      <c r="D602" s="16"/>
      <c r="E602" s="6"/>
      <c r="F602" s="6"/>
      <c r="G602" s="6"/>
      <c r="H602" s="18"/>
      <c r="I602" s="18"/>
      <c r="J602" s="6"/>
      <c r="K602" s="16"/>
      <c r="L602" s="6"/>
      <c r="M602" s="1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11"/>
      <c r="B603" s="13"/>
      <c r="C603" s="15"/>
      <c r="D603" s="16"/>
      <c r="E603" s="6"/>
      <c r="F603" s="6"/>
      <c r="G603" s="6"/>
      <c r="H603" s="18"/>
      <c r="I603" s="18"/>
      <c r="J603" s="6"/>
      <c r="K603" s="16"/>
      <c r="L603" s="6"/>
      <c r="M603" s="1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11"/>
      <c r="B604" s="13"/>
      <c r="C604" s="15"/>
      <c r="D604" s="16"/>
      <c r="E604" s="6"/>
      <c r="F604" s="6"/>
      <c r="G604" s="6"/>
      <c r="H604" s="18"/>
      <c r="I604" s="18"/>
      <c r="J604" s="6"/>
      <c r="K604" s="16"/>
      <c r="L604" s="6"/>
      <c r="M604" s="1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11"/>
      <c r="B605" s="13"/>
      <c r="C605" s="15"/>
      <c r="D605" s="16"/>
      <c r="E605" s="6"/>
      <c r="F605" s="6"/>
      <c r="G605" s="6"/>
      <c r="H605" s="18"/>
      <c r="I605" s="18"/>
      <c r="J605" s="6"/>
      <c r="K605" s="16"/>
      <c r="L605" s="6"/>
      <c r="M605" s="1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11"/>
      <c r="B606" s="13"/>
      <c r="C606" s="15"/>
      <c r="D606" s="16"/>
      <c r="E606" s="6"/>
      <c r="F606" s="6"/>
      <c r="G606" s="6"/>
      <c r="H606" s="18"/>
      <c r="I606" s="18"/>
      <c r="J606" s="6"/>
      <c r="K606" s="16"/>
      <c r="L606" s="6"/>
      <c r="M606" s="1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11"/>
      <c r="B607" s="13"/>
      <c r="C607" s="15"/>
      <c r="D607" s="16"/>
      <c r="E607" s="6"/>
      <c r="F607" s="6"/>
      <c r="G607" s="6"/>
      <c r="H607" s="18"/>
      <c r="I607" s="18"/>
      <c r="J607" s="6"/>
      <c r="K607" s="16"/>
      <c r="L607" s="6"/>
      <c r="M607" s="1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11"/>
      <c r="B608" s="13"/>
      <c r="C608" s="15"/>
      <c r="D608" s="16"/>
      <c r="E608" s="6"/>
      <c r="F608" s="6"/>
      <c r="G608" s="6"/>
      <c r="H608" s="18"/>
      <c r="I608" s="18"/>
      <c r="J608" s="6"/>
      <c r="K608" s="16"/>
      <c r="L608" s="6"/>
      <c r="M608" s="1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11"/>
      <c r="B609" s="13"/>
      <c r="C609" s="15"/>
      <c r="D609" s="16"/>
      <c r="E609" s="6"/>
      <c r="F609" s="6"/>
      <c r="G609" s="6"/>
      <c r="H609" s="18"/>
      <c r="I609" s="18"/>
      <c r="J609" s="6"/>
      <c r="K609" s="16"/>
      <c r="L609" s="6"/>
      <c r="M609" s="1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11"/>
      <c r="B610" s="13"/>
      <c r="C610" s="15"/>
      <c r="D610" s="16"/>
      <c r="E610" s="6"/>
      <c r="F610" s="6"/>
      <c r="G610" s="6"/>
      <c r="H610" s="18"/>
      <c r="I610" s="18"/>
      <c r="J610" s="6"/>
      <c r="K610" s="16"/>
      <c r="L610" s="6"/>
      <c r="M610" s="1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11"/>
      <c r="B611" s="13"/>
      <c r="C611" s="15"/>
      <c r="D611" s="16"/>
      <c r="E611" s="6"/>
      <c r="F611" s="6"/>
      <c r="G611" s="6"/>
      <c r="H611" s="18"/>
      <c r="I611" s="18"/>
      <c r="J611" s="6"/>
      <c r="K611" s="16"/>
      <c r="L611" s="6"/>
      <c r="M611" s="1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11"/>
      <c r="B612" s="13"/>
      <c r="C612" s="15"/>
      <c r="D612" s="16"/>
      <c r="E612" s="6"/>
      <c r="F612" s="6"/>
      <c r="G612" s="6"/>
      <c r="H612" s="18"/>
      <c r="I612" s="18"/>
      <c r="J612" s="6"/>
      <c r="K612" s="16"/>
      <c r="L612" s="6"/>
      <c r="M612" s="1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11"/>
      <c r="B613" s="13"/>
      <c r="C613" s="15"/>
      <c r="D613" s="16"/>
      <c r="E613" s="6"/>
      <c r="F613" s="6"/>
      <c r="G613" s="6"/>
      <c r="H613" s="18"/>
      <c r="I613" s="18"/>
      <c r="J613" s="6"/>
      <c r="K613" s="16"/>
      <c r="L613" s="6"/>
      <c r="M613" s="1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11"/>
      <c r="B614" s="13"/>
      <c r="C614" s="15"/>
      <c r="D614" s="16"/>
      <c r="E614" s="6"/>
      <c r="F614" s="6"/>
      <c r="G614" s="6"/>
      <c r="H614" s="18"/>
      <c r="I614" s="18"/>
      <c r="J614" s="6"/>
      <c r="K614" s="16"/>
      <c r="L614" s="6"/>
      <c r="M614" s="1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11"/>
      <c r="B615" s="13"/>
      <c r="C615" s="15"/>
      <c r="D615" s="16"/>
      <c r="E615" s="6"/>
      <c r="F615" s="6"/>
      <c r="G615" s="6"/>
      <c r="H615" s="18"/>
      <c r="I615" s="18"/>
      <c r="J615" s="6"/>
      <c r="K615" s="16"/>
      <c r="L615" s="6"/>
      <c r="M615" s="1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11"/>
      <c r="B616" s="13"/>
      <c r="C616" s="15"/>
      <c r="D616" s="16"/>
      <c r="E616" s="6"/>
      <c r="F616" s="6"/>
      <c r="G616" s="6"/>
      <c r="H616" s="18"/>
      <c r="I616" s="18"/>
      <c r="J616" s="6"/>
      <c r="K616" s="16"/>
      <c r="L616" s="6"/>
      <c r="M616" s="1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11"/>
      <c r="B617" s="13"/>
      <c r="C617" s="15"/>
      <c r="D617" s="16"/>
      <c r="E617" s="6"/>
      <c r="F617" s="6"/>
      <c r="G617" s="6"/>
      <c r="H617" s="18"/>
      <c r="I617" s="18"/>
      <c r="J617" s="6"/>
      <c r="K617" s="16"/>
      <c r="L617" s="6"/>
      <c r="M617" s="1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11"/>
      <c r="B618" s="13"/>
      <c r="C618" s="15"/>
      <c r="D618" s="16"/>
      <c r="E618" s="6"/>
      <c r="F618" s="6"/>
      <c r="G618" s="6"/>
      <c r="H618" s="18"/>
      <c r="I618" s="18"/>
      <c r="J618" s="6"/>
      <c r="K618" s="16"/>
      <c r="L618" s="6"/>
      <c r="M618" s="1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11"/>
      <c r="B619" s="13"/>
      <c r="C619" s="15"/>
      <c r="D619" s="16"/>
      <c r="E619" s="6"/>
      <c r="F619" s="6"/>
      <c r="G619" s="6"/>
      <c r="H619" s="18"/>
      <c r="I619" s="18"/>
      <c r="J619" s="6"/>
      <c r="K619" s="16"/>
      <c r="L619" s="6"/>
      <c r="M619" s="1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11"/>
      <c r="B620" s="13"/>
      <c r="C620" s="15"/>
      <c r="D620" s="16"/>
      <c r="E620" s="6"/>
      <c r="F620" s="6"/>
      <c r="G620" s="6"/>
      <c r="H620" s="18"/>
      <c r="I620" s="18"/>
      <c r="J620" s="6"/>
      <c r="K620" s="16"/>
      <c r="L620" s="6"/>
      <c r="M620" s="1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11"/>
      <c r="B621" s="13"/>
      <c r="C621" s="15"/>
      <c r="D621" s="16"/>
      <c r="E621" s="6"/>
      <c r="F621" s="6"/>
      <c r="G621" s="6"/>
      <c r="H621" s="18"/>
      <c r="I621" s="18"/>
      <c r="J621" s="6"/>
      <c r="K621" s="16"/>
      <c r="L621" s="6"/>
      <c r="M621" s="1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11"/>
      <c r="B622" s="13"/>
      <c r="C622" s="15"/>
      <c r="D622" s="16"/>
      <c r="E622" s="6"/>
      <c r="F622" s="6"/>
      <c r="G622" s="6"/>
      <c r="H622" s="18"/>
      <c r="I622" s="18"/>
      <c r="J622" s="6"/>
      <c r="K622" s="16"/>
      <c r="L622" s="6"/>
      <c r="M622" s="1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11"/>
      <c r="B623" s="13"/>
      <c r="C623" s="15"/>
      <c r="D623" s="16"/>
      <c r="E623" s="6"/>
      <c r="F623" s="6"/>
      <c r="G623" s="6"/>
      <c r="H623" s="18"/>
      <c r="I623" s="18"/>
      <c r="J623" s="6"/>
      <c r="K623" s="16"/>
      <c r="L623" s="6"/>
      <c r="M623" s="1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11"/>
      <c r="B624" s="13"/>
      <c r="C624" s="15"/>
      <c r="D624" s="16"/>
      <c r="E624" s="6"/>
      <c r="F624" s="6"/>
      <c r="G624" s="6"/>
      <c r="H624" s="18"/>
      <c r="I624" s="18"/>
      <c r="J624" s="6"/>
      <c r="K624" s="16"/>
      <c r="L624" s="6"/>
      <c r="M624" s="1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11"/>
      <c r="B625" s="13"/>
      <c r="C625" s="15"/>
      <c r="D625" s="16"/>
      <c r="E625" s="6"/>
      <c r="F625" s="6"/>
      <c r="G625" s="6"/>
      <c r="H625" s="18"/>
      <c r="I625" s="18"/>
      <c r="J625" s="6"/>
      <c r="K625" s="16"/>
      <c r="L625" s="6"/>
      <c r="M625" s="1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11"/>
      <c r="B626" s="13"/>
      <c r="C626" s="15"/>
      <c r="D626" s="16"/>
      <c r="E626" s="6"/>
      <c r="F626" s="6"/>
      <c r="G626" s="6"/>
      <c r="H626" s="18"/>
      <c r="I626" s="18"/>
      <c r="J626" s="6"/>
      <c r="K626" s="16"/>
      <c r="L626" s="6"/>
      <c r="M626" s="1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11"/>
      <c r="B627" s="13"/>
      <c r="C627" s="15"/>
      <c r="D627" s="16"/>
      <c r="E627" s="6"/>
      <c r="F627" s="6"/>
      <c r="G627" s="6"/>
      <c r="H627" s="18"/>
      <c r="I627" s="18"/>
      <c r="J627" s="6"/>
      <c r="K627" s="16"/>
      <c r="L627" s="6"/>
      <c r="M627" s="1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11"/>
      <c r="B628" s="13"/>
      <c r="C628" s="15"/>
      <c r="D628" s="16"/>
      <c r="E628" s="6"/>
      <c r="F628" s="6"/>
      <c r="G628" s="6"/>
      <c r="H628" s="18"/>
      <c r="I628" s="18"/>
      <c r="J628" s="6"/>
      <c r="K628" s="16"/>
      <c r="L628" s="6"/>
      <c r="M628" s="1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11"/>
      <c r="B629" s="13"/>
      <c r="C629" s="15"/>
      <c r="D629" s="16"/>
      <c r="E629" s="6"/>
      <c r="F629" s="6"/>
      <c r="G629" s="6"/>
      <c r="H629" s="18"/>
      <c r="I629" s="18"/>
      <c r="J629" s="6"/>
      <c r="K629" s="16"/>
      <c r="L629" s="6"/>
      <c r="M629" s="1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11"/>
      <c r="B630" s="13"/>
      <c r="C630" s="15"/>
      <c r="D630" s="16"/>
      <c r="E630" s="6"/>
      <c r="F630" s="6"/>
      <c r="G630" s="6"/>
      <c r="H630" s="18"/>
      <c r="I630" s="18"/>
      <c r="J630" s="6"/>
      <c r="K630" s="16"/>
      <c r="L630" s="6"/>
      <c r="M630" s="1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11"/>
      <c r="B631" s="13"/>
      <c r="C631" s="15"/>
      <c r="D631" s="16"/>
      <c r="E631" s="6"/>
      <c r="F631" s="6"/>
      <c r="G631" s="6"/>
      <c r="H631" s="18"/>
      <c r="I631" s="18"/>
      <c r="J631" s="6"/>
      <c r="K631" s="16"/>
      <c r="L631" s="6"/>
      <c r="M631" s="1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11"/>
      <c r="B632" s="13"/>
      <c r="C632" s="15"/>
      <c r="D632" s="16"/>
      <c r="E632" s="6"/>
      <c r="F632" s="6"/>
      <c r="G632" s="6"/>
      <c r="H632" s="18"/>
      <c r="I632" s="18"/>
      <c r="J632" s="6"/>
      <c r="K632" s="16"/>
      <c r="L632" s="6"/>
      <c r="M632" s="1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11"/>
      <c r="B633" s="13"/>
      <c r="C633" s="15"/>
      <c r="D633" s="16"/>
      <c r="E633" s="6"/>
      <c r="F633" s="6"/>
      <c r="G633" s="6"/>
      <c r="H633" s="18"/>
      <c r="I633" s="18"/>
      <c r="J633" s="6"/>
      <c r="K633" s="16"/>
      <c r="L633" s="6"/>
      <c r="M633" s="1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11"/>
      <c r="B634" s="13"/>
      <c r="C634" s="15"/>
      <c r="D634" s="16"/>
      <c r="E634" s="6"/>
      <c r="F634" s="6"/>
      <c r="G634" s="6"/>
      <c r="H634" s="18"/>
      <c r="I634" s="18"/>
      <c r="J634" s="6"/>
      <c r="K634" s="16"/>
      <c r="L634" s="6"/>
      <c r="M634" s="1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11"/>
      <c r="B635" s="13"/>
      <c r="C635" s="15"/>
      <c r="D635" s="16"/>
      <c r="E635" s="6"/>
      <c r="F635" s="6"/>
      <c r="G635" s="6"/>
      <c r="H635" s="18"/>
      <c r="I635" s="18"/>
      <c r="J635" s="6"/>
      <c r="K635" s="16"/>
      <c r="L635" s="6"/>
      <c r="M635" s="1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11"/>
      <c r="B636" s="13"/>
      <c r="C636" s="15"/>
      <c r="D636" s="16"/>
      <c r="E636" s="6"/>
      <c r="F636" s="6"/>
      <c r="G636" s="6"/>
      <c r="H636" s="18"/>
      <c r="I636" s="18"/>
      <c r="J636" s="6"/>
      <c r="K636" s="16"/>
      <c r="L636" s="6"/>
      <c r="M636" s="1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11"/>
      <c r="B637" s="13"/>
      <c r="C637" s="15"/>
      <c r="D637" s="16"/>
      <c r="E637" s="6"/>
      <c r="F637" s="6"/>
      <c r="G637" s="6"/>
      <c r="H637" s="18"/>
      <c r="I637" s="18"/>
      <c r="J637" s="6"/>
      <c r="K637" s="16"/>
      <c r="L637" s="6"/>
      <c r="M637" s="1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11"/>
      <c r="B638" s="13"/>
      <c r="C638" s="15"/>
      <c r="D638" s="16"/>
      <c r="E638" s="6"/>
      <c r="F638" s="6"/>
      <c r="G638" s="6"/>
      <c r="H638" s="18"/>
      <c r="I638" s="18"/>
      <c r="J638" s="6"/>
      <c r="K638" s="16"/>
      <c r="L638" s="6"/>
      <c r="M638" s="1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11"/>
      <c r="B639" s="13"/>
      <c r="C639" s="15"/>
      <c r="D639" s="16"/>
      <c r="E639" s="6"/>
      <c r="F639" s="6"/>
      <c r="G639" s="6"/>
      <c r="H639" s="18"/>
      <c r="I639" s="18"/>
      <c r="J639" s="6"/>
      <c r="K639" s="16"/>
      <c r="L639" s="6"/>
      <c r="M639" s="1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11"/>
      <c r="B640" s="13"/>
      <c r="C640" s="15"/>
      <c r="D640" s="16"/>
      <c r="E640" s="6"/>
      <c r="F640" s="6"/>
      <c r="G640" s="6"/>
      <c r="H640" s="18"/>
      <c r="I640" s="18"/>
      <c r="J640" s="6"/>
      <c r="K640" s="16"/>
      <c r="L640" s="6"/>
      <c r="M640" s="1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11"/>
      <c r="B641" s="13"/>
      <c r="C641" s="15"/>
      <c r="D641" s="16"/>
      <c r="E641" s="6"/>
      <c r="F641" s="6"/>
      <c r="G641" s="6"/>
      <c r="H641" s="18"/>
      <c r="I641" s="18"/>
      <c r="J641" s="6"/>
      <c r="K641" s="16"/>
      <c r="L641" s="6"/>
      <c r="M641" s="1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11"/>
      <c r="B642" s="13"/>
      <c r="C642" s="15"/>
      <c r="D642" s="16"/>
      <c r="E642" s="6"/>
      <c r="F642" s="6"/>
      <c r="G642" s="6"/>
      <c r="H642" s="18"/>
      <c r="I642" s="18"/>
      <c r="J642" s="6"/>
      <c r="K642" s="16"/>
      <c r="L642" s="6"/>
      <c r="M642" s="1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11"/>
      <c r="B643" s="13"/>
      <c r="C643" s="15"/>
      <c r="D643" s="16"/>
      <c r="E643" s="6"/>
      <c r="F643" s="6"/>
      <c r="G643" s="6"/>
      <c r="H643" s="18"/>
      <c r="I643" s="18"/>
      <c r="J643" s="6"/>
      <c r="K643" s="16"/>
      <c r="L643" s="6"/>
      <c r="M643" s="1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11"/>
      <c r="B644" s="13"/>
      <c r="C644" s="15"/>
      <c r="D644" s="16"/>
      <c r="E644" s="6"/>
      <c r="F644" s="6"/>
      <c r="G644" s="6"/>
      <c r="H644" s="18"/>
      <c r="I644" s="18"/>
      <c r="J644" s="6"/>
      <c r="K644" s="16"/>
      <c r="L644" s="6"/>
      <c r="M644" s="1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11"/>
      <c r="B645" s="13"/>
      <c r="C645" s="15"/>
      <c r="D645" s="16"/>
      <c r="E645" s="6"/>
      <c r="F645" s="6"/>
      <c r="G645" s="6"/>
      <c r="H645" s="18"/>
      <c r="I645" s="18"/>
      <c r="J645" s="6"/>
      <c r="K645" s="16"/>
      <c r="L645" s="6"/>
      <c r="M645" s="1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11"/>
      <c r="B646" s="13"/>
      <c r="C646" s="15"/>
      <c r="D646" s="16"/>
      <c r="E646" s="6"/>
      <c r="F646" s="6"/>
      <c r="G646" s="6"/>
      <c r="H646" s="18"/>
      <c r="I646" s="18"/>
      <c r="J646" s="6"/>
      <c r="K646" s="16"/>
      <c r="L646" s="6"/>
      <c r="M646" s="1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11"/>
      <c r="B647" s="13"/>
      <c r="C647" s="15"/>
      <c r="D647" s="16"/>
      <c r="E647" s="6"/>
      <c r="F647" s="6"/>
      <c r="G647" s="6"/>
      <c r="H647" s="18"/>
      <c r="I647" s="18"/>
      <c r="J647" s="6"/>
      <c r="K647" s="16"/>
      <c r="L647" s="6"/>
      <c r="M647" s="1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11"/>
      <c r="B648" s="13"/>
      <c r="C648" s="15"/>
      <c r="D648" s="16"/>
      <c r="E648" s="6"/>
      <c r="F648" s="6"/>
      <c r="G648" s="6"/>
      <c r="H648" s="18"/>
      <c r="I648" s="18"/>
      <c r="J648" s="6"/>
      <c r="K648" s="16"/>
      <c r="L648" s="6"/>
      <c r="M648" s="1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11"/>
      <c r="B649" s="13"/>
      <c r="C649" s="15"/>
      <c r="D649" s="16"/>
      <c r="E649" s="6"/>
      <c r="F649" s="6"/>
      <c r="G649" s="6"/>
      <c r="H649" s="18"/>
      <c r="I649" s="18"/>
      <c r="J649" s="6"/>
      <c r="K649" s="16"/>
      <c r="L649" s="6"/>
      <c r="M649" s="1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11"/>
      <c r="B650" s="13"/>
      <c r="C650" s="15"/>
      <c r="D650" s="16"/>
      <c r="E650" s="6"/>
      <c r="F650" s="6"/>
      <c r="G650" s="6"/>
      <c r="H650" s="18"/>
      <c r="I650" s="18"/>
      <c r="J650" s="6"/>
      <c r="K650" s="16"/>
      <c r="L650" s="6"/>
      <c r="M650" s="1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11"/>
      <c r="B651" s="13"/>
      <c r="C651" s="15"/>
      <c r="D651" s="16"/>
      <c r="E651" s="6"/>
      <c r="F651" s="6"/>
      <c r="G651" s="6"/>
      <c r="H651" s="18"/>
      <c r="I651" s="18"/>
      <c r="J651" s="6"/>
      <c r="K651" s="16"/>
      <c r="L651" s="6"/>
      <c r="M651" s="1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11"/>
      <c r="B652" s="13"/>
      <c r="C652" s="15"/>
      <c r="D652" s="16"/>
      <c r="E652" s="6"/>
      <c r="F652" s="6"/>
      <c r="G652" s="6"/>
      <c r="H652" s="18"/>
      <c r="I652" s="18"/>
      <c r="J652" s="6"/>
      <c r="K652" s="16"/>
      <c r="L652" s="6"/>
      <c r="M652" s="1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11"/>
      <c r="B653" s="13"/>
      <c r="C653" s="15"/>
      <c r="D653" s="16"/>
      <c r="E653" s="6"/>
      <c r="F653" s="6"/>
      <c r="G653" s="6"/>
      <c r="H653" s="18"/>
      <c r="I653" s="18"/>
      <c r="J653" s="6"/>
      <c r="K653" s="16"/>
      <c r="L653" s="6"/>
      <c r="M653" s="1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11"/>
      <c r="B654" s="13"/>
      <c r="C654" s="15"/>
      <c r="D654" s="16"/>
      <c r="E654" s="6"/>
      <c r="F654" s="6"/>
      <c r="G654" s="6"/>
      <c r="H654" s="18"/>
      <c r="I654" s="18"/>
      <c r="J654" s="6"/>
      <c r="K654" s="16"/>
      <c r="L654" s="6"/>
      <c r="M654" s="1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11"/>
      <c r="B655" s="13"/>
      <c r="C655" s="15"/>
      <c r="D655" s="16"/>
      <c r="E655" s="6"/>
      <c r="F655" s="6"/>
      <c r="G655" s="6"/>
      <c r="H655" s="18"/>
      <c r="I655" s="18"/>
      <c r="J655" s="6"/>
      <c r="K655" s="16"/>
      <c r="L655" s="6"/>
      <c r="M655" s="1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11"/>
      <c r="B656" s="13"/>
      <c r="C656" s="15"/>
      <c r="D656" s="16"/>
      <c r="E656" s="6"/>
      <c r="F656" s="6"/>
      <c r="G656" s="6"/>
      <c r="H656" s="18"/>
      <c r="I656" s="18"/>
      <c r="J656" s="6"/>
      <c r="K656" s="16"/>
      <c r="L656" s="6"/>
      <c r="M656" s="1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11"/>
      <c r="B657" s="13"/>
      <c r="C657" s="15"/>
      <c r="D657" s="16"/>
      <c r="E657" s="6"/>
      <c r="F657" s="6"/>
      <c r="G657" s="6"/>
      <c r="H657" s="18"/>
      <c r="I657" s="18"/>
      <c r="J657" s="6"/>
      <c r="K657" s="16"/>
      <c r="L657" s="6"/>
      <c r="M657" s="1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11"/>
      <c r="B658" s="13"/>
      <c r="C658" s="15"/>
      <c r="D658" s="16"/>
      <c r="E658" s="6"/>
      <c r="F658" s="6"/>
      <c r="G658" s="6"/>
      <c r="H658" s="18"/>
      <c r="I658" s="18"/>
      <c r="J658" s="6"/>
      <c r="K658" s="16"/>
      <c r="L658" s="6"/>
      <c r="M658" s="1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11"/>
      <c r="B659" s="13"/>
      <c r="C659" s="15"/>
      <c r="D659" s="16"/>
      <c r="E659" s="6"/>
      <c r="F659" s="6"/>
      <c r="G659" s="6"/>
      <c r="H659" s="18"/>
      <c r="I659" s="18"/>
      <c r="J659" s="6"/>
      <c r="K659" s="16"/>
      <c r="L659" s="6"/>
      <c r="M659" s="1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11"/>
      <c r="B660" s="13"/>
      <c r="C660" s="15"/>
      <c r="D660" s="16"/>
      <c r="E660" s="6"/>
      <c r="F660" s="6"/>
      <c r="G660" s="6"/>
      <c r="H660" s="18"/>
      <c r="I660" s="18"/>
      <c r="J660" s="6"/>
      <c r="K660" s="16"/>
      <c r="L660" s="6"/>
      <c r="M660" s="1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11"/>
      <c r="B661" s="13"/>
      <c r="C661" s="15"/>
      <c r="D661" s="16"/>
      <c r="E661" s="6"/>
      <c r="F661" s="6"/>
      <c r="G661" s="6"/>
      <c r="H661" s="18"/>
      <c r="I661" s="18"/>
      <c r="J661" s="6"/>
      <c r="K661" s="16"/>
      <c r="L661" s="6"/>
      <c r="M661" s="1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11"/>
      <c r="B662" s="13"/>
      <c r="C662" s="15"/>
      <c r="D662" s="16"/>
      <c r="E662" s="6"/>
      <c r="F662" s="6"/>
      <c r="G662" s="6"/>
      <c r="H662" s="18"/>
      <c r="I662" s="18"/>
      <c r="J662" s="6"/>
      <c r="K662" s="16"/>
      <c r="L662" s="6"/>
      <c r="M662" s="1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11"/>
      <c r="B663" s="13"/>
      <c r="C663" s="15"/>
      <c r="D663" s="16"/>
      <c r="E663" s="6"/>
      <c r="F663" s="6"/>
      <c r="G663" s="6"/>
      <c r="H663" s="18"/>
      <c r="I663" s="18"/>
      <c r="J663" s="6"/>
      <c r="K663" s="16"/>
      <c r="L663" s="6"/>
      <c r="M663" s="1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11"/>
      <c r="B664" s="13"/>
      <c r="C664" s="15"/>
      <c r="D664" s="16"/>
      <c r="E664" s="6"/>
      <c r="F664" s="6"/>
      <c r="G664" s="6"/>
      <c r="H664" s="18"/>
      <c r="I664" s="18"/>
      <c r="J664" s="6"/>
      <c r="K664" s="16"/>
      <c r="L664" s="6"/>
      <c r="M664" s="1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11"/>
      <c r="B665" s="13"/>
      <c r="C665" s="15"/>
      <c r="D665" s="16"/>
      <c r="E665" s="6"/>
      <c r="F665" s="6"/>
      <c r="G665" s="6"/>
      <c r="H665" s="18"/>
      <c r="I665" s="18"/>
      <c r="J665" s="6"/>
      <c r="K665" s="16"/>
      <c r="L665" s="6"/>
      <c r="M665" s="1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11"/>
      <c r="B666" s="13"/>
      <c r="C666" s="15"/>
      <c r="D666" s="16"/>
      <c r="E666" s="6"/>
      <c r="F666" s="6"/>
      <c r="G666" s="6"/>
      <c r="H666" s="18"/>
      <c r="I666" s="18"/>
      <c r="J666" s="6"/>
      <c r="K666" s="16"/>
      <c r="L666" s="6"/>
      <c r="M666" s="1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11"/>
      <c r="B667" s="13"/>
      <c r="C667" s="15"/>
      <c r="D667" s="16"/>
      <c r="E667" s="6"/>
      <c r="F667" s="6"/>
      <c r="G667" s="6"/>
      <c r="H667" s="18"/>
      <c r="I667" s="18"/>
      <c r="J667" s="6"/>
      <c r="K667" s="16"/>
      <c r="L667" s="6"/>
      <c r="M667" s="1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11"/>
      <c r="B668" s="13"/>
      <c r="C668" s="15"/>
      <c r="D668" s="16"/>
      <c r="E668" s="6"/>
      <c r="F668" s="6"/>
      <c r="G668" s="6"/>
      <c r="H668" s="18"/>
      <c r="I668" s="18"/>
      <c r="J668" s="6"/>
      <c r="K668" s="16"/>
      <c r="L668" s="6"/>
      <c r="M668" s="1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11"/>
      <c r="B669" s="13"/>
      <c r="C669" s="15"/>
      <c r="D669" s="16"/>
      <c r="E669" s="6"/>
      <c r="F669" s="6"/>
      <c r="G669" s="6"/>
      <c r="H669" s="18"/>
      <c r="I669" s="18"/>
      <c r="J669" s="6"/>
      <c r="K669" s="16"/>
      <c r="L669" s="6"/>
      <c r="M669" s="1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11"/>
      <c r="B670" s="13"/>
      <c r="C670" s="15"/>
      <c r="D670" s="16"/>
      <c r="E670" s="6"/>
      <c r="F670" s="6"/>
      <c r="G670" s="6"/>
      <c r="H670" s="18"/>
      <c r="I670" s="18"/>
      <c r="J670" s="6"/>
      <c r="K670" s="16"/>
      <c r="L670" s="6"/>
      <c r="M670" s="1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11"/>
      <c r="B671" s="13"/>
      <c r="C671" s="15"/>
      <c r="D671" s="16"/>
      <c r="E671" s="6"/>
      <c r="F671" s="6"/>
      <c r="G671" s="6"/>
      <c r="H671" s="18"/>
      <c r="I671" s="18"/>
      <c r="J671" s="6"/>
      <c r="K671" s="16"/>
      <c r="L671" s="6"/>
      <c r="M671" s="1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11"/>
      <c r="B672" s="13"/>
      <c r="C672" s="15"/>
      <c r="D672" s="16"/>
      <c r="E672" s="6"/>
      <c r="F672" s="6"/>
      <c r="G672" s="6"/>
      <c r="H672" s="18"/>
      <c r="I672" s="18"/>
      <c r="J672" s="6"/>
      <c r="K672" s="16"/>
      <c r="L672" s="6"/>
      <c r="M672" s="1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11"/>
      <c r="B673" s="13"/>
      <c r="C673" s="15"/>
      <c r="D673" s="16"/>
      <c r="E673" s="6"/>
      <c r="F673" s="6"/>
      <c r="G673" s="6"/>
      <c r="H673" s="18"/>
      <c r="I673" s="18"/>
      <c r="J673" s="6"/>
      <c r="K673" s="16"/>
      <c r="L673" s="6"/>
      <c r="M673" s="1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11"/>
      <c r="B674" s="13"/>
      <c r="C674" s="15"/>
      <c r="D674" s="16"/>
      <c r="E674" s="6"/>
      <c r="F674" s="6"/>
      <c r="G674" s="6"/>
      <c r="H674" s="18"/>
      <c r="I674" s="18"/>
      <c r="J674" s="6"/>
      <c r="K674" s="16"/>
      <c r="L674" s="6"/>
      <c r="M674" s="1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11"/>
      <c r="B675" s="13"/>
      <c r="C675" s="15"/>
      <c r="D675" s="16"/>
      <c r="E675" s="6"/>
      <c r="F675" s="6"/>
      <c r="G675" s="6"/>
      <c r="H675" s="18"/>
      <c r="I675" s="18"/>
      <c r="J675" s="6"/>
      <c r="K675" s="16"/>
      <c r="L675" s="6"/>
      <c r="M675" s="1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11"/>
      <c r="B676" s="13"/>
      <c r="C676" s="15"/>
      <c r="D676" s="16"/>
      <c r="E676" s="6"/>
      <c r="F676" s="6"/>
      <c r="G676" s="6"/>
      <c r="H676" s="18"/>
      <c r="I676" s="18"/>
      <c r="J676" s="6"/>
      <c r="K676" s="16"/>
      <c r="L676" s="6"/>
      <c r="M676" s="1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11"/>
      <c r="B677" s="13"/>
      <c r="C677" s="15"/>
      <c r="D677" s="16"/>
      <c r="E677" s="6"/>
      <c r="F677" s="6"/>
      <c r="G677" s="6"/>
      <c r="H677" s="18"/>
      <c r="I677" s="18"/>
      <c r="J677" s="6"/>
      <c r="K677" s="16"/>
      <c r="L677" s="6"/>
      <c r="M677" s="1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11"/>
      <c r="B678" s="13"/>
      <c r="C678" s="15"/>
      <c r="D678" s="16"/>
      <c r="E678" s="6"/>
      <c r="F678" s="6"/>
      <c r="G678" s="6"/>
      <c r="H678" s="18"/>
      <c r="I678" s="18"/>
      <c r="J678" s="6"/>
      <c r="K678" s="16"/>
      <c r="L678" s="6"/>
      <c r="M678" s="1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11"/>
      <c r="B679" s="13"/>
      <c r="C679" s="15"/>
      <c r="D679" s="16"/>
      <c r="E679" s="6"/>
      <c r="F679" s="6"/>
      <c r="G679" s="6"/>
      <c r="H679" s="18"/>
      <c r="I679" s="18"/>
      <c r="J679" s="6"/>
      <c r="K679" s="16"/>
      <c r="L679" s="6"/>
      <c r="M679" s="1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11"/>
      <c r="B680" s="13"/>
      <c r="C680" s="15"/>
      <c r="D680" s="16"/>
      <c r="E680" s="6"/>
      <c r="F680" s="6"/>
      <c r="G680" s="6"/>
      <c r="H680" s="18"/>
      <c r="I680" s="18"/>
      <c r="J680" s="6"/>
      <c r="K680" s="16"/>
      <c r="L680" s="6"/>
      <c r="M680" s="1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11"/>
      <c r="B681" s="13"/>
      <c r="C681" s="15"/>
      <c r="D681" s="16"/>
      <c r="E681" s="6"/>
      <c r="F681" s="6"/>
      <c r="G681" s="6"/>
      <c r="H681" s="18"/>
      <c r="I681" s="18"/>
      <c r="J681" s="6"/>
      <c r="K681" s="16"/>
      <c r="L681" s="6"/>
      <c r="M681" s="1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11"/>
      <c r="B682" s="13"/>
      <c r="C682" s="15"/>
      <c r="D682" s="16"/>
      <c r="E682" s="6"/>
      <c r="F682" s="6"/>
      <c r="G682" s="6"/>
      <c r="H682" s="18"/>
      <c r="I682" s="18"/>
      <c r="J682" s="6"/>
      <c r="K682" s="16"/>
      <c r="L682" s="6"/>
      <c r="M682" s="1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11"/>
      <c r="B683" s="13"/>
      <c r="C683" s="15"/>
      <c r="D683" s="16"/>
      <c r="E683" s="6"/>
      <c r="F683" s="6"/>
      <c r="G683" s="6"/>
      <c r="H683" s="18"/>
      <c r="I683" s="18"/>
      <c r="J683" s="6"/>
      <c r="K683" s="16"/>
      <c r="L683" s="6"/>
      <c r="M683" s="1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11"/>
      <c r="B684" s="13"/>
      <c r="C684" s="15"/>
      <c r="D684" s="16"/>
      <c r="E684" s="6"/>
      <c r="F684" s="6"/>
      <c r="G684" s="6"/>
      <c r="H684" s="18"/>
      <c r="I684" s="18"/>
      <c r="J684" s="6"/>
      <c r="K684" s="16"/>
      <c r="L684" s="6"/>
      <c r="M684" s="1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11"/>
      <c r="B685" s="13"/>
      <c r="C685" s="15"/>
      <c r="D685" s="16"/>
      <c r="E685" s="6"/>
      <c r="F685" s="6"/>
      <c r="G685" s="6"/>
      <c r="H685" s="18"/>
      <c r="I685" s="18"/>
      <c r="J685" s="6"/>
      <c r="K685" s="16"/>
      <c r="L685" s="6"/>
      <c r="M685" s="1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11"/>
      <c r="B686" s="13"/>
      <c r="C686" s="15"/>
      <c r="D686" s="16"/>
      <c r="E686" s="6"/>
      <c r="F686" s="6"/>
      <c r="G686" s="6"/>
      <c r="H686" s="18"/>
      <c r="I686" s="18"/>
      <c r="J686" s="6"/>
      <c r="K686" s="16"/>
      <c r="L686" s="6"/>
      <c r="M686" s="1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11"/>
      <c r="B687" s="13"/>
      <c r="C687" s="15"/>
      <c r="D687" s="16"/>
      <c r="E687" s="6"/>
      <c r="F687" s="6"/>
      <c r="G687" s="6"/>
      <c r="H687" s="18"/>
      <c r="I687" s="18"/>
      <c r="J687" s="6"/>
      <c r="K687" s="16"/>
      <c r="L687" s="6"/>
      <c r="M687" s="1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11"/>
      <c r="B688" s="13"/>
      <c r="C688" s="15"/>
      <c r="D688" s="16"/>
      <c r="E688" s="6"/>
      <c r="F688" s="6"/>
      <c r="G688" s="6"/>
      <c r="H688" s="18"/>
      <c r="I688" s="18"/>
      <c r="J688" s="6"/>
      <c r="K688" s="16"/>
      <c r="L688" s="6"/>
      <c r="M688" s="1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11"/>
      <c r="B689" s="13"/>
      <c r="C689" s="15"/>
      <c r="D689" s="16"/>
      <c r="E689" s="6"/>
      <c r="F689" s="6"/>
      <c r="G689" s="6"/>
      <c r="H689" s="18"/>
      <c r="I689" s="18"/>
      <c r="J689" s="6"/>
      <c r="K689" s="16"/>
      <c r="L689" s="6"/>
      <c r="M689" s="1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11"/>
      <c r="B690" s="13"/>
      <c r="C690" s="15"/>
      <c r="D690" s="16"/>
      <c r="E690" s="6"/>
      <c r="F690" s="6"/>
      <c r="G690" s="6"/>
      <c r="H690" s="18"/>
      <c r="I690" s="18"/>
      <c r="J690" s="6"/>
      <c r="K690" s="16"/>
      <c r="L690" s="6"/>
      <c r="M690" s="1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11"/>
      <c r="B691" s="13"/>
      <c r="C691" s="15"/>
      <c r="D691" s="16"/>
      <c r="E691" s="6"/>
      <c r="F691" s="6"/>
      <c r="G691" s="6"/>
      <c r="H691" s="18"/>
      <c r="I691" s="18"/>
      <c r="J691" s="6"/>
      <c r="K691" s="16"/>
      <c r="L691" s="6"/>
      <c r="M691" s="1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11"/>
      <c r="B692" s="13"/>
      <c r="C692" s="15"/>
      <c r="D692" s="16"/>
      <c r="E692" s="6"/>
      <c r="F692" s="6"/>
      <c r="G692" s="6"/>
      <c r="H692" s="18"/>
      <c r="I692" s="18"/>
      <c r="J692" s="6"/>
      <c r="K692" s="16"/>
      <c r="L692" s="6"/>
      <c r="M692" s="1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11"/>
      <c r="B693" s="13"/>
      <c r="C693" s="15"/>
      <c r="D693" s="16"/>
      <c r="E693" s="6"/>
      <c r="F693" s="6"/>
      <c r="G693" s="6"/>
      <c r="H693" s="18"/>
      <c r="I693" s="18"/>
      <c r="J693" s="6"/>
      <c r="K693" s="16"/>
      <c r="L693" s="6"/>
      <c r="M693" s="1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11"/>
      <c r="B694" s="13"/>
      <c r="C694" s="15"/>
      <c r="D694" s="16"/>
      <c r="E694" s="6"/>
      <c r="F694" s="6"/>
      <c r="G694" s="6"/>
      <c r="H694" s="18"/>
      <c r="I694" s="18"/>
      <c r="J694" s="6"/>
      <c r="K694" s="16"/>
      <c r="L694" s="6"/>
      <c r="M694" s="1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11"/>
      <c r="B695" s="13"/>
      <c r="C695" s="15"/>
      <c r="D695" s="16"/>
      <c r="E695" s="6"/>
      <c r="F695" s="6"/>
      <c r="G695" s="6"/>
      <c r="H695" s="18"/>
      <c r="I695" s="18"/>
      <c r="J695" s="6"/>
      <c r="K695" s="16"/>
      <c r="L695" s="6"/>
      <c r="M695" s="1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11"/>
      <c r="B696" s="13"/>
      <c r="C696" s="15"/>
      <c r="D696" s="16"/>
      <c r="E696" s="6"/>
      <c r="F696" s="6"/>
      <c r="G696" s="6"/>
      <c r="H696" s="18"/>
      <c r="I696" s="18"/>
      <c r="J696" s="6"/>
      <c r="K696" s="16"/>
      <c r="L696" s="6"/>
      <c r="M696" s="1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11"/>
      <c r="B697" s="13"/>
      <c r="C697" s="15"/>
      <c r="D697" s="16"/>
      <c r="E697" s="6"/>
      <c r="F697" s="6"/>
      <c r="G697" s="6"/>
      <c r="H697" s="18"/>
      <c r="I697" s="18"/>
      <c r="J697" s="6"/>
      <c r="K697" s="16"/>
      <c r="L697" s="6"/>
      <c r="M697" s="1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11"/>
      <c r="B698" s="13"/>
      <c r="C698" s="15"/>
      <c r="D698" s="16"/>
      <c r="E698" s="6"/>
      <c r="F698" s="6"/>
      <c r="G698" s="6"/>
      <c r="H698" s="18"/>
      <c r="I698" s="18"/>
      <c r="J698" s="6"/>
      <c r="K698" s="16"/>
      <c r="L698" s="6"/>
      <c r="M698" s="1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11"/>
      <c r="B699" s="13"/>
      <c r="C699" s="15"/>
      <c r="D699" s="16"/>
      <c r="E699" s="6"/>
      <c r="F699" s="6"/>
      <c r="G699" s="6"/>
      <c r="H699" s="18"/>
      <c r="I699" s="18"/>
      <c r="J699" s="6"/>
      <c r="K699" s="16"/>
      <c r="L699" s="6"/>
      <c r="M699" s="1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11"/>
      <c r="B700" s="13"/>
      <c r="C700" s="15"/>
      <c r="D700" s="16"/>
      <c r="E700" s="6"/>
      <c r="F700" s="6"/>
      <c r="G700" s="6"/>
      <c r="H700" s="18"/>
      <c r="I700" s="18"/>
      <c r="J700" s="6"/>
      <c r="K700" s="16"/>
      <c r="L700" s="6"/>
      <c r="M700" s="1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11"/>
      <c r="B701" s="13"/>
      <c r="C701" s="15"/>
      <c r="D701" s="16"/>
      <c r="E701" s="6"/>
      <c r="F701" s="6"/>
      <c r="G701" s="6"/>
      <c r="H701" s="18"/>
      <c r="I701" s="18"/>
      <c r="J701" s="6"/>
      <c r="K701" s="16"/>
      <c r="L701" s="6"/>
      <c r="M701" s="1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11"/>
      <c r="B702" s="13"/>
      <c r="C702" s="15"/>
      <c r="D702" s="16"/>
      <c r="E702" s="6"/>
      <c r="F702" s="6"/>
      <c r="G702" s="6"/>
      <c r="H702" s="18"/>
      <c r="I702" s="18"/>
      <c r="J702" s="6"/>
      <c r="K702" s="16"/>
      <c r="L702" s="6"/>
      <c r="M702" s="1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11"/>
      <c r="B703" s="13"/>
      <c r="C703" s="15"/>
      <c r="D703" s="16"/>
      <c r="E703" s="6"/>
      <c r="F703" s="6"/>
      <c r="G703" s="6"/>
      <c r="H703" s="18"/>
      <c r="I703" s="18"/>
      <c r="J703" s="6"/>
      <c r="K703" s="16"/>
      <c r="L703" s="6"/>
      <c r="M703" s="1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11"/>
      <c r="B704" s="13"/>
      <c r="C704" s="15"/>
      <c r="D704" s="16"/>
      <c r="E704" s="6"/>
      <c r="F704" s="6"/>
      <c r="G704" s="6"/>
      <c r="H704" s="18"/>
      <c r="I704" s="18"/>
      <c r="J704" s="6"/>
      <c r="K704" s="16"/>
      <c r="L704" s="6"/>
      <c r="M704" s="1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11"/>
      <c r="B705" s="13"/>
      <c r="C705" s="15"/>
      <c r="D705" s="16"/>
      <c r="E705" s="6"/>
      <c r="F705" s="6"/>
      <c r="G705" s="6"/>
      <c r="H705" s="18"/>
      <c r="I705" s="18"/>
      <c r="J705" s="6"/>
      <c r="K705" s="16"/>
      <c r="L705" s="6"/>
      <c r="M705" s="1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11"/>
      <c r="B706" s="13"/>
      <c r="C706" s="15"/>
      <c r="D706" s="16"/>
      <c r="E706" s="6"/>
      <c r="F706" s="6"/>
      <c r="G706" s="6"/>
      <c r="H706" s="18"/>
      <c r="I706" s="18"/>
      <c r="J706" s="6"/>
      <c r="K706" s="16"/>
      <c r="L706" s="6"/>
      <c r="M706" s="1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11"/>
      <c r="B707" s="13"/>
      <c r="C707" s="15"/>
      <c r="D707" s="16"/>
      <c r="E707" s="6"/>
      <c r="F707" s="6"/>
      <c r="G707" s="6"/>
      <c r="H707" s="18"/>
      <c r="I707" s="18"/>
      <c r="J707" s="6"/>
      <c r="K707" s="16"/>
      <c r="L707" s="6"/>
      <c r="M707" s="1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11"/>
      <c r="B708" s="13"/>
      <c r="C708" s="15"/>
      <c r="D708" s="16"/>
      <c r="E708" s="6"/>
      <c r="F708" s="6"/>
      <c r="G708" s="6"/>
      <c r="H708" s="18"/>
      <c r="I708" s="18"/>
      <c r="J708" s="6"/>
      <c r="K708" s="16"/>
      <c r="L708" s="6"/>
      <c r="M708" s="1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11"/>
      <c r="B709" s="13"/>
      <c r="C709" s="15"/>
      <c r="D709" s="16"/>
      <c r="E709" s="6"/>
      <c r="F709" s="6"/>
      <c r="G709" s="6"/>
      <c r="H709" s="18"/>
      <c r="I709" s="18"/>
      <c r="J709" s="6"/>
      <c r="K709" s="16"/>
      <c r="L709" s="6"/>
      <c r="M709" s="1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11"/>
      <c r="B710" s="13"/>
      <c r="C710" s="15"/>
      <c r="D710" s="16"/>
      <c r="E710" s="6"/>
      <c r="F710" s="6"/>
      <c r="G710" s="6"/>
      <c r="H710" s="18"/>
      <c r="I710" s="18"/>
      <c r="J710" s="6"/>
      <c r="K710" s="16"/>
      <c r="L710" s="6"/>
      <c r="M710" s="1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11"/>
      <c r="B711" s="13"/>
      <c r="C711" s="15"/>
      <c r="D711" s="16"/>
      <c r="E711" s="6"/>
      <c r="F711" s="6"/>
      <c r="G711" s="6"/>
      <c r="H711" s="18"/>
      <c r="I711" s="18"/>
      <c r="J711" s="6"/>
      <c r="K711" s="16"/>
      <c r="L711" s="6"/>
      <c r="M711" s="1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11"/>
      <c r="B712" s="13"/>
      <c r="C712" s="15"/>
      <c r="D712" s="16"/>
      <c r="E712" s="6"/>
      <c r="F712" s="6"/>
      <c r="G712" s="6"/>
      <c r="H712" s="18"/>
      <c r="I712" s="18"/>
      <c r="J712" s="6"/>
      <c r="K712" s="16"/>
      <c r="L712" s="6"/>
      <c r="M712" s="1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11"/>
      <c r="B713" s="13"/>
      <c r="C713" s="15"/>
      <c r="D713" s="16"/>
      <c r="E713" s="6"/>
      <c r="F713" s="6"/>
      <c r="G713" s="6"/>
      <c r="H713" s="18"/>
      <c r="I713" s="18"/>
      <c r="J713" s="6"/>
      <c r="K713" s="16"/>
      <c r="L713" s="6"/>
      <c r="M713" s="1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11"/>
      <c r="B714" s="13"/>
      <c r="C714" s="15"/>
      <c r="D714" s="16"/>
      <c r="E714" s="6"/>
      <c r="F714" s="6"/>
      <c r="G714" s="6"/>
      <c r="H714" s="18"/>
      <c r="I714" s="18"/>
      <c r="J714" s="6"/>
      <c r="K714" s="16"/>
      <c r="L714" s="6"/>
      <c r="M714" s="1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11"/>
      <c r="B715" s="13"/>
      <c r="C715" s="15"/>
      <c r="D715" s="16"/>
      <c r="E715" s="6"/>
      <c r="F715" s="6"/>
      <c r="G715" s="6"/>
      <c r="H715" s="18"/>
      <c r="I715" s="18"/>
      <c r="J715" s="6"/>
      <c r="K715" s="16"/>
      <c r="L715" s="6"/>
      <c r="M715" s="1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11"/>
      <c r="B716" s="13"/>
      <c r="C716" s="15"/>
      <c r="D716" s="16"/>
      <c r="E716" s="6"/>
      <c r="F716" s="6"/>
      <c r="G716" s="6"/>
      <c r="H716" s="18"/>
      <c r="I716" s="18"/>
      <c r="J716" s="6"/>
      <c r="K716" s="16"/>
      <c r="L716" s="6"/>
      <c r="M716" s="1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11"/>
      <c r="B717" s="13"/>
      <c r="C717" s="15"/>
      <c r="D717" s="16"/>
      <c r="E717" s="6"/>
      <c r="F717" s="6"/>
      <c r="G717" s="6"/>
      <c r="H717" s="18"/>
      <c r="I717" s="18"/>
      <c r="J717" s="6"/>
      <c r="K717" s="16"/>
      <c r="L717" s="6"/>
      <c r="M717" s="1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11"/>
      <c r="B718" s="13"/>
      <c r="C718" s="15"/>
      <c r="D718" s="16"/>
      <c r="E718" s="6"/>
      <c r="F718" s="6"/>
      <c r="G718" s="6"/>
      <c r="H718" s="18"/>
      <c r="I718" s="18"/>
      <c r="J718" s="6"/>
      <c r="K718" s="16"/>
      <c r="L718" s="6"/>
      <c r="M718" s="1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11"/>
      <c r="B719" s="13"/>
      <c r="C719" s="15"/>
      <c r="D719" s="16"/>
      <c r="E719" s="6"/>
      <c r="F719" s="6"/>
      <c r="G719" s="6"/>
      <c r="H719" s="18"/>
      <c r="I719" s="18"/>
      <c r="J719" s="6"/>
      <c r="K719" s="16"/>
      <c r="L719" s="6"/>
      <c r="M719" s="1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11"/>
      <c r="B720" s="13"/>
      <c r="C720" s="15"/>
      <c r="D720" s="16"/>
      <c r="E720" s="6"/>
      <c r="F720" s="6"/>
      <c r="G720" s="6"/>
      <c r="H720" s="18"/>
      <c r="I720" s="18"/>
      <c r="J720" s="6"/>
      <c r="K720" s="16"/>
      <c r="L720" s="6"/>
      <c r="M720" s="1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11"/>
      <c r="B721" s="13"/>
      <c r="C721" s="15"/>
      <c r="D721" s="16"/>
      <c r="E721" s="6"/>
      <c r="F721" s="6"/>
      <c r="G721" s="6"/>
      <c r="H721" s="18"/>
      <c r="I721" s="18"/>
      <c r="J721" s="6"/>
      <c r="K721" s="16"/>
      <c r="L721" s="6"/>
      <c r="M721" s="1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11"/>
      <c r="B722" s="13"/>
      <c r="C722" s="15"/>
      <c r="D722" s="16"/>
      <c r="E722" s="6"/>
      <c r="F722" s="6"/>
      <c r="G722" s="6"/>
      <c r="H722" s="18"/>
      <c r="I722" s="18"/>
      <c r="J722" s="6"/>
      <c r="K722" s="16"/>
      <c r="L722" s="6"/>
      <c r="M722" s="1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11"/>
      <c r="B723" s="13"/>
      <c r="C723" s="15"/>
      <c r="D723" s="16"/>
      <c r="E723" s="6"/>
      <c r="F723" s="6"/>
      <c r="G723" s="6"/>
      <c r="H723" s="18"/>
      <c r="I723" s="18"/>
      <c r="J723" s="6"/>
      <c r="K723" s="16"/>
      <c r="L723" s="6"/>
      <c r="M723" s="1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11"/>
      <c r="B724" s="13"/>
      <c r="C724" s="15"/>
      <c r="D724" s="16"/>
      <c r="E724" s="6"/>
      <c r="F724" s="6"/>
      <c r="G724" s="6"/>
      <c r="H724" s="18"/>
      <c r="I724" s="18"/>
      <c r="J724" s="6"/>
      <c r="K724" s="16"/>
      <c r="L724" s="6"/>
      <c r="M724" s="1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11"/>
      <c r="B725" s="13"/>
      <c r="C725" s="15"/>
      <c r="D725" s="16"/>
      <c r="E725" s="6"/>
      <c r="F725" s="6"/>
      <c r="G725" s="6"/>
      <c r="H725" s="18"/>
      <c r="I725" s="18"/>
      <c r="J725" s="6"/>
      <c r="K725" s="16"/>
      <c r="L725" s="6"/>
      <c r="M725" s="1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11"/>
      <c r="B726" s="13"/>
      <c r="C726" s="15"/>
      <c r="D726" s="16"/>
      <c r="E726" s="6"/>
      <c r="F726" s="6"/>
      <c r="G726" s="6"/>
      <c r="H726" s="18"/>
      <c r="I726" s="18"/>
      <c r="J726" s="6"/>
      <c r="K726" s="16"/>
      <c r="L726" s="6"/>
      <c r="M726" s="1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11"/>
      <c r="B727" s="13"/>
      <c r="C727" s="15"/>
      <c r="D727" s="16"/>
      <c r="E727" s="6"/>
      <c r="F727" s="6"/>
      <c r="G727" s="6"/>
      <c r="H727" s="18"/>
      <c r="I727" s="18"/>
      <c r="J727" s="6"/>
      <c r="K727" s="16"/>
      <c r="L727" s="6"/>
      <c r="M727" s="1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11"/>
      <c r="B728" s="13"/>
      <c r="C728" s="15"/>
      <c r="D728" s="16"/>
      <c r="E728" s="6"/>
      <c r="F728" s="6"/>
      <c r="G728" s="6"/>
      <c r="H728" s="18"/>
      <c r="I728" s="18"/>
      <c r="J728" s="6"/>
      <c r="K728" s="16"/>
      <c r="L728" s="6"/>
      <c r="M728" s="1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11"/>
      <c r="B729" s="13"/>
      <c r="C729" s="15"/>
      <c r="D729" s="16"/>
      <c r="E729" s="6"/>
      <c r="F729" s="6"/>
      <c r="G729" s="6"/>
      <c r="H729" s="18"/>
      <c r="I729" s="18"/>
      <c r="J729" s="6"/>
      <c r="K729" s="16"/>
      <c r="L729" s="6"/>
      <c r="M729" s="1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11"/>
      <c r="B730" s="13"/>
      <c r="C730" s="15"/>
      <c r="D730" s="16"/>
      <c r="E730" s="6"/>
      <c r="F730" s="6"/>
      <c r="G730" s="6"/>
      <c r="H730" s="18"/>
      <c r="I730" s="18"/>
      <c r="J730" s="6"/>
      <c r="K730" s="16"/>
      <c r="L730" s="6"/>
      <c r="M730" s="1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11"/>
      <c r="B731" s="13"/>
      <c r="C731" s="15"/>
      <c r="D731" s="16"/>
      <c r="E731" s="6"/>
      <c r="F731" s="6"/>
      <c r="G731" s="6"/>
      <c r="H731" s="18"/>
      <c r="I731" s="18"/>
      <c r="J731" s="6"/>
      <c r="K731" s="16"/>
      <c r="L731" s="6"/>
      <c r="M731" s="1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11"/>
      <c r="B732" s="13"/>
      <c r="C732" s="15"/>
      <c r="D732" s="16"/>
      <c r="E732" s="6"/>
      <c r="F732" s="6"/>
      <c r="G732" s="6"/>
      <c r="H732" s="18"/>
      <c r="I732" s="18"/>
      <c r="J732" s="6"/>
      <c r="K732" s="16"/>
      <c r="L732" s="6"/>
      <c r="M732" s="1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11"/>
      <c r="B733" s="13"/>
      <c r="C733" s="15"/>
      <c r="D733" s="16"/>
      <c r="E733" s="6"/>
      <c r="F733" s="6"/>
      <c r="G733" s="6"/>
      <c r="H733" s="18"/>
      <c r="I733" s="18"/>
      <c r="J733" s="6"/>
      <c r="K733" s="16"/>
      <c r="L733" s="6"/>
      <c r="M733" s="1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11"/>
      <c r="B734" s="13"/>
      <c r="C734" s="15"/>
      <c r="D734" s="16"/>
      <c r="E734" s="6"/>
      <c r="F734" s="6"/>
      <c r="G734" s="6"/>
      <c r="H734" s="18"/>
      <c r="I734" s="18"/>
      <c r="J734" s="6"/>
      <c r="K734" s="16"/>
      <c r="L734" s="6"/>
      <c r="M734" s="1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11"/>
      <c r="B735" s="13"/>
      <c r="C735" s="15"/>
      <c r="D735" s="16"/>
      <c r="E735" s="6"/>
      <c r="F735" s="6"/>
      <c r="G735" s="6"/>
      <c r="H735" s="18"/>
      <c r="I735" s="18"/>
      <c r="J735" s="6"/>
      <c r="K735" s="16"/>
      <c r="L735" s="6"/>
      <c r="M735" s="1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11"/>
      <c r="B736" s="13"/>
      <c r="C736" s="15"/>
      <c r="D736" s="16"/>
      <c r="E736" s="6"/>
      <c r="F736" s="6"/>
      <c r="G736" s="6"/>
      <c r="H736" s="18"/>
      <c r="I736" s="18"/>
      <c r="J736" s="6"/>
      <c r="K736" s="16"/>
      <c r="L736" s="6"/>
      <c r="M736" s="1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11"/>
      <c r="B737" s="13"/>
      <c r="C737" s="15"/>
      <c r="D737" s="16"/>
      <c r="E737" s="6"/>
      <c r="F737" s="6"/>
      <c r="G737" s="6"/>
      <c r="H737" s="18"/>
      <c r="I737" s="18"/>
      <c r="J737" s="6"/>
      <c r="K737" s="16"/>
      <c r="L737" s="6"/>
      <c r="M737" s="1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11"/>
      <c r="B738" s="13"/>
      <c r="C738" s="15"/>
      <c r="D738" s="16"/>
      <c r="E738" s="6"/>
      <c r="F738" s="6"/>
      <c r="G738" s="6"/>
      <c r="H738" s="18"/>
      <c r="I738" s="18"/>
      <c r="J738" s="6"/>
      <c r="K738" s="16"/>
      <c r="L738" s="6"/>
      <c r="M738" s="1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11"/>
      <c r="B739" s="13"/>
      <c r="C739" s="15"/>
      <c r="D739" s="16"/>
      <c r="E739" s="6"/>
      <c r="F739" s="6"/>
      <c r="G739" s="6"/>
      <c r="H739" s="18"/>
      <c r="I739" s="18"/>
      <c r="J739" s="6"/>
      <c r="K739" s="16"/>
      <c r="L739" s="6"/>
      <c r="M739" s="1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11"/>
      <c r="B740" s="13"/>
      <c r="C740" s="15"/>
      <c r="D740" s="16"/>
      <c r="E740" s="6"/>
      <c r="F740" s="6"/>
      <c r="G740" s="6"/>
      <c r="H740" s="18"/>
      <c r="I740" s="18"/>
      <c r="J740" s="6"/>
      <c r="K740" s="16"/>
      <c r="L740" s="6"/>
      <c r="M740" s="1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11"/>
      <c r="B741" s="13"/>
      <c r="C741" s="15"/>
      <c r="D741" s="16"/>
      <c r="E741" s="6"/>
      <c r="F741" s="6"/>
      <c r="G741" s="6"/>
      <c r="H741" s="18"/>
      <c r="I741" s="18"/>
      <c r="J741" s="6"/>
      <c r="K741" s="16"/>
      <c r="L741" s="6"/>
      <c r="M741" s="1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11"/>
      <c r="B742" s="13"/>
      <c r="C742" s="15"/>
      <c r="D742" s="16"/>
      <c r="E742" s="6"/>
      <c r="F742" s="6"/>
      <c r="G742" s="6"/>
      <c r="H742" s="18"/>
      <c r="I742" s="18"/>
      <c r="J742" s="6"/>
      <c r="K742" s="16"/>
      <c r="L742" s="6"/>
      <c r="M742" s="1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11"/>
      <c r="B743" s="13"/>
      <c r="C743" s="15"/>
      <c r="D743" s="16"/>
      <c r="E743" s="6"/>
      <c r="F743" s="6"/>
      <c r="G743" s="6"/>
      <c r="H743" s="18"/>
      <c r="I743" s="18"/>
      <c r="J743" s="6"/>
      <c r="K743" s="16"/>
      <c r="L743" s="6"/>
      <c r="M743" s="1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11"/>
      <c r="B744" s="13"/>
      <c r="C744" s="15"/>
      <c r="D744" s="16"/>
      <c r="E744" s="6"/>
      <c r="F744" s="6"/>
      <c r="G744" s="6"/>
      <c r="H744" s="18"/>
      <c r="I744" s="18"/>
      <c r="J744" s="6"/>
      <c r="K744" s="16"/>
      <c r="L744" s="6"/>
      <c r="M744" s="1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11"/>
      <c r="B745" s="13"/>
      <c r="C745" s="15"/>
      <c r="D745" s="16"/>
      <c r="E745" s="6"/>
      <c r="F745" s="6"/>
      <c r="G745" s="6"/>
      <c r="H745" s="18"/>
      <c r="I745" s="18"/>
      <c r="J745" s="6"/>
      <c r="K745" s="16"/>
      <c r="L745" s="6"/>
      <c r="M745" s="1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11"/>
      <c r="B746" s="13"/>
      <c r="C746" s="15"/>
      <c r="D746" s="16"/>
      <c r="E746" s="6"/>
      <c r="F746" s="6"/>
      <c r="G746" s="6"/>
      <c r="H746" s="18"/>
      <c r="I746" s="18"/>
      <c r="J746" s="6"/>
      <c r="K746" s="16"/>
      <c r="L746" s="6"/>
      <c r="M746" s="1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11"/>
      <c r="B747" s="13"/>
      <c r="C747" s="15"/>
      <c r="D747" s="16"/>
      <c r="E747" s="6"/>
      <c r="F747" s="6"/>
      <c r="G747" s="6"/>
      <c r="H747" s="18"/>
      <c r="I747" s="18"/>
      <c r="J747" s="6"/>
      <c r="K747" s="16"/>
      <c r="L747" s="6"/>
      <c r="M747" s="1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11"/>
      <c r="B748" s="13"/>
      <c r="C748" s="15"/>
      <c r="D748" s="16"/>
      <c r="E748" s="6"/>
      <c r="F748" s="6"/>
      <c r="G748" s="6"/>
      <c r="H748" s="18"/>
      <c r="I748" s="18"/>
      <c r="J748" s="6"/>
      <c r="K748" s="16"/>
      <c r="L748" s="6"/>
      <c r="M748" s="1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11"/>
      <c r="B749" s="13"/>
      <c r="C749" s="15"/>
      <c r="D749" s="16"/>
      <c r="E749" s="6"/>
      <c r="F749" s="6"/>
      <c r="G749" s="6"/>
      <c r="H749" s="18"/>
      <c r="I749" s="18"/>
      <c r="J749" s="6"/>
      <c r="K749" s="16"/>
      <c r="L749" s="6"/>
      <c r="M749" s="1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11"/>
      <c r="B750" s="13"/>
      <c r="C750" s="15"/>
      <c r="D750" s="16"/>
      <c r="E750" s="6"/>
      <c r="F750" s="6"/>
      <c r="G750" s="6"/>
      <c r="H750" s="18"/>
      <c r="I750" s="18"/>
      <c r="J750" s="6"/>
      <c r="K750" s="16"/>
      <c r="L750" s="6"/>
      <c r="M750" s="1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11"/>
      <c r="B751" s="13"/>
      <c r="C751" s="15"/>
      <c r="D751" s="16"/>
      <c r="E751" s="6"/>
      <c r="F751" s="6"/>
      <c r="G751" s="6"/>
      <c r="H751" s="18"/>
      <c r="I751" s="18"/>
      <c r="J751" s="6"/>
      <c r="K751" s="16"/>
      <c r="L751" s="6"/>
      <c r="M751" s="1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11"/>
      <c r="B752" s="13"/>
      <c r="C752" s="15"/>
      <c r="D752" s="16"/>
      <c r="E752" s="6"/>
      <c r="F752" s="6"/>
      <c r="G752" s="6"/>
      <c r="H752" s="18"/>
      <c r="I752" s="18"/>
      <c r="J752" s="6"/>
      <c r="K752" s="16"/>
      <c r="L752" s="6"/>
      <c r="M752" s="1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11"/>
      <c r="B753" s="13"/>
      <c r="C753" s="15"/>
      <c r="D753" s="16"/>
      <c r="E753" s="6"/>
      <c r="F753" s="6"/>
      <c r="G753" s="6"/>
      <c r="H753" s="18"/>
      <c r="I753" s="18"/>
      <c r="J753" s="6"/>
      <c r="K753" s="16"/>
      <c r="L753" s="6"/>
      <c r="M753" s="1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11"/>
      <c r="B754" s="13"/>
      <c r="C754" s="15"/>
      <c r="D754" s="16"/>
      <c r="E754" s="6"/>
      <c r="F754" s="6"/>
      <c r="G754" s="6"/>
      <c r="H754" s="18"/>
      <c r="I754" s="18"/>
      <c r="J754" s="6"/>
      <c r="K754" s="16"/>
      <c r="L754" s="6"/>
      <c r="M754" s="1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11"/>
      <c r="B755" s="13"/>
      <c r="C755" s="15"/>
      <c r="D755" s="16"/>
      <c r="E755" s="6"/>
      <c r="F755" s="6"/>
      <c r="G755" s="6"/>
      <c r="H755" s="18"/>
      <c r="I755" s="18"/>
      <c r="J755" s="6"/>
      <c r="K755" s="16"/>
      <c r="L755" s="6"/>
      <c r="M755" s="1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11"/>
      <c r="B756" s="13"/>
      <c r="C756" s="15"/>
      <c r="D756" s="16"/>
      <c r="E756" s="6"/>
      <c r="F756" s="6"/>
      <c r="G756" s="6"/>
      <c r="H756" s="18"/>
      <c r="I756" s="18"/>
      <c r="J756" s="6"/>
      <c r="K756" s="16"/>
      <c r="L756" s="6"/>
      <c r="M756" s="1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11"/>
      <c r="B757" s="13"/>
      <c r="C757" s="15"/>
      <c r="D757" s="16"/>
      <c r="E757" s="6"/>
      <c r="F757" s="6"/>
      <c r="G757" s="6"/>
      <c r="H757" s="18"/>
      <c r="I757" s="18"/>
      <c r="J757" s="6"/>
      <c r="K757" s="16"/>
      <c r="L757" s="6"/>
      <c r="M757" s="1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11"/>
      <c r="B758" s="13"/>
      <c r="C758" s="15"/>
      <c r="D758" s="16"/>
      <c r="E758" s="6"/>
      <c r="F758" s="6"/>
      <c r="G758" s="6"/>
      <c r="H758" s="18"/>
      <c r="I758" s="18"/>
      <c r="J758" s="6"/>
      <c r="K758" s="16"/>
      <c r="L758" s="6"/>
      <c r="M758" s="1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11"/>
      <c r="B759" s="13"/>
      <c r="C759" s="15"/>
      <c r="D759" s="16"/>
      <c r="E759" s="6"/>
      <c r="F759" s="6"/>
      <c r="G759" s="6"/>
      <c r="H759" s="18"/>
      <c r="I759" s="18"/>
      <c r="J759" s="6"/>
      <c r="K759" s="16"/>
      <c r="L759" s="6"/>
      <c r="M759" s="1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11"/>
      <c r="B760" s="13"/>
      <c r="C760" s="15"/>
      <c r="D760" s="16"/>
      <c r="E760" s="6"/>
      <c r="F760" s="6"/>
      <c r="G760" s="6"/>
      <c r="H760" s="18"/>
      <c r="I760" s="18"/>
      <c r="J760" s="6"/>
      <c r="K760" s="16"/>
      <c r="L760" s="6"/>
      <c r="M760" s="1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11"/>
      <c r="B761" s="13"/>
      <c r="C761" s="15"/>
      <c r="D761" s="16"/>
      <c r="E761" s="6"/>
      <c r="F761" s="6"/>
      <c r="G761" s="6"/>
      <c r="H761" s="18"/>
      <c r="I761" s="18"/>
      <c r="J761" s="6"/>
      <c r="K761" s="16"/>
      <c r="L761" s="6"/>
      <c r="M761" s="1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11"/>
      <c r="B762" s="13"/>
      <c r="C762" s="15"/>
      <c r="D762" s="16"/>
      <c r="E762" s="6"/>
      <c r="F762" s="6"/>
      <c r="G762" s="6"/>
      <c r="H762" s="18"/>
      <c r="I762" s="18"/>
      <c r="J762" s="6"/>
      <c r="K762" s="16"/>
      <c r="L762" s="6"/>
      <c r="M762" s="1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11"/>
      <c r="B763" s="13"/>
      <c r="C763" s="15"/>
      <c r="D763" s="16"/>
      <c r="E763" s="6"/>
      <c r="F763" s="6"/>
      <c r="G763" s="6"/>
      <c r="H763" s="18"/>
      <c r="I763" s="18"/>
      <c r="J763" s="6"/>
      <c r="K763" s="16"/>
      <c r="L763" s="6"/>
      <c r="M763" s="1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11"/>
      <c r="B764" s="13"/>
      <c r="C764" s="15"/>
      <c r="D764" s="16"/>
      <c r="E764" s="6"/>
      <c r="F764" s="6"/>
      <c r="G764" s="6"/>
      <c r="H764" s="18"/>
      <c r="I764" s="18"/>
      <c r="J764" s="6"/>
      <c r="K764" s="16"/>
      <c r="L764" s="6"/>
      <c r="M764" s="1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11"/>
      <c r="B765" s="13"/>
      <c r="C765" s="15"/>
      <c r="D765" s="16"/>
      <c r="E765" s="6"/>
      <c r="F765" s="6"/>
      <c r="G765" s="6"/>
      <c r="H765" s="18"/>
      <c r="I765" s="18"/>
      <c r="J765" s="6"/>
      <c r="K765" s="16"/>
      <c r="L765" s="6"/>
      <c r="M765" s="1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11"/>
      <c r="B766" s="13"/>
      <c r="C766" s="15"/>
      <c r="D766" s="16"/>
      <c r="E766" s="6"/>
      <c r="F766" s="6"/>
      <c r="G766" s="6"/>
      <c r="H766" s="18"/>
      <c r="I766" s="18"/>
      <c r="J766" s="6"/>
      <c r="K766" s="16"/>
      <c r="L766" s="6"/>
      <c r="M766" s="1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11"/>
      <c r="B767" s="13"/>
      <c r="C767" s="15"/>
      <c r="D767" s="16"/>
      <c r="E767" s="6"/>
      <c r="F767" s="6"/>
      <c r="G767" s="6"/>
      <c r="H767" s="18"/>
      <c r="I767" s="18"/>
      <c r="J767" s="6"/>
      <c r="K767" s="16"/>
      <c r="L767" s="6"/>
      <c r="M767" s="1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11"/>
      <c r="B768" s="13"/>
      <c r="C768" s="15"/>
      <c r="D768" s="16"/>
      <c r="E768" s="6"/>
      <c r="F768" s="6"/>
      <c r="G768" s="6"/>
      <c r="H768" s="18"/>
      <c r="I768" s="18"/>
      <c r="J768" s="6"/>
      <c r="K768" s="16"/>
      <c r="L768" s="6"/>
      <c r="M768" s="1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11"/>
      <c r="B769" s="13"/>
      <c r="C769" s="15"/>
      <c r="D769" s="16"/>
      <c r="E769" s="6"/>
      <c r="F769" s="6"/>
      <c r="G769" s="6"/>
      <c r="H769" s="18"/>
      <c r="I769" s="18"/>
      <c r="J769" s="6"/>
      <c r="K769" s="16"/>
      <c r="L769" s="6"/>
      <c r="M769" s="1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11"/>
      <c r="B770" s="13"/>
      <c r="C770" s="15"/>
      <c r="D770" s="16"/>
      <c r="E770" s="6"/>
      <c r="F770" s="6"/>
      <c r="G770" s="6"/>
      <c r="H770" s="18"/>
      <c r="I770" s="18"/>
      <c r="J770" s="6"/>
      <c r="K770" s="16"/>
      <c r="L770" s="6"/>
      <c r="M770" s="1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11"/>
      <c r="B771" s="13"/>
      <c r="C771" s="15"/>
      <c r="D771" s="16"/>
      <c r="E771" s="6"/>
      <c r="F771" s="6"/>
      <c r="G771" s="6"/>
      <c r="H771" s="18"/>
      <c r="I771" s="18"/>
      <c r="J771" s="6"/>
      <c r="K771" s="16"/>
      <c r="L771" s="6"/>
      <c r="M771" s="1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11"/>
      <c r="B772" s="13"/>
      <c r="C772" s="15"/>
      <c r="D772" s="16"/>
      <c r="E772" s="6"/>
      <c r="F772" s="6"/>
      <c r="G772" s="6"/>
      <c r="H772" s="18"/>
      <c r="I772" s="18"/>
      <c r="J772" s="6"/>
      <c r="K772" s="16"/>
      <c r="L772" s="6"/>
      <c r="M772" s="1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11"/>
      <c r="B773" s="13"/>
      <c r="C773" s="15"/>
      <c r="D773" s="16"/>
      <c r="E773" s="6"/>
      <c r="F773" s="6"/>
      <c r="G773" s="6"/>
      <c r="H773" s="18"/>
      <c r="I773" s="18"/>
      <c r="J773" s="6"/>
      <c r="K773" s="16"/>
      <c r="L773" s="6"/>
      <c r="M773" s="1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11"/>
      <c r="B774" s="13"/>
      <c r="C774" s="15"/>
      <c r="D774" s="16"/>
      <c r="E774" s="6"/>
      <c r="F774" s="6"/>
      <c r="G774" s="6"/>
      <c r="H774" s="18"/>
      <c r="I774" s="18"/>
      <c r="J774" s="6"/>
      <c r="K774" s="16"/>
      <c r="L774" s="6"/>
      <c r="M774" s="1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11"/>
      <c r="B775" s="13"/>
      <c r="C775" s="15"/>
      <c r="D775" s="16"/>
      <c r="E775" s="6"/>
      <c r="F775" s="6"/>
      <c r="G775" s="6"/>
      <c r="H775" s="18"/>
      <c r="I775" s="18"/>
      <c r="J775" s="6"/>
      <c r="K775" s="16"/>
      <c r="L775" s="6"/>
      <c r="M775" s="1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11"/>
      <c r="B776" s="13"/>
      <c r="C776" s="15"/>
      <c r="D776" s="16"/>
      <c r="E776" s="6"/>
      <c r="F776" s="6"/>
      <c r="G776" s="6"/>
      <c r="H776" s="18"/>
      <c r="I776" s="18"/>
      <c r="J776" s="6"/>
      <c r="K776" s="16"/>
      <c r="L776" s="6"/>
      <c r="M776" s="1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11"/>
      <c r="B777" s="13"/>
      <c r="C777" s="15"/>
      <c r="D777" s="16"/>
      <c r="E777" s="6"/>
      <c r="F777" s="6"/>
      <c r="G777" s="6"/>
      <c r="H777" s="18"/>
      <c r="I777" s="18"/>
      <c r="J777" s="6"/>
      <c r="K777" s="16"/>
      <c r="L777" s="6"/>
      <c r="M777" s="1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11"/>
      <c r="B778" s="13"/>
      <c r="C778" s="15"/>
      <c r="D778" s="16"/>
      <c r="E778" s="6"/>
      <c r="F778" s="6"/>
      <c r="G778" s="6"/>
      <c r="H778" s="18"/>
      <c r="I778" s="18"/>
      <c r="J778" s="6"/>
      <c r="K778" s="16"/>
      <c r="L778" s="6"/>
      <c r="M778" s="1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11"/>
      <c r="B779" s="13"/>
      <c r="C779" s="15"/>
      <c r="D779" s="16"/>
      <c r="E779" s="6"/>
      <c r="F779" s="6"/>
      <c r="G779" s="6"/>
      <c r="H779" s="18"/>
      <c r="I779" s="18"/>
      <c r="J779" s="6"/>
      <c r="K779" s="16"/>
      <c r="L779" s="6"/>
      <c r="M779" s="1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11"/>
      <c r="B780" s="13"/>
      <c r="C780" s="15"/>
      <c r="D780" s="16"/>
      <c r="E780" s="6"/>
      <c r="F780" s="6"/>
      <c r="G780" s="6"/>
      <c r="H780" s="18"/>
      <c r="I780" s="18"/>
      <c r="J780" s="6"/>
      <c r="K780" s="16"/>
      <c r="L780" s="6"/>
      <c r="M780" s="1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11"/>
      <c r="B781" s="13"/>
      <c r="C781" s="15"/>
      <c r="D781" s="16"/>
      <c r="E781" s="6"/>
      <c r="F781" s="6"/>
      <c r="G781" s="6"/>
      <c r="H781" s="18"/>
      <c r="I781" s="18"/>
      <c r="J781" s="6"/>
      <c r="K781" s="16"/>
      <c r="L781" s="6"/>
      <c r="M781" s="1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11"/>
      <c r="B782" s="13"/>
      <c r="C782" s="15"/>
      <c r="D782" s="16"/>
      <c r="E782" s="6"/>
      <c r="F782" s="6"/>
      <c r="G782" s="6"/>
      <c r="H782" s="18"/>
      <c r="I782" s="18"/>
      <c r="J782" s="6"/>
      <c r="K782" s="16"/>
      <c r="L782" s="6"/>
      <c r="M782" s="1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11"/>
      <c r="B783" s="13"/>
      <c r="C783" s="15"/>
      <c r="D783" s="16"/>
      <c r="E783" s="6"/>
      <c r="F783" s="6"/>
      <c r="G783" s="6"/>
      <c r="H783" s="18"/>
      <c r="I783" s="18"/>
      <c r="J783" s="6"/>
      <c r="K783" s="16"/>
      <c r="L783" s="6"/>
      <c r="M783" s="1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11"/>
      <c r="B784" s="13"/>
      <c r="C784" s="15"/>
      <c r="D784" s="16"/>
      <c r="E784" s="6"/>
      <c r="F784" s="6"/>
      <c r="G784" s="6"/>
      <c r="H784" s="18"/>
      <c r="I784" s="18"/>
      <c r="J784" s="6"/>
      <c r="K784" s="16"/>
      <c r="L784" s="6"/>
      <c r="M784" s="1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11"/>
      <c r="B785" s="13"/>
      <c r="C785" s="15"/>
      <c r="D785" s="16"/>
      <c r="E785" s="6"/>
      <c r="F785" s="6"/>
      <c r="G785" s="6"/>
      <c r="H785" s="18"/>
      <c r="I785" s="18"/>
      <c r="J785" s="6"/>
      <c r="K785" s="16"/>
      <c r="L785" s="6"/>
      <c r="M785" s="1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11"/>
      <c r="B786" s="13"/>
      <c r="C786" s="15"/>
      <c r="D786" s="16"/>
      <c r="E786" s="6"/>
      <c r="F786" s="6"/>
      <c r="G786" s="6"/>
      <c r="H786" s="18"/>
      <c r="I786" s="18"/>
      <c r="J786" s="6"/>
      <c r="K786" s="16"/>
      <c r="L786" s="6"/>
      <c r="M786" s="1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11"/>
      <c r="B787" s="13"/>
      <c r="C787" s="15"/>
      <c r="D787" s="16"/>
      <c r="E787" s="6"/>
      <c r="F787" s="6"/>
      <c r="G787" s="6"/>
      <c r="H787" s="18"/>
      <c r="I787" s="18"/>
      <c r="J787" s="6"/>
      <c r="K787" s="16"/>
      <c r="L787" s="6"/>
      <c r="M787" s="1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11"/>
      <c r="B788" s="13"/>
      <c r="C788" s="15"/>
      <c r="D788" s="16"/>
      <c r="E788" s="6"/>
      <c r="F788" s="6"/>
      <c r="G788" s="6"/>
      <c r="H788" s="18"/>
      <c r="I788" s="18"/>
      <c r="J788" s="6"/>
      <c r="K788" s="16"/>
      <c r="L788" s="6"/>
      <c r="M788" s="1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11"/>
      <c r="B789" s="13"/>
      <c r="C789" s="15"/>
      <c r="D789" s="16"/>
      <c r="E789" s="6"/>
      <c r="F789" s="6"/>
      <c r="G789" s="6"/>
      <c r="H789" s="18"/>
      <c r="I789" s="18"/>
      <c r="J789" s="6"/>
      <c r="K789" s="16"/>
      <c r="L789" s="6"/>
      <c r="M789" s="1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11"/>
      <c r="B790" s="13"/>
      <c r="C790" s="15"/>
      <c r="D790" s="16"/>
      <c r="E790" s="6"/>
      <c r="F790" s="6"/>
      <c r="G790" s="6"/>
      <c r="H790" s="18"/>
      <c r="I790" s="18"/>
      <c r="J790" s="6"/>
      <c r="K790" s="16"/>
      <c r="L790" s="6"/>
      <c r="M790" s="1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11"/>
      <c r="B791" s="13"/>
      <c r="C791" s="15"/>
      <c r="D791" s="16"/>
      <c r="E791" s="6"/>
      <c r="F791" s="6"/>
      <c r="G791" s="6"/>
      <c r="H791" s="18"/>
      <c r="I791" s="18"/>
      <c r="J791" s="6"/>
      <c r="K791" s="16"/>
      <c r="L791" s="6"/>
      <c r="M791" s="1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11"/>
      <c r="B792" s="13"/>
      <c r="C792" s="15"/>
      <c r="D792" s="16"/>
      <c r="E792" s="6"/>
      <c r="F792" s="6"/>
      <c r="G792" s="6"/>
      <c r="H792" s="18"/>
      <c r="I792" s="18"/>
      <c r="J792" s="6"/>
      <c r="K792" s="16"/>
      <c r="L792" s="6"/>
      <c r="M792" s="1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11"/>
      <c r="B793" s="13"/>
      <c r="C793" s="15"/>
      <c r="D793" s="16"/>
      <c r="E793" s="6"/>
      <c r="F793" s="6"/>
      <c r="G793" s="6"/>
      <c r="H793" s="18"/>
      <c r="I793" s="18"/>
      <c r="J793" s="6"/>
      <c r="K793" s="16"/>
      <c r="L793" s="6"/>
      <c r="M793" s="1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11"/>
      <c r="B794" s="13"/>
      <c r="C794" s="15"/>
      <c r="D794" s="16"/>
      <c r="E794" s="6"/>
      <c r="F794" s="6"/>
      <c r="G794" s="6"/>
      <c r="H794" s="18"/>
      <c r="I794" s="18"/>
      <c r="J794" s="6"/>
      <c r="K794" s="16"/>
      <c r="L794" s="6"/>
      <c r="M794" s="1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11"/>
      <c r="B795" s="13"/>
      <c r="C795" s="15"/>
      <c r="D795" s="16"/>
      <c r="E795" s="6"/>
      <c r="F795" s="6"/>
      <c r="G795" s="6"/>
      <c r="H795" s="18"/>
      <c r="I795" s="18"/>
      <c r="J795" s="6"/>
      <c r="K795" s="16"/>
      <c r="L795" s="6"/>
      <c r="M795" s="1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11"/>
      <c r="B796" s="13"/>
      <c r="C796" s="15"/>
      <c r="D796" s="16"/>
      <c r="E796" s="6"/>
      <c r="F796" s="6"/>
      <c r="G796" s="6"/>
      <c r="H796" s="18"/>
      <c r="I796" s="18"/>
      <c r="J796" s="6"/>
      <c r="K796" s="16"/>
      <c r="L796" s="6"/>
      <c r="M796" s="1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11"/>
      <c r="B797" s="13"/>
      <c r="C797" s="15"/>
      <c r="D797" s="16"/>
      <c r="E797" s="6"/>
      <c r="F797" s="6"/>
      <c r="G797" s="6"/>
      <c r="H797" s="18"/>
      <c r="I797" s="18"/>
      <c r="J797" s="6"/>
      <c r="K797" s="16"/>
      <c r="L797" s="6"/>
      <c r="M797" s="1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11"/>
      <c r="B798" s="13"/>
      <c r="C798" s="15"/>
      <c r="D798" s="16"/>
      <c r="E798" s="6"/>
      <c r="F798" s="6"/>
      <c r="G798" s="6"/>
      <c r="H798" s="18"/>
      <c r="I798" s="18"/>
      <c r="J798" s="6"/>
      <c r="K798" s="16"/>
      <c r="L798" s="6"/>
      <c r="M798" s="1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11"/>
      <c r="B799" s="13"/>
      <c r="C799" s="15"/>
      <c r="D799" s="16"/>
      <c r="E799" s="6"/>
      <c r="F799" s="6"/>
      <c r="G799" s="6"/>
      <c r="H799" s="18"/>
      <c r="I799" s="18"/>
      <c r="J799" s="6"/>
      <c r="K799" s="16"/>
      <c r="L799" s="6"/>
      <c r="M799" s="1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11"/>
      <c r="B800" s="13"/>
      <c r="C800" s="15"/>
      <c r="D800" s="16"/>
      <c r="E800" s="6"/>
      <c r="F800" s="6"/>
      <c r="G800" s="6"/>
      <c r="H800" s="18"/>
      <c r="I800" s="18"/>
      <c r="J800" s="6"/>
      <c r="K800" s="16"/>
      <c r="L800" s="6"/>
      <c r="M800" s="1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11"/>
      <c r="B801" s="13"/>
      <c r="C801" s="15"/>
      <c r="D801" s="16"/>
      <c r="E801" s="6"/>
      <c r="F801" s="6"/>
      <c r="G801" s="6"/>
      <c r="H801" s="18"/>
      <c r="I801" s="18"/>
      <c r="J801" s="6"/>
      <c r="K801" s="16"/>
      <c r="L801" s="6"/>
      <c r="M801" s="1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11"/>
      <c r="B802" s="13"/>
      <c r="C802" s="15"/>
      <c r="D802" s="16"/>
      <c r="E802" s="6"/>
      <c r="F802" s="6"/>
      <c r="G802" s="6"/>
      <c r="H802" s="18"/>
      <c r="I802" s="18"/>
      <c r="J802" s="6"/>
      <c r="K802" s="16"/>
      <c r="L802" s="6"/>
      <c r="M802" s="1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11"/>
      <c r="B803" s="13"/>
      <c r="C803" s="15"/>
      <c r="D803" s="16"/>
      <c r="E803" s="6"/>
      <c r="F803" s="6"/>
      <c r="G803" s="6"/>
      <c r="H803" s="18"/>
      <c r="I803" s="18"/>
      <c r="J803" s="6"/>
      <c r="K803" s="16"/>
      <c r="L803" s="6"/>
      <c r="M803" s="1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11"/>
      <c r="B804" s="13"/>
      <c r="C804" s="15"/>
      <c r="D804" s="16"/>
      <c r="E804" s="6"/>
      <c r="F804" s="6"/>
      <c r="G804" s="6"/>
      <c r="H804" s="18"/>
      <c r="I804" s="18"/>
      <c r="J804" s="6"/>
      <c r="K804" s="16"/>
      <c r="L804" s="6"/>
      <c r="M804" s="1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11"/>
      <c r="B805" s="13"/>
      <c r="C805" s="15"/>
      <c r="D805" s="16"/>
      <c r="E805" s="6"/>
      <c r="F805" s="6"/>
      <c r="G805" s="6"/>
      <c r="H805" s="18"/>
      <c r="I805" s="18"/>
      <c r="J805" s="6"/>
      <c r="K805" s="16"/>
      <c r="L805" s="6"/>
      <c r="M805" s="1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11"/>
      <c r="B806" s="13"/>
      <c r="C806" s="15"/>
      <c r="D806" s="16"/>
      <c r="E806" s="6"/>
      <c r="F806" s="6"/>
      <c r="G806" s="6"/>
      <c r="H806" s="18"/>
      <c r="I806" s="18"/>
      <c r="J806" s="6"/>
      <c r="K806" s="16"/>
      <c r="L806" s="6"/>
      <c r="M806" s="1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11"/>
      <c r="B807" s="13"/>
      <c r="C807" s="15"/>
      <c r="D807" s="16"/>
      <c r="E807" s="6"/>
      <c r="F807" s="6"/>
      <c r="G807" s="6"/>
      <c r="H807" s="18"/>
      <c r="I807" s="18"/>
      <c r="J807" s="6"/>
      <c r="K807" s="16"/>
      <c r="L807" s="6"/>
      <c r="M807" s="1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11"/>
      <c r="B808" s="13"/>
      <c r="C808" s="15"/>
      <c r="D808" s="16"/>
      <c r="E808" s="6"/>
      <c r="F808" s="6"/>
      <c r="G808" s="6"/>
      <c r="H808" s="18"/>
      <c r="I808" s="18"/>
      <c r="J808" s="6"/>
      <c r="K808" s="16"/>
      <c r="L808" s="6"/>
      <c r="M808" s="1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11"/>
      <c r="B809" s="13"/>
      <c r="C809" s="15"/>
      <c r="D809" s="16"/>
      <c r="E809" s="6"/>
      <c r="F809" s="6"/>
      <c r="G809" s="6"/>
      <c r="H809" s="18"/>
      <c r="I809" s="18"/>
      <c r="J809" s="6"/>
      <c r="K809" s="16"/>
      <c r="L809" s="6"/>
      <c r="M809" s="1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11"/>
      <c r="B810" s="13"/>
      <c r="C810" s="15"/>
      <c r="D810" s="16"/>
      <c r="E810" s="6"/>
      <c r="F810" s="6"/>
      <c r="G810" s="6"/>
      <c r="H810" s="18"/>
      <c r="I810" s="18"/>
      <c r="J810" s="6"/>
      <c r="K810" s="16"/>
      <c r="L810" s="6"/>
      <c r="M810" s="1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11"/>
      <c r="B811" s="13"/>
      <c r="C811" s="15"/>
      <c r="D811" s="16"/>
      <c r="E811" s="6"/>
      <c r="F811" s="6"/>
      <c r="G811" s="6"/>
      <c r="H811" s="18"/>
      <c r="I811" s="18"/>
      <c r="J811" s="6"/>
      <c r="K811" s="16"/>
      <c r="L811" s="6"/>
      <c r="M811" s="1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11"/>
      <c r="B812" s="13"/>
      <c r="C812" s="15"/>
      <c r="D812" s="16"/>
      <c r="E812" s="6"/>
      <c r="F812" s="6"/>
      <c r="G812" s="6"/>
      <c r="H812" s="18"/>
      <c r="I812" s="18"/>
      <c r="J812" s="6"/>
      <c r="K812" s="16"/>
      <c r="L812" s="6"/>
      <c r="M812" s="1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11"/>
      <c r="B813" s="13"/>
      <c r="C813" s="15"/>
      <c r="D813" s="16"/>
      <c r="E813" s="6"/>
      <c r="F813" s="6"/>
      <c r="G813" s="6"/>
      <c r="H813" s="18"/>
      <c r="I813" s="18"/>
      <c r="J813" s="6"/>
      <c r="K813" s="16"/>
      <c r="L813" s="6"/>
      <c r="M813" s="1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11"/>
      <c r="B814" s="13"/>
      <c r="C814" s="15"/>
      <c r="D814" s="16"/>
      <c r="E814" s="6"/>
      <c r="F814" s="6"/>
      <c r="G814" s="6"/>
      <c r="H814" s="18"/>
      <c r="I814" s="18"/>
      <c r="J814" s="6"/>
      <c r="K814" s="16"/>
      <c r="L814" s="6"/>
      <c r="M814" s="1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11"/>
      <c r="B815" s="13"/>
      <c r="C815" s="15"/>
      <c r="D815" s="16"/>
      <c r="E815" s="6"/>
      <c r="F815" s="6"/>
      <c r="G815" s="6"/>
      <c r="H815" s="18"/>
      <c r="I815" s="18"/>
      <c r="J815" s="6"/>
      <c r="K815" s="16"/>
      <c r="L815" s="6"/>
      <c r="M815" s="1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11"/>
      <c r="B816" s="13"/>
      <c r="C816" s="15"/>
      <c r="D816" s="16"/>
      <c r="E816" s="6"/>
      <c r="F816" s="6"/>
      <c r="G816" s="6"/>
      <c r="H816" s="18"/>
      <c r="I816" s="18"/>
      <c r="J816" s="6"/>
      <c r="K816" s="16"/>
      <c r="L816" s="6"/>
      <c r="M816" s="1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11"/>
      <c r="B817" s="13"/>
      <c r="C817" s="15"/>
      <c r="D817" s="16"/>
      <c r="E817" s="6"/>
      <c r="F817" s="6"/>
      <c r="G817" s="6"/>
      <c r="H817" s="18"/>
      <c r="I817" s="18"/>
      <c r="J817" s="6"/>
      <c r="K817" s="16"/>
      <c r="L817" s="6"/>
      <c r="M817" s="1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11"/>
      <c r="B818" s="13"/>
      <c r="C818" s="15"/>
      <c r="D818" s="16"/>
      <c r="E818" s="6"/>
      <c r="F818" s="6"/>
      <c r="G818" s="6"/>
      <c r="H818" s="18"/>
      <c r="I818" s="18"/>
      <c r="J818" s="6"/>
      <c r="K818" s="16"/>
      <c r="L818" s="6"/>
      <c r="M818" s="1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11"/>
      <c r="B819" s="13"/>
      <c r="C819" s="15"/>
      <c r="D819" s="16"/>
      <c r="E819" s="6"/>
      <c r="F819" s="6"/>
      <c r="G819" s="6"/>
      <c r="H819" s="18"/>
      <c r="I819" s="18"/>
      <c r="J819" s="6"/>
      <c r="K819" s="16"/>
      <c r="L819" s="6"/>
      <c r="M819" s="1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11"/>
      <c r="B820" s="13"/>
      <c r="C820" s="15"/>
      <c r="D820" s="16"/>
      <c r="E820" s="6"/>
      <c r="F820" s="6"/>
      <c r="G820" s="6"/>
      <c r="H820" s="18"/>
      <c r="I820" s="18"/>
      <c r="J820" s="6"/>
      <c r="K820" s="16"/>
      <c r="L820" s="6"/>
      <c r="M820" s="1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11"/>
      <c r="B821" s="13"/>
      <c r="C821" s="15"/>
      <c r="D821" s="16"/>
      <c r="E821" s="6"/>
      <c r="F821" s="6"/>
      <c r="G821" s="6"/>
      <c r="H821" s="18"/>
      <c r="I821" s="18"/>
      <c r="J821" s="6"/>
      <c r="K821" s="16"/>
      <c r="L821" s="6"/>
      <c r="M821" s="1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11"/>
      <c r="B822" s="13"/>
      <c r="C822" s="15"/>
      <c r="D822" s="16"/>
      <c r="E822" s="6"/>
      <c r="F822" s="6"/>
      <c r="G822" s="6"/>
      <c r="H822" s="18"/>
      <c r="I822" s="18"/>
      <c r="J822" s="6"/>
      <c r="K822" s="16"/>
      <c r="L822" s="6"/>
      <c r="M822" s="1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11"/>
      <c r="B823" s="13"/>
      <c r="C823" s="15"/>
      <c r="D823" s="16"/>
      <c r="E823" s="6"/>
      <c r="F823" s="6"/>
      <c r="G823" s="6"/>
      <c r="H823" s="18"/>
      <c r="I823" s="18"/>
      <c r="J823" s="6"/>
      <c r="K823" s="16"/>
      <c r="L823" s="6"/>
      <c r="M823" s="1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11"/>
      <c r="B824" s="13"/>
      <c r="C824" s="15"/>
      <c r="D824" s="16"/>
      <c r="E824" s="6"/>
      <c r="F824" s="6"/>
      <c r="G824" s="6"/>
      <c r="H824" s="18"/>
      <c r="I824" s="18"/>
      <c r="J824" s="6"/>
      <c r="K824" s="16"/>
      <c r="L824" s="6"/>
      <c r="M824" s="1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11"/>
      <c r="B825" s="13"/>
      <c r="C825" s="15"/>
      <c r="D825" s="16"/>
      <c r="E825" s="6"/>
      <c r="F825" s="6"/>
      <c r="G825" s="6"/>
      <c r="H825" s="18"/>
      <c r="I825" s="18"/>
      <c r="J825" s="6"/>
      <c r="K825" s="16"/>
      <c r="L825" s="6"/>
      <c r="M825" s="1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11"/>
      <c r="B826" s="13"/>
      <c r="C826" s="15"/>
      <c r="D826" s="16"/>
      <c r="E826" s="6"/>
      <c r="F826" s="6"/>
      <c r="G826" s="6"/>
      <c r="H826" s="18"/>
      <c r="I826" s="18"/>
      <c r="J826" s="6"/>
      <c r="K826" s="16"/>
      <c r="L826" s="6"/>
      <c r="M826" s="1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11"/>
      <c r="B827" s="13"/>
      <c r="C827" s="15"/>
      <c r="D827" s="16"/>
      <c r="E827" s="6"/>
      <c r="F827" s="6"/>
      <c r="G827" s="6"/>
      <c r="H827" s="18"/>
      <c r="I827" s="18"/>
      <c r="J827" s="6"/>
      <c r="K827" s="16"/>
      <c r="L827" s="6"/>
      <c r="M827" s="1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11"/>
      <c r="B828" s="13"/>
      <c r="C828" s="15"/>
      <c r="D828" s="16"/>
      <c r="E828" s="6"/>
      <c r="F828" s="6"/>
      <c r="G828" s="6"/>
      <c r="H828" s="18"/>
      <c r="I828" s="18"/>
      <c r="J828" s="6"/>
      <c r="K828" s="16"/>
      <c r="L828" s="6"/>
      <c r="M828" s="1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11"/>
      <c r="B829" s="13"/>
      <c r="C829" s="15"/>
      <c r="D829" s="16"/>
      <c r="E829" s="6"/>
      <c r="F829" s="6"/>
      <c r="G829" s="6"/>
      <c r="H829" s="18"/>
      <c r="I829" s="18"/>
      <c r="J829" s="6"/>
      <c r="K829" s="16"/>
      <c r="L829" s="6"/>
      <c r="M829" s="1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11"/>
      <c r="B830" s="13"/>
      <c r="C830" s="15"/>
      <c r="D830" s="16"/>
      <c r="E830" s="6"/>
      <c r="F830" s="6"/>
      <c r="G830" s="6"/>
      <c r="H830" s="18"/>
      <c r="I830" s="18"/>
      <c r="J830" s="6"/>
      <c r="K830" s="16"/>
      <c r="L830" s="6"/>
      <c r="M830" s="1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11"/>
      <c r="B831" s="13"/>
      <c r="C831" s="15"/>
      <c r="D831" s="16"/>
      <c r="E831" s="6"/>
      <c r="F831" s="6"/>
      <c r="G831" s="6"/>
      <c r="H831" s="18"/>
      <c r="I831" s="18"/>
      <c r="J831" s="6"/>
      <c r="K831" s="16"/>
      <c r="L831" s="6"/>
      <c r="M831" s="1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11"/>
      <c r="B832" s="13"/>
      <c r="C832" s="15"/>
      <c r="D832" s="16"/>
      <c r="E832" s="6"/>
      <c r="F832" s="6"/>
      <c r="G832" s="6"/>
      <c r="H832" s="18"/>
      <c r="I832" s="18"/>
      <c r="J832" s="6"/>
      <c r="K832" s="16"/>
      <c r="L832" s="6"/>
      <c r="M832" s="1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11"/>
      <c r="B833" s="13"/>
      <c r="C833" s="15"/>
      <c r="D833" s="16"/>
      <c r="E833" s="6"/>
      <c r="F833" s="6"/>
      <c r="G833" s="6"/>
      <c r="H833" s="18"/>
      <c r="I833" s="18"/>
      <c r="J833" s="6"/>
      <c r="K833" s="16"/>
      <c r="L833" s="6"/>
      <c r="M833" s="1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11"/>
      <c r="B834" s="13"/>
      <c r="C834" s="15"/>
      <c r="D834" s="16"/>
      <c r="E834" s="6"/>
      <c r="F834" s="6"/>
      <c r="G834" s="6"/>
      <c r="H834" s="18"/>
      <c r="I834" s="18"/>
      <c r="J834" s="6"/>
      <c r="K834" s="16"/>
      <c r="L834" s="6"/>
      <c r="M834" s="1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11"/>
      <c r="B835" s="13"/>
      <c r="C835" s="15"/>
      <c r="D835" s="16"/>
      <c r="E835" s="6"/>
      <c r="F835" s="6"/>
      <c r="G835" s="6"/>
      <c r="H835" s="18"/>
      <c r="I835" s="18"/>
      <c r="J835" s="6"/>
      <c r="K835" s="16"/>
      <c r="L835" s="6"/>
      <c r="M835" s="1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11"/>
      <c r="B836" s="13"/>
      <c r="C836" s="15"/>
      <c r="D836" s="16"/>
      <c r="E836" s="6"/>
      <c r="F836" s="6"/>
      <c r="G836" s="6"/>
      <c r="H836" s="18"/>
      <c r="I836" s="18"/>
      <c r="J836" s="6"/>
      <c r="K836" s="16"/>
      <c r="L836" s="6"/>
      <c r="M836" s="1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11"/>
      <c r="B837" s="13"/>
      <c r="C837" s="15"/>
      <c r="D837" s="16"/>
      <c r="E837" s="6"/>
      <c r="F837" s="6"/>
      <c r="G837" s="6"/>
      <c r="H837" s="18"/>
      <c r="I837" s="18"/>
      <c r="J837" s="6"/>
      <c r="K837" s="16"/>
      <c r="L837" s="6"/>
      <c r="M837" s="1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11"/>
      <c r="B838" s="13"/>
      <c r="C838" s="15"/>
      <c r="D838" s="16"/>
      <c r="E838" s="6"/>
      <c r="F838" s="6"/>
      <c r="G838" s="6"/>
      <c r="H838" s="18"/>
      <c r="I838" s="18"/>
      <c r="J838" s="6"/>
      <c r="K838" s="16"/>
      <c r="L838" s="6"/>
      <c r="M838" s="1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11"/>
      <c r="B839" s="13"/>
      <c r="C839" s="15"/>
      <c r="D839" s="16"/>
      <c r="E839" s="6"/>
      <c r="F839" s="6"/>
      <c r="G839" s="6"/>
      <c r="H839" s="18"/>
      <c r="I839" s="18"/>
      <c r="J839" s="6"/>
      <c r="K839" s="16"/>
      <c r="L839" s="6"/>
      <c r="M839" s="1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11"/>
      <c r="B840" s="13"/>
      <c r="C840" s="15"/>
      <c r="D840" s="16"/>
      <c r="E840" s="6"/>
      <c r="F840" s="6"/>
      <c r="G840" s="6"/>
      <c r="H840" s="18"/>
      <c r="I840" s="18"/>
      <c r="J840" s="6"/>
      <c r="K840" s="16"/>
      <c r="L840" s="6"/>
      <c r="M840" s="1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11"/>
      <c r="B841" s="13"/>
      <c r="C841" s="15"/>
      <c r="D841" s="16"/>
      <c r="E841" s="6"/>
      <c r="F841" s="6"/>
      <c r="G841" s="6"/>
      <c r="H841" s="18"/>
      <c r="I841" s="18"/>
      <c r="J841" s="6"/>
      <c r="K841" s="16"/>
      <c r="L841" s="6"/>
      <c r="M841" s="1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11"/>
      <c r="B842" s="13"/>
      <c r="C842" s="15"/>
      <c r="D842" s="16"/>
      <c r="E842" s="6"/>
      <c r="F842" s="6"/>
      <c r="G842" s="6"/>
      <c r="H842" s="18"/>
      <c r="I842" s="18"/>
      <c r="J842" s="6"/>
      <c r="K842" s="16"/>
      <c r="L842" s="6"/>
      <c r="M842" s="1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11"/>
      <c r="B843" s="13"/>
      <c r="C843" s="15"/>
      <c r="D843" s="16"/>
      <c r="E843" s="6"/>
      <c r="F843" s="6"/>
      <c r="G843" s="6"/>
      <c r="H843" s="18"/>
      <c r="I843" s="18"/>
      <c r="J843" s="6"/>
      <c r="K843" s="16"/>
      <c r="L843" s="6"/>
      <c r="M843" s="1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11"/>
      <c r="B844" s="13"/>
      <c r="C844" s="15"/>
      <c r="D844" s="16"/>
      <c r="E844" s="6"/>
      <c r="F844" s="6"/>
      <c r="G844" s="6"/>
      <c r="H844" s="18"/>
      <c r="I844" s="18"/>
      <c r="J844" s="6"/>
      <c r="K844" s="16"/>
      <c r="L844" s="6"/>
      <c r="M844" s="1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11"/>
      <c r="B845" s="13"/>
      <c r="C845" s="15"/>
      <c r="D845" s="16"/>
      <c r="E845" s="6"/>
      <c r="F845" s="6"/>
      <c r="G845" s="6"/>
      <c r="H845" s="18"/>
      <c r="I845" s="18"/>
      <c r="J845" s="6"/>
      <c r="K845" s="16"/>
      <c r="L845" s="6"/>
      <c r="M845" s="1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11"/>
      <c r="B846" s="13"/>
      <c r="C846" s="15"/>
      <c r="D846" s="16"/>
      <c r="E846" s="6"/>
      <c r="F846" s="6"/>
      <c r="G846" s="6"/>
      <c r="H846" s="18"/>
      <c r="I846" s="18"/>
      <c r="J846" s="6"/>
      <c r="K846" s="16"/>
      <c r="L846" s="6"/>
      <c r="M846" s="1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11"/>
      <c r="B847" s="13"/>
      <c r="C847" s="15"/>
      <c r="D847" s="16"/>
      <c r="E847" s="6"/>
      <c r="F847" s="6"/>
      <c r="G847" s="6"/>
      <c r="H847" s="18"/>
      <c r="I847" s="18"/>
      <c r="J847" s="6"/>
      <c r="K847" s="16"/>
      <c r="L847" s="6"/>
      <c r="M847" s="1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11"/>
      <c r="B848" s="13"/>
      <c r="C848" s="15"/>
      <c r="D848" s="16"/>
      <c r="E848" s="6"/>
      <c r="F848" s="6"/>
      <c r="G848" s="6"/>
      <c r="H848" s="18"/>
      <c r="I848" s="18"/>
      <c r="J848" s="6"/>
      <c r="K848" s="16"/>
      <c r="L848" s="6"/>
      <c r="M848" s="1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11"/>
      <c r="B849" s="13"/>
      <c r="C849" s="15"/>
      <c r="D849" s="16"/>
      <c r="E849" s="6"/>
      <c r="F849" s="6"/>
      <c r="G849" s="6"/>
      <c r="H849" s="18"/>
      <c r="I849" s="18"/>
      <c r="J849" s="6"/>
      <c r="K849" s="16"/>
      <c r="L849" s="6"/>
      <c r="M849" s="1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11"/>
      <c r="B850" s="13"/>
      <c r="C850" s="15"/>
      <c r="D850" s="16"/>
      <c r="E850" s="6"/>
      <c r="F850" s="6"/>
      <c r="G850" s="6"/>
      <c r="H850" s="18"/>
      <c r="I850" s="18"/>
      <c r="J850" s="6"/>
      <c r="K850" s="16"/>
      <c r="L850" s="6"/>
      <c r="M850" s="1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11"/>
      <c r="B851" s="13"/>
      <c r="C851" s="15"/>
      <c r="D851" s="16"/>
      <c r="E851" s="6"/>
      <c r="F851" s="6"/>
      <c r="G851" s="6"/>
      <c r="H851" s="18"/>
      <c r="I851" s="18"/>
      <c r="J851" s="6"/>
      <c r="K851" s="16"/>
      <c r="L851" s="6"/>
      <c r="M851" s="1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11"/>
      <c r="B852" s="13"/>
      <c r="C852" s="15"/>
      <c r="D852" s="16"/>
      <c r="E852" s="6"/>
      <c r="F852" s="6"/>
      <c r="G852" s="6"/>
      <c r="H852" s="18"/>
      <c r="I852" s="18"/>
      <c r="J852" s="6"/>
      <c r="K852" s="16"/>
      <c r="L852" s="6"/>
      <c r="M852" s="1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11"/>
      <c r="B853" s="13"/>
      <c r="C853" s="15"/>
      <c r="D853" s="16"/>
      <c r="E853" s="6"/>
      <c r="F853" s="6"/>
      <c r="G853" s="6"/>
      <c r="H853" s="18"/>
      <c r="I853" s="18"/>
      <c r="J853" s="6"/>
      <c r="K853" s="16"/>
      <c r="L853" s="6"/>
      <c r="M853" s="1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11"/>
      <c r="B854" s="13"/>
      <c r="C854" s="15"/>
      <c r="D854" s="16"/>
      <c r="E854" s="6"/>
      <c r="F854" s="6"/>
      <c r="G854" s="6"/>
      <c r="H854" s="18"/>
      <c r="I854" s="18"/>
      <c r="J854" s="6"/>
      <c r="K854" s="16"/>
      <c r="L854" s="6"/>
      <c r="M854" s="1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11"/>
      <c r="B855" s="13"/>
      <c r="C855" s="15"/>
      <c r="D855" s="16"/>
      <c r="E855" s="6"/>
      <c r="F855" s="6"/>
      <c r="G855" s="6"/>
      <c r="H855" s="18"/>
      <c r="I855" s="18"/>
      <c r="J855" s="6"/>
      <c r="K855" s="16"/>
      <c r="L855" s="6"/>
      <c r="M855" s="1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11"/>
      <c r="B856" s="13"/>
      <c r="C856" s="15"/>
      <c r="D856" s="16"/>
      <c r="E856" s="6"/>
      <c r="F856" s="6"/>
      <c r="G856" s="6"/>
      <c r="H856" s="18"/>
      <c r="I856" s="18"/>
      <c r="J856" s="6"/>
      <c r="K856" s="16"/>
      <c r="L856" s="6"/>
      <c r="M856" s="1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11"/>
      <c r="B857" s="13"/>
      <c r="C857" s="15"/>
      <c r="D857" s="16"/>
      <c r="E857" s="6"/>
      <c r="F857" s="6"/>
      <c r="G857" s="6"/>
      <c r="H857" s="18"/>
      <c r="I857" s="18"/>
      <c r="J857" s="6"/>
      <c r="K857" s="16"/>
      <c r="L857" s="6"/>
      <c r="M857" s="1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11"/>
      <c r="B858" s="13"/>
      <c r="C858" s="15"/>
      <c r="D858" s="16"/>
      <c r="E858" s="6"/>
      <c r="F858" s="6"/>
      <c r="G858" s="6"/>
      <c r="H858" s="18"/>
      <c r="I858" s="18"/>
      <c r="J858" s="6"/>
      <c r="K858" s="16"/>
      <c r="L858" s="6"/>
      <c r="M858" s="1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11"/>
      <c r="B859" s="13"/>
      <c r="C859" s="15"/>
      <c r="D859" s="16"/>
      <c r="E859" s="6"/>
      <c r="F859" s="6"/>
      <c r="G859" s="6"/>
      <c r="H859" s="18"/>
      <c r="I859" s="18"/>
      <c r="J859" s="6"/>
      <c r="K859" s="16"/>
      <c r="L859" s="6"/>
      <c r="M859" s="1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11"/>
      <c r="B860" s="13"/>
      <c r="C860" s="15"/>
      <c r="D860" s="16"/>
      <c r="E860" s="6"/>
      <c r="F860" s="6"/>
      <c r="G860" s="6"/>
      <c r="H860" s="18"/>
      <c r="I860" s="18"/>
      <c r="J860" s="6"/>
      <c r="K860" s="16"/>
      <c r="L860" s="6"/>
      <c r="M860" s="1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11"/>
      <c r="B861" s="13"/>
      <c r="C861" s="15"/>
      <c r="D861" s="16"/>
      <c r="E861" s="6"/>
      <c r="F861" s="6"/>
      <c r="G861" s="6"/>
      <c r="H861" s="18"/>
      <c r="I861" s="18"/>
      <c r="J861" s="6"/>
      <c r="K861" s="16"/>
      <c r="L861" s="6"/>
      <c r="M861" s="1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11"/>
      <c r="B862" s="13"/>
      <c r="C862" s="15"/>
      <c r="D862" s="16"/>
      <c r="E862" s="6"/>
      <c r="F862" s="6"/>
      <c r="G862" s="6"/>
      <c r="H862" s="18"/>
      <c r="I862" s="18"/>
      <c r="J862" s="6"/>
      <c r="K862" s="16"/>
      <c r="L862" s="6"/>
      <c r="M862" s="1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11"/>
      <c r="B863" s="13"/>
      <c r="C863" s="15"/>
      <c r="D863" s="16"/>
      <c r="E863" s="6"/>
      <c r="F863" s="6"/>
      <c r="G863" s="6"/>
      <c r="H863" s="18"/>
      <c r="I863" s="18"/>
      <c r="J863" s="6"/>
      <c r="K863" s="16"/>
      <c r="L863" s="6"/>
      <c r="M863" s="1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11"/>
      <c r="B864" s="13"/>
      <c r="C864" s="15"/>
      <c r="D864" s="16"/>
      <c r="E864" s="6"/>
      <c r="F864" s="6"/>
      <c r="G864" s="6"/>
      <c r="H864" s="18"/>
      <c r="I864" s="18"/>
      <c r="J864" s="6"/>
      <c r="K864" s="16"/>
      <c r="L864" s="6"/>
      <c r="M864" s="1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11"/>
      <c r="B865" s="13"/>
      <c r="C865" s="15"/>
      <c r="D865" s="16"/>
      <c r="E865" s="6"/>
      <c r="F865" s="6"/>
      <c r="G865" s="6"/>
      <c r="H865" s="18"/>
      <c r="I865" s="18"/>
      <c r="J865" s="6"/>
      <c r="K865" s="16"/>
      <c r="L865" s="6"/>
      <c r="M865" s="1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11"/>
      <c r="B866" s="13"/>
      <c r="C866" s="15"/>
      <c r="D866" s="16"/>
      <c r="E866" s="6"/>
      <c r="F866" s="6"/>
      <c r="G866" s="6"/>
      <c r="H866" s="18"/>
      <c r="I866" s="18"/>
      <c r="J866" s="6"/>
      <c r="K866" s="16"/>
      <c r="L866" s="6"/>
      <c r="M866" s="1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11"/>
      <c r="B867" s="13"/>
      <c r="C867" s="15"/>
      <c r="D867" s="16"/>
      <c r="E867" s="6"/>
      <c r="F867" s="6"/>
      <c r="G867" s="6"/>
      <c r="H867" s="18"/>
      <c r="I867" s="18"/>
      <c r="J867" s="6"/>
      <c r="K867" s="16"/>
      <c r="L867" s="6"/>
      <c r="M867" s="1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11"/>
      <c r="B868" s="13"/>
      <c r="C868" s="15"/>
      <c r="D868" s="16"/>
      <c r="E868" s="6"/>
      <c r="F868" s="6"/>
      <c r="G868" s="6"/>
      <c r="H868" s="18"/>
      <c r="I868" s="18"/>
      <c r="J868" s="6"/>
      <c r="K868" s="16"/>
      <c r="L868" s="6"/>
      <c r="M868" s="1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11"/>
      <c r="B869" s="13"/>
      <c r="C869" s="15"/>
      <c r="D869" s="16"/>
      <c r="E869" s="6"/>
      <c r="F869" s="6"/>
      <c r="G869" s="6"/>
      <c r="H869" s="18"/>
      <c r="I869" s="18"/>
      <c r="J869" s="6"/>
      <c r="K869" s="16"/>
      <c r="L869" s="6"/>
      <c r="M869" s="1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11"/>
      <c r="B870" s="13"/>
      <c r="C870" s="15"/>
      <c r="D870" s="16"/>
      <c r="E870" s="6"/>
      <c r="F870" s="6"/>
      <c r="G870" s="6"/>
      <c r="H870" s="18"/>
      <c r="I870" s="18"/>
      <c r="J870" s="6"/>
      <c r="K870" s="16"/>
      <c r="L870" s="6"/>
      <c r="M870" s="1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11"/>
      <c r="B871" s="13"/>
      <c r="C871" s="15"/>
      <c r="D871" s="16"/>
      <c r="E871" s="6"/>
      <c r="F871" s="6"/>
      <c r="G871" s="6"/>
      <c r="H871" s="18"/>
      <c r="I871" s="18"/>
      <c r="J871" s="6"/>
      <c r="K871" s="16"/>
      <c r="L871" s="6"/>
      <c r="M871" s="1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11"/>
      <c r="B872" s="13"/>
      <c r="C872" s="15"/>
      <c r="D872" s="16"/>
      <c r="E872" s="6"/>
      <c r="F872" s="6"/>
      <c r="G872" s="6"/>
      <c r="H872" s="18"/>
      <c r="I872" s="18"/>
      <c r="J872" s="6"/>
      <c r="K872" s="16"/>
      <c r="L872" s="6"/>
      <c r="M872" s="1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11"/>
      <c r="B873" s="13"/>
      <c r="C873" s="15"/>
      <c r="D873" s="16"/>
      <c r="E873" s="6"/>
      <c r="F873" s="6"/>
      <c r="G873" s="6"/>
      <c r="H873" s="18"/>
      <c r="I873" s="18"/>
      <c r="J873" s="6"/>
      <c r="K873" s="16"/>
      <c r="L873" s="6"/>
      <c r="M873" s="1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11"/>
      <c r="B874" s="13"/>
      <c r="C874" s="15"/>
      <c r="D874" s="16"/>
      <c r="E874" s="6"/>
      <c r="F874" s="6"/>
      <c r="G874" s="6"/>
      <c r="H874" s="18"/>
      <c r="I874" s="18"/>
      <c r="J874" s="6"/>
      <c r="K874" s="16"/>
      <c r="L874" s="6"/>
      <c r="M874" s="1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11"/>
      <c r="B875" s="13"/>
      <c r="C875" s="15"/>
      <c r="D875" s="16"/>
      <c r="E875" s="6"/>
      <c r="F875" s="6"/>
      <c r="G875" s="6"/>
      <c r="H875" s="18"/>
      <c r="I875" s="18"/>
      <c r="J875" s="6"/>
      <c r="K875" s="16"/>
      <c r="L875" s="6"/>
      <c r="M875" s="1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11"/>
      <c r="B876" s="13"/>
      <c r="C876" s="15"/>
      <c r="D876" s="16"/>
      <c r="E876" s="6"/>
      <c r="F876" s="6"/>
      <c r="G876" s="6"/>
      <c r="H876" s="18"/>
      <c r="I876" s="18"/>
      <c r="J876" s="6"/>
      <c r="K876" s="16"/>
      <c r="L876" s="6"/>
      <c r="M876" s="1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11"/>
      <c r="B877" s="13"/>
      <c r="C877" s="15"/>
      <c r="D877" s="16"/>
      <c r="E877" s="6"/>
      <c r="F877" s="6"/>
      <c r="G877" s="6"/>
      <c r="H877" s="18"/>
      <c r="I877" s="18"/>
      <c r="J877" s="6"/>
      <c r="K877" s="16"/>
      <c r="L877" s="6"/>
      <c r="M877" s="1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11"/>
      <c r="B878" s="13"/>
      <c r="C878" s="15"/>
      <c r="D878" s="16"/>
      <c r="E878" s="6"/>
      <c r="F878" s="6"/>
      <c r="G878" s="6"/>
      <c r="H878" s="18"/>
      <c r="I878" s="18"/>
      <c r="J878" s="6"/>
      <c r="K878" s="16"/>
      <c r="L878" s="6"/>
      <c r="M878" s="1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11"/>
      <c r="B879" s="13"/>
      <c r="C879" s="15"/>
      <c r="D879" s="16"/>
      <c r="E879" s="6"/>
      <c r="F879" s="6"/>
      <c r="G879" s="6"/>
      <c r="H879" s="18"/>
      <c r="I879" s="18"/>
      <c r="J879" s="6"/>
      <c r="K879" s="16"/>
      <c r="L879" s="6"/>
      <c r="M879" s="1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11"/>
      <c r="B880" s="13"/>
      <c r="C880" s="15"/>
      <c r="D880" s="16"/>
      <c r="E880" s="6"/>
      <c r="F880" s="6"/>
      <c r="G880" s="6"/>
      <c r="H880" s="18"/>
      <c r="I880" s="18"/>
      <c r="J880" s="6"/>
      <c r="K880" s="16"/>
      <c r="L880" s="6"/>
      <c r="M880" s="1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11"/>
      <c r="B881" s="13"/>
      <c r="C881" s="15"/>
      <c r="D881" s="16"/>
      <c r="E881" s="6"/>
      <c r="F881" s="6"/>
      <c r="G881" s="6"/>
      <c r="H881" s="18"/>
      <c r="I881" s="18"/>
      <c r="J881" s="6"/>
      <c r="K881" s="16"/>
      <c r="L881" s="6"/>
      <c r="M881" s="1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11"/>
      <c r="B882" s="13"/>
      <c r="C882" s="15"/>
      <c r="D882" s="16"/>
      <c r="E882" s="6"/>
      <c r="F882" s="6"/>
      <c r="G882" s="6"/>
      <c r="H882" s="18"/>
      <c r="I882" s="18"/>
      <c r="J882" s="6"/>
      <c r="K882" s="16"/>
      <c r="L882" s="6"/>
      <c r="M882" s="1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11"/>
      <c r="B883" s="13"/>
      <c r="C883" s="15"/>
      <c r="D883" s="16"/>
      <c r="E883" s="6"/>
      <c r="F883" s="6"/>
      <c r="G883" s="6"/>
      <c r="H883" s="18"/>
      <c r="I883" s="18"/>
      <c r="J883" s="6"/>
      <c r="K883" s="16"/>
      <c r="L883" s="6"/>
      <c r="M883" s="1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11"/>
      <c r="B884" s="13"/>
      <c r="C884" s="15"/>
      <c r="D884" s="16"/>
      <c r="E884" s="6"/>
      <c r="F884" s="6"/>
      <c r="G884" s="6"/>
      <c r="H884" s="18"/>
      <c r="I884" s="18"/>
      <c r="J884" s="6"/>
      <c r="K884" s="16"/>
      <c r="L884" s="6"/>
      <c r="M884" s="1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11"/>
      <c r="B885" s="13"/>
      <c r="C885" s="15"/>
      <c r="D885" s="16"/>
      <c r="E885" s="6"/>
      <c r="F885" s="6"/>
      <c r="G885" s="6"/>
      <c r="H885" s="18"/>
      <c r="I885" s="18"/>
      <c r="J885" s="6"/>
      <c r="K885" s="16"/>
      <c r="L885" s="6"/>
      <c r="M885" s="1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11"/>
      <c r="B886" s="13"/>
      <c r="C886" s="15"/>
      <c r="D886" s="16"/>
      <c r="E886" s="6"/>
      <c r="F886" s="6"/>
      <c r="G886" s="6"/>
      <c r="H886" s="18"/>
      <c r="I886" s="18"/>
      <c r="J886" s="6"/>
      <c r="K886" s="16"/>
      <c r="L886" s="6"/>
      <c r="M886" s="1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11"/>
      <c r="B887" s="13"/>
      <c r="C887" s="15"/>
      <c r="D887" s="16"/>
      <c r="E887" s="6"/>
      <c r="F887" s="6"/>
      <c r="G887" s="6"/>
      <c r="H887" s="18"/>
      <c r="I887" s="18"/>
      <c r="J887" s="6"/>
      <c r="K887" s="16"/>
      <c r="L887" s="6"/>
      <c r="M887" s="1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11"/>
      <c r="B888" s="13"/>
      <c r="C888" s="15"/>
      <c r="D888" s="16"/>
      <c r="E888" s="6"/>
      <c r="F888" s="6"/>
      <c r="G888" s="6"/>
      <c r="H888" s="18"/>
      <c r="I888" s="18"/>
      <c r="J888" s="6"/>
      <c r="K888" s="16"/>
      <c r="L888" s="6"/>
      <c r="M888" s="1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11"/>
      <c r="B889" s="13"/>
      <c r="C889" s="15"/>
      <c r="D889" s="16"/>
      <c r="E889" s="6"/>
      <c r="F889" s="6"/>
      <c r="G889" s="6"/>
      <c r="H889" s="18"/>
      <c r="I889" s="18"/>
      <c r="J889" s="6"/>
      <c r="K889" s="16"/>
      <c r="L889" s="6"/>
      <c r="M889" s="1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11"/>
      <c r="B890" s="13"/>
      <c r="C890" s="15"/>
      <c r="D890" s="16"/>
      <c r="E890" s="6"/>
      <c r="F890" s="6"/>
      <c r="G890" s="6"/>
      <c r="H890" s="18"/>
      <c r="I890" s="18"/>
      <c r="J890" s="6"/>
      <c r="K890" s="16"/>
      <c r="L890" s="6"/>
      <c r="M890" s="1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11"/>
      <c r="B891" s="13"/>
      <c r="C891" s="15"/>
      <c r="D891" s="16"/>
      <c r="E891" s="6"/>
      <c r="F891" s="6"/>
      <c r="G891" s="6"/>
      <c r="H891" s="18"/>
      <c r="I891" s="18"/>
      <c r="J891" s="6"/>
      <c r="K891" s="16"/>
      <c r="L891" s="6"/>
      <c r="M891" s="1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11"/>
      <c r="B892" s="13"/>
      <c r="C892" s="15"/>
      <c r="D892" s="16"/>
      <c r="E892" s="6"/>
      <c r="F892" s="6"/>
      <c r="G892" s="6"/>
      <c r="H892" s="18"/>
      <c r="I892" s="18"/>
      <c r="J892" s="6"/>
      <c r="K892" s="16"/>
      <c r="L892" s="6"/>
      <c r="M892" s="1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11"/>
      <c r="B893" s="13"/>
      <c r="C893" s="15"/>
      <c r="D893" s="16"/>
      <c r="E893" s="6"/>
      <c r="F893" s="6"/>
      <c r="G893" s="6"/>
      <c r="H893" s="18"/>
      <c r="I893" s="18"/>
      <c r="J893" s="6"/>
      <c r="K893" s="16"/>
      <c r="L893" s="6"/>
      <c r="M893" s="1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11"/>
      <c r="B894" s="13"/>
      <c r="C894" s="15"/>
      <c r="D894" s="16"/>
      <c r="E894" s="6"/>
      <c r="F894" s="6"/>
      <c r="G894" s="6"/>
      <c r="H894" s="18"/>
      <c r="I894" s="18"/>
      <c r="J894" s="6"/>
      <c r="K894" s="16"/>
      <c r="L894" s="6"/>
      <c r="M894" s="1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11"/>
      <c r="B895" s="13"/>
      <c r="C895" s="15"/>
      <c r="D895" s="16"/>
      <c r="E895" s="6"/>
      <c r="F895" s="6"/>
      <c r="G895" s="6"/>
      <c r="H895" s="18"/>
      <c r="I895" s="18"/>
      <c r="J895" s="6"/>
      <c r="K895" s="16"/>
      <c r="L895" s="6"/>
      <c r="M895" s="1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11"/>
      <c r="B896" s="13"/>
      <c r="C896" s="15"/>
      <c r="D896" s="16"/>
      <c r="E896" s="6"/>
      <c r="F896" s="6"/>
      <c r="G896" s="6"/>
      <c r="H896" s="18"/>
      <c r="I896" s="18"/>
      <c r="J896" s="6"/>
      <c r="K896" s="16"/>
      <c r="L896" s="6"/>
      <c r="M896" s="1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11"/>
      <c r="B897" s="13"/>
      <c r="C897" s="15"/>
      <c r="D897" s="16"/>
      <c r="E897" s="6"/>
      <c r="F897" s="6"/>
      <c r="G897" s="6"/>
      <c r="H897" s="18"/>
      <c r="I897" s="18"/>
      <c r="J897" s="6"/>
      <c r="K897" s="16"/>
      <c r="L897" s="6"/>
      <c r="M897" s="1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11"/>
      <c r="B898" s="13"/>
      <c r="C898" s="15"/>
      <c r="D898" s="16"/>
      <c r="E898" s="6"/>
      <c r="F898" s="6"/>
      <c r="G898" s="6"/>
      <c r="H898" s="18"/>
      <c r="I898" s="18"/>
      <c r="J898" s="6"/>
      <c r="K898" s="16"/>
      <c r="L898" s="6"/>
      <c r="M898" s="1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11"/>
      <c r="B899" s="13"/>
      <c r="C899" s="15"/>
      <c r="D899" s="16"/>
      <c r="E899" s="6"/>
      <c r="F899" s="6"/>
      <c r="G899" s="6"/>
      <c r="H899" s="18"/>
      <c r="I899" s="18"/>
      <c r="J899" s="6"/>
      <c r="K899" s="16"/>
      <c r="L899" s="6"/>
      <c r="M899" s="1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11"/>
      <c r="B900" s="13"/>
      <c r="C900" s="15"/>
      <c r="D900" s="16"/>
      <c r="E900" s="6"/>
      <c r="F900" s="6"/>
      <c r="G900" s="6"/>
      <c r="H900" s="18"/>
      <c r="I900" s="18"/>
      <c r="J900" s="6"/>
      <c r="K900" s="16"/>
      <c r="L900" s="6"/>
      <c r="M900" s="1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11"/>
      <c r="B901" s="13"/>
      <c r="C901" s="15"/>
      <c r="D901" s="16"/>
      <c r="E901" s="6"/>
      <c r="F901" s="6"/>
      <c r="G901" s="6"/>
      <c r="H901" s="18"/>
      <c r="I901" s="18"/>
      <c r="J901" s="6"/>
      <c r="K901" s="16"/>
      <c r="L901" s="6"/>
      <c r="M901" s="1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11"/>
      <c r="B902" s="13"/>
      <c r="C902" s="15"/>
      <c r="D902" s="16"/>
      <c r="E902" s="6"/>
      <c r="F902" s="6"/>
      <c r="G902" s="6"/>
      <c r="H902" s="18"/>
      <c r="I902" s="18"/>
      <c r="J902" s="6"/>
      <c r="K902" s="16"/>
      <c r="L902" s="6"/>
      <c r="M902" s="1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11"/>
      <c r="B903" s="13"/>
      <c r="C903" s="15"/>
      <c r="D903" s="16"/>
      <c r="E903" s="6"/>
      <c r="F903" s="6"/>
      <c r="G903" s="6"/>
      <c r="H903" s="18"/>
      <c r="I903" s="18"/>
      <c r="J903" s="6"/>
      <c r="K903" s="16"/>
      <c r="L903" s="6"/>
      <c r="M903" s="1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11"/>
      <c r="B904" s="13"/>
      <c r="C904" s="15"/>
      <c r="D904" s="16"/>
      <c r="E904" s="6"/>
      <c r="F904" s="6"/>
      <c r="G904" s="6"/>
      <c r="H904" s="18"/>
      <c r="I904" s="18"/>
      <c r="J904" s="6"/>
      <c r="K904" s="16"/>
      <c r="L904" s="6"/>
      <c r="M904" s="1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11"/>
      <c r="B905" s="13"/>
      <c r="C905" s="15"/>
      <c r="D905" s="16"/>
      <c r="E905" s="6"/>
      <c r="F905" s="6"/>
      <c r="G905" s="6"/>
      <c r="H905" s="18"/>
      <c r="I905" s="18"/>
      <c r="J905" s="6"/>
      <c r="K905" s="16"/>
      <c r="L905" s="6"/>
      <c r="M905" s="1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11"/>
      <c r="B906" s="13"/>
      <c r="C906" s="15"/>
      <c r="D906" s="16"/>
      <c r="E906" s="6"/>
      <c r="F906" s="6"/>
      <c r="G906" s="6"/>
      <c r="H906" s="18"/>
      <c r="I906" s="18"/>
      <c r="J906" s="6"/>
      <c r="K906" s="16"/>
      <c r="L906" s="6"/>
      <c r="M906" s="1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11"/>
      <c r="B907" s="13"/>
      <c r="C907" s="15"/>
      <c r="D907" s="16"/>
      <c r="E907" s="6"/>
      <c r="F907" s="6"/>
      <c r="G907" s="6"/>
      <c r="H907" s="18"/>
      <c r="I907" s="18"/>
      <c r="J907" s="6"/>
      <c r="K907" s="16"/>
      <c r="L907" s="6"/>
      <c r="M907" s="1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11"/>
      <c r="B908" s="13"/>
      <c r="C908" s="15"/>
      <c r="D908" s="16"/>
      <c r="E908" s="6"/>
      <c r="F908" s="6"/>
      <c r="G908" s="6"/>
      <c r="H908" s="18"/>
      <c r="I908" s="18"/>
      <c r="J908" s="6"/>
      <c r="K908" s="16"/>
      <c r="L908" s="6"/>
      <c r="M908" s="1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11"/>
      <c r="B909" s="13"/>
      <c r="C909" s="15"/>
      <c r="D909" s="16"/>
      <c r="E909" s="6"/>
      <c r="F909" s="6"/>
      <c r="G909" s="6"/>
      <c r="H909" s="18"/>
      <c r="I909" s="18"/>
      <c r="J909" s="6"/>
      <c r="K909" s="16"/>
      <c r="L909" s="6"/>
      <c r="M909" s="1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11"/>
      <c r="B910" s="13"/>
      <c r="C910" s="15"/>
      <c r="D910" s="16"/>
      <c r="E910" s="6"/>
      <c r="F910" s="6"/>
      <c r="G910" s="6"/>
      <c r="H910" s="18"/>
      <c r="I910" s="18"/>
      <c r="J910" s="6"/>
      <c r="K910" s="16"/>
      <c r="L910" s="6"/>
      <c r="M910" s="1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11"/>
      <c r="B911" s="13"/>
      <c r="C911" s="15"/>
      <c r="D911" s="16"/>
      <c r="E911" s="6"/>
      <c r="F911" s="6"/>
      <c r="G911" s="6"/>
      <c r="H911" s="18"/>
      <c r="I911" s="18"/>
      <c r="J911" s="6"/>
      <c r="K911" s="16"/>
      <c r="L911" s="6"/>
      <c r="M911" s="1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11"/>
      <c r="B912" s="13"/>
      <c r="C912" s="15"/>
      <c r="D912" s="16"/>
      <c r="E912" s="6"/>
      <c r="F912" s="6"/>
      <c r="G912" s="6"/>
      <c r="H912" s="18"/>
      <c r="I912" s="18"/>
      <c r="J912" s="6"/>
      <c r="K912" s="16"/>
      <c r="L912" s="6"/>
      <c r="M912" s="1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11"/>
      <c r="B913" s="13"/>
      <c r="C913" s="15"/>
      <c r="D913" s="16"/>
      <c r="E913" s="6"/>
      <c r="F913" s="6"/>
      <c r="G913" s="6"/>
      <c r="H913" s="18"/>
      <c r="I913" s="18"/>
      <c r="J913" s="6"/>
      <c r="K913" s="16"/>
      <c r="L913" s="6"/>
      <c r="M913" s="1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11"/>
      <c r="B914" s="13"/>
      <c r="C914" s="15"/>
      <c r="D914" s="16"/>
      <c r="E914" s="6"/>
      <c r="F914" s="6"/>
      <c r="G914" s="6"/>
      <c r="H914" s="18"/>
      <c r="I914" s="18"/>
      <c r="J914" s="6"/>
      <c r="K914" s="16"/>
      <c r="L914" s="6"/>
      <c r="M914" s="1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11"/>
      <c r="B915" s="13"/>
      <c r="C915" s="15"/>
      <c r="D915" s="16"/>
      <c r="E915" s="6"/>
      <c r="F915" s="6"/>
      <c r="G915" s="6"/>
      <c r="H915" s="18"/>
      <c r="I915" s="18"/>
      <c r="J915" s="6"/>
      <c r="K915" s="16"/>
      <c r="L915" s="6"/>
      <c r="M915" s="1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11"/>
      <c r="B916" s="13"/>
      <c r="C916" s="15"/>
      <c r="D916" s="16"/>
      <c r="E916" s="6"/>
      <c r="F916" s="6"/>
      <c r="G916" s="6"/>
      <c r="H916" s="18"/>
      <c r="I916" s="18"/>
      <c r="J916" s="6"/>
      <c r="K916" s="16"/>
      <c r="L916" s="6"/>
      <c r="M916" s="1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11"/>
      <c r="B917" s="13"/>
      <c r="C917" s="15"/>
      <c r="D917" s="16"/>
      <c r="E917" s="6"/>
      <c r="F917" s="6"/>
      <c r="G917" s="6"/>
      <c r="H917" s="18"/>
      <c r="I917" s="18"/>
      <c r="J917" s="6"/>
      <c r="K917" s="16"/>
      <c r="L917" s="6"/>
      <c r="M917" s="1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11"/>
      <c r="B918" s="13"/>
      <c r="C918" s="15"/>
      <c r="D918" s="16"/>
      <c r="E918" s="6"/>
      <c r="F918" s="6"/>
      <c r="G918" s="6"/>
      <c r="H918" s="18"/>
      <c r="I918" s="18"/>
      <c r="J918" s="6"/>
      <c r="K918" s="16"/>
      <c r="L918" s="6"/>
      <c r="M918" s="1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11"/>
      <c r="B919" s="13"/>
      <c r="C919" s="15"/>
      <c r="D919" s="16"/>
      <c r="E919" s="6"/>
      <c r="F919" s="6"/>
      <c r="G919" s="6"/>
      <c r="H919" s="18"/>
      <c r="I919" s="18"/>
      <c r="J919" s="6"/>
      <c r="K919" s="16"/>
      <c r="L919" s="6"/>
      <c r="M919" s="1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11"/>
      <c r="B920" s="13"/>
      <c r="C920" s="15"/>
      <c r="D920" s="16"/>
      <c r="E920" s="6"/>
      <c r="F920" s="6"/>
      <c r="G920" s="6"/>
      <c r="H920" s="18"/>
      <c r="I920" s="18"/>
      <c r="J920" s="6"/>
      <c r="K920" s="16"/>
      <c r="L920" s="6"/>
      <c r="M920" s="1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11"/>
      <c r="B921" s="13"/>
      <c r="C921" s="15"/>
      <c r="D921" s="16"/>
      <c r="E921" s="6"/>
      <c r="F921" s="6"/>
      <c r="G921" s="6"/>
      <c r="H921" s="18"/>
      <c r="I921" s="18"/>
      <c r="J921" s="6"/>
      <c r="K921" s="16"/>
      <c r="L921" s="6"/>
      <c r="M921" s="1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11"/>
      <c r="B922" s="13"/>
      <c r="C922" s="15"/>
      <c r="D922" s="16"/>
      <c r="E922" s="6"/>
      <c r="F922" s="6"/>
      <c r="G922" s="6"/>
      <c r="H922" s="18"/>
      <c r="I922" s="18"/>
      <c r="J922" s="6"/>
      <c r="K922" s="16"/>
      <c r="L922" s="6"/>
      <c r="M922" s="1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11"/>
      <c r="B923" s="13"/>
      <c r="C923" s="15"/>
      <c r="D923" s="16"/>
      <c r="E923" s="6"/>
      <c r="F923" s="6"/>
      <c r="G923" s="6"/>
      <c r="H923" s="18"/>
      <c r="I923" s="18"/>
      <c r="J923" s="6"/>
      <c r="K923" s="16"/>
      <c r="L923" s="6"/>
      <c r="M923" s="1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11"/>
      <c r="B924" s="13"/>
      <c r="C924" s="15"/>
      <c r="D924" s="16"/>
      <c r="E924" s="6"/>
      <c r="F924" s="6"/>
      <c r="G924" s="6"/>
      <c r="H924" s="18"/>
      <c r="I924" s="18"/>
      <c r="J924" s="6"/>
      <c r="K924" s="16"/>
      <c r="L924" s="6"/>
      <c r="M924" s="1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11"/>
      <c r="B925" s="13"/>
      <c r="C925" s="15"/>
      <c r="D925" s="16"/>
      <c r="E925" s="6"/>
      <c r="F925" s="6"/>
      <c r="G925" s="6"/>
      <c r="H925" s="18"/>
      <c r="I925" s="18"/>
      <c r="J925" s="6"/>
      <c r="K925" s="16"/>
      <c r="L925" s="6"/>
      <c r="M925" s="1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11"/>
      <c r="B926" s="13"/>
      <c r="C926" s="15"/>
      <c r="D926" s="16"/>
      <c r="E926" s="6"/>
      <c r="F926" s="6"/>
      <c r="G926" s="6"/>
      <c r="H926" s="18"/>
      <c r="I926" s="18"/>
      <c r="J926" s="6"/>
      <c r="K926" s="16"/>
      <c r="L926" s="6"/>
      <c r="M926" s="1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11"/>
      <c r="B927" s="13"/>
      <c r="C927" s="15"/>
      <c r="D927" s="16"/>
      <c r="E927" s="6"/>
      <c r="F927" s="6"/>
      <c r="G927" s="6"/>
      <c r="H927" s="18"/>
      <c r="I927" s="18"/>
      <c r="J927" s="6"/>
      <c r="K927" s="16"/>
      <c r="L927" s="6"/>
      <c r="M927" s="1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11"/>
      <c r="B928" s="13"/>
      <c r="C928" s="15"/>
      <c r="D928" s="16"/>
      <c r="E928" s="6"/>
      <c r="F928" s="6"/>
      <c r="G928" s="6"/>
      <c r="H928" s="18"/>
      <c r="I928" s="18"/>
      <c r="J928" s="6"/>
      <c r="K928" s="16"/>
      <c r="L928" s="6"/>
      <c r="M928" s="1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11"/>
      <c r="B929" s="13"/>
      <c r="C929" s="15"/>
      <c r="D929" s="16"/>
      <c r="E929" s="6"/>
      <c r="F929" s="6"/>
      <c r="G929" s="6"/>
      <c r="H929" s="18"/>
      <c r="I929" s="18"/>
      <c r="J929" s="6"/>
      <c r="K929" s="16"/>
      <c r="L929" s="6"/>
      <c r="M929" s="1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11"/>
      <c r="B930" s="13"/>
      <c r="C930" s="15"/>
      <c r="D930" s="16"/>
      <c r="E930" s="6"/>
      <c r="F930" s="6"/>
      <c r="G930" s="6"/>
      <c r="H930" s="18"/>
      <c r="I930" s="18"/>
      <c r="J930" s="6"/>
      <c r="K930" s="16"/>
      <c r="L930" s="6"/>
      <c r="M930" s="1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11"/>
      <c r="B931" s="13"/>
      <c r="C931" s="15"/>
      <c r="D931" s="16"/>
      <c r="E931" s="6"/>
      <c r="F931" s="6"/>
      <c r="G931" s="6"/>
      <c r="H931" s="18"/>
      <c r="I931" s="18"/>
      <c r="J931" s="6"/>
      <c r="K931" s="16"/>
      <c r="L931" s="6"/>
      <c r="M931" s="1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11"/>
      <c r="B932" s="13"/>
      <c r="C932" s="15"/>
      <c r="D932" s="16"/>
      <c r="E932" s="6"/>
      <c r="F932" s="6"/>
      <c r="G932" s="6"/>
      <c r="H932" s="18"/>
      <c r="I932" s="18"/>
      <c r="J932" s="6"/>
      <c r="K932" s="16"/>
      <c r="L932" s="6"/>
      <c r="M932" s="1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11"/>
      <c r="B933" s="13"/>
      <c r="C933" s="15"/>
      <c r="D933" s="16"/>
      <c r="E933" s="6"/>
      <c r="F933" s="6"/>
      <c r="G933" s="6"/>
      <c r="H933" s="18"/>
      <c r="I933" s="18"/>
      <c r="J933" s="6"/>
      <c r="K933" s="16"/>
      <c r="L933" s="6"/>
      <c r="M933" s="1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11"/>
      <c r="B934" s="13"/>
      <c r="C934" s="15"/>
      <c r="D934" s="16"/>
      <c r="E934" s="6"/>
      <c r="F934" s="6"/>
      <c r="G934" s="6"/>
      <c r="H934" s="18"/>
      <c r="I934" s="18"/>
      <c r="J934" s="6"/>
      <c r="K934" s="16"/>
      <c r="L934" s="6"/>
      <c r="M934" s="1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11"/>
      <c r="B935" s="13"/>
      <c r="C935" s="15"/>
      <c r="D935" s="16"/>
      <c r="E935" s="6"/>
      <c r="F935" s="6"/>
      <c r="G935" s="6"/>
      <c r="H935" s="18"/>
      <c r="I935" s="18"/>
      <c r="J935" s="6"/>
      <c r="K935" s="16"/>
      <c r="L935" s="6"/>
      <c r="M935" s="1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11"/>
      <c r="B936" s="13"/>
      <c r="C936" s="15"/>
      <c r="D936" s="16"/>
      <c r="E936" s="6"/>
      <c r="F936" s="6"/>
      <c r="G936" s="6"/>
      <c r="H936" s="18"/>
      <c r="I936" s="18"/>
      <c r="J936" s="6"/>
      <c r="K936" s="16"/>
      <c r="L936" s="6"/>
      <c r="M936" s="1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11"/>
      <c r="B937" s="13"/>
      <c r="C937" s="15"/>
      <c r="D937" s="16"/>
      <c r="E937" s="6"/>
      <c r="F937" s="6"/>
      <c r="G937" s="6"/>
      <c r="H937" s="18"/>
      <c r="I937" s="18"/>
      <c r="J937" s="6"/>
      <c r="K937" s="16"/>
      <c r="L937" s="6"/>
      <c r="M937" s="1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11"/>
      <c r="B938" s="13"/>
      <c r="C938" s="15"/>
      <c r="D938" s="16"/>
      <c r="E938" s="6"/>
      <c r="F938" s="6"/>
      <c r="G938" s="6"/>
      <c r="H938" s="18"/>
      <c r="I938" s="18"/>
      <c r="J938" s="6"/>
      <c r="K938" s="16"/>
      <c r="L938" s="6"/>
      <c r="M938" s="1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11"/>
      <c r="B939" s="13"/>
      <c r="C939" s="15"/>
      <c r="D939" s="16"/>
      <c r="E939" s="6"/>
      <c r="F939" s="6"/>
      <c r="G939" s="6"/>
      <c r="H939" s="18"/>
      <c r="I939" s="18"/>
      <c r="J939" s="6"/>
      <c r="K939" s="16"/>
      <c r="L939" s="6"/>
      <c r="M939" s="1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11"/>
      <c r="B940" s="13"/>
      <c r="C940" s="15"/>
      <c r="D940" s="16"/>
      <c r="E940" s="6"/>
      <c r="F940" s="6"/>
      <c r="G940" s="6"/>
      <c r="H940" s="18"/>
      <c r="I940" s="18"/>
      <c r="J940" s="6"/>
      <c r="K940" s="16"/>
      <c r="L940" s="6"/>
      <c r="M940" s="1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11"/>
      <c r="B941" s="13"/>
      <c r="C941" s="15"/>
      <c r="D941" s="16"/>
      <c r="E941" s="6"/>
      <c r="F941" s="6"/>
      <c r="G941" s="6"/>
      <c r="H941" s="18"/>
      <c r="I941" s="18"/>
      <c r="J941" s="6"/>
      <c r="K941" s="16"/>
      <c r="L941" s="6"/>
      <c r="M941" s="1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11"/>
      <c r="B942" s="13"/>
      <c r="C942" s="15"/>
      <c r="D942" s="16"/>
      <c r="E942" s="6"/>
      <c r="F942" s="6"/>
      <c r="G942" s="6"/>
      <c r="H942" s="18"/>
      <c r="I942" s="18"/>
      <c r="J942" s="6"/>
      <c r="K942" s="16"/>
      <c r="L942" s="6"/>
      <c r="M942" s="1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11"/>
      <c r="B943" s="13"/>
      <c r="C943" s="15"/>
      <c r="D943" s="16"/>
      <c r="E943" s="6"/>
      <c r="F943" s="6"/>
      <c r="G943" s="6"/>
      <c r="H943" s="18"/>
      <c r="I943" s="18"/>
      <c r="J943" s="6"/>
      <c r="K943" s="16"/>
      <c r="L943" s="6"/>
      <c r="M943" s="1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11"/>
      <c r="B944" s="13"/>
      <c r="C944" s="15"/>
      <c r="D944" s="16"/>
      <c r="E944" s="6"/>
      <c r="F944" s="6"/>
      <c r="G944" s="6"/>
      <c r="H944" s="18"/>
      <c r="I944" s="18"/>
      <c r="J944" s="6"/>
      <c r="K944" s="16"/>
      <c r="L944" s="6"/>
      <c r="M944" s="1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11"/>
      <c r="B945" s="13"/>
      <c r="C945" s="15"/>
      <c r="D945" s="16"/>
      <c r="E945" s="6"/>
      <c r="F945" s="6"/>
      <c r="G945" s="6"/>
      <c r="H945" s="18"/>
      <c r="I945" s="18"/>
      <c r="J945" s="6"/>
      <c r="K945" s="16"/>
      <c r="L945" s="6"/>
      <c r="M945" s="1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11"/>
      <c r="B946" s="13"/>
      <c r="C946" s="15"/>
      <c r="D946" s="16"/>
      <c r="E946" s="6"/>
      <c r="F946" s="6"/>
      <c r="G946" s="6"/>
      <c r="H946" s="18"/>
      <c r="I946" s="18"/>
      <c r="J946" s="6"/>
      <c r="K946" s="16"/>
      <c r="L946" s="6"/>
      <c r="M946" s="1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11"/>
      <c r="B947" s="13"/>
      <c r="C947" s="15"/>
      <c r="D947" s="16"/>
      <c r="E947" s="6"/>
      <c r="F947" s="6"/>
      <c r="G947" s="6"/>
      <c r="H947" s="18"/>
      <c r="I947" s="18"/>
      <c r="J947" s="6"/>
      <c r="K947" s="16"/>
      <c r="L947" s="6"/>
      <c r="M947" s="1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11"/>
      <c r="B948" s="13"/>
      <c r="C948" s="15"/>
      <c r="D948" s="16"/>
      <c r="E948" s="6"/>
      <c r="F948" s="6"/>
      <c r="G948" s="6"/>
      <c r="H948" s="18"/>
      <c r="I948" s="18"/>
      <c r="J948" s="6"/>
      <c r="K948" s="16"/>
      <c r="L948" s="6"/>
      <c r="M948" s="1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11"/>
      <c r="B949" s="13"/>
      <c r="C949" s="15"/>
      <c r="D949" s="16"/>
      <c r="E949" s="6"/>
      <c r="F949" s="6"/>
      <c r="G949" s="6"/>
      <c r="H949" s="18"/>
      <c r="I949" s="18"/>
      <c r="J949" s="6"/>
      <c r="K949" s="16"/>
      <c r="L949" s="6"/>
      <c r="M949" s="1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11"/>
      <c r="B950" s="13"/>
      <c r="C950" s="15"/>
      <c r="D950" s="16"/>
      <c r="E950" s="6"/>
      <c r="F950" s="6"/>
      <c r="G950" s="6"/>
      <c r="H950" s="18"/>
      <c r="I950" s="18"/>
      <c r="J950" s="6"/>
      <c r="K950" s="16"/>
      <c r="L950" s="6"/>
      <c r="M950" s="1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11"/>
      <c r="B951" s="13"/>
      <c r="C951" s="15"/>
      <c r="D951" s="16"/>
      <c r="E951" s="6"/>
      <c r="F951" s="6"/>
      <c r="G951" s="6"/>
      <c r="H951" s="18"/>
      <c r="I951" s="18"/>
      <c r="J951" s="6"/>
      <c r="K951" s="16"/>
      <c r="L951" s="6"/>
      <c r="M951" s="1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11"/>
      <c r="B952" s="13"/>
      <c r="C952" s="15"/>
      <c r="D952" s="16"/>
      <c r="E952" s="6"/>
      <c r="F952" s="6"/>
      <c r="G952" s="6"/>
      <c r="H952" s="18"/>
      <c r="I952" s="18"/>
      <c r="J952" s="6"/>
      <c r="K952" s="16"/>
      <c r="L952" s="6"/>
      <c r="M952" s="1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11"/>
      <c r="B953" s="13"/>
      <c r="C953" s="15"/>
      <c r="D953" s="16"/>
      <c r="E953" s="6"/>
      <c r="F953" s="6"/>
      <c r="G953" s="6"/>
      <c r="H953" s="18"/>
      <c r="I953" s="18"/>
      <c r="J953" s="6"/>
      <c r="K953" s="16"/>
      <c r="L953" s="6"/>
      <c r="M953" s="1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11"/>
      <c r="B954" s="13"/>
      <c r="C954" s="15"/>
      <c r="D954" s="16"/>
      <c r="E954" s="6"/>
      <c r="F954" s="6"/>
      <c r="G954" s="6"/>
      <c r="H954" s="18"/>
      <c r="I954" s="18"/>
      <c r="J954" s="6"/>
      <c r="K954" s="16"/>
      <c r="L954" s="6"/>
      <c r="M954" s="1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11"/>
      <c r="B955" s="13"/>
      <c r="C955" s="15"/>
      <c r="D955" s="16"/>
      <c r="E955" s="6"/>
      <c r="F955" s="6"/>
      <c r="G955" s="6"/>
      <c r="H955" s="18"/>
      <c r="I955" s="18"/>
      <c r="J955" s="6"/>
      <c r="K955" s="16"/>
      <c r="L955" s="6"/>
      <c r="M955" s="1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11"/>
      <c r="B956" s="13"/>
      <c r="C956" s="15"/>
      <c r="D956" s="16"/>
      <c r="E956" s="6"/>
      <c r="F956" s="6"/>
      <c r="G956" s="6"/>
      <c r="H956" s="18"/>
      <c r="I956" s="18"/>
      <c r="J956" s="6"/>
      <c r="K956" s="16"/>
      <c r="L956" s="6"/>
      <c r="M956" s="1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11"/>
      <c r="B957" s="13"/>
      <c r="C957" s="15"/>
      <c r="D957" s="16"/>
      <c r="E957" s="6"/>
      <c r="F957" s="6"/>
      <c r="G957" s="6"/>
      <c r="H957" s="18"/>
      <c r="I957" s="18"/>
      <c r="J957" s="6"/>
      <c r="K957" s="16"/>
      <c r="L957" s="6"/>
      <c r="M957" s="1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11"/>
      <c r="B958" s="13"/>
      <c r="C958" s="15"/>
      <c r="D958" s="16"/>
      <c r="E958" s="6"/>
      <c r="F958" s="6"/>
      <c r="G958" s="6"/>
      <c r="H958" s="18"/>
      <c r="I958" s="18"/>
      <c r="J958" s="6"/>
      <c r="K958" s="16"/>
      <c r="L958" s="6"/>
      <c r="M958" s="1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11"/>
      <c r="B959" s="13"/>
      <c r="C959" s="15"/>
      <c r="D959" s="16"/>
      <c r="E959" s="6"/>
      <c r="F959" s="6"/>
      <c r="G959" s="6"/>
      <c r="H959" s="18"/>
      <c r="I959" s="18"/>
      <c r="J959" s="6"/>
      <c r="K959" s="16"/>
      <c r="L959" s="6"/>
      <c r="M959" s="1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11"/>
      <c r="B960" s="13"/>
      <c r="C960" s="15"/>
      <c r="D960" s="16"/>
      <c r="E960" s="6"/>
      <c r="F960" s="6"/>
      <c r="G960" s="6"/>
      <c r="H960" s="18"/>
      <c r="I960" s="18"/>
      <c r="J960" s="6"/>
      <c r="K960" s="16"/>
      <c r="L960" s="6"/>
      <c r="M960" s="1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11"/>
      <c r="B961" s="13"/>
      <c r="C961" s="15"/>
      <c r="D961" s="16"/>
      <c r="E961" s="6"/>
      <c r="F961" s="6"/>
      <c r="G961" s="6"/>
      <c r="H961" s="18"/>
      <c r="I961" s="18"/>
      <c r="J961" s="6"/>
      <c r="K961" s="16"/>
      <c r="L961" s="6"/>
      <c r="M961" s="1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11"/>
      <c r="B962" s="13"/>
      <c r="C962" s="15"/>
      <c r="D962" s="16"/>
      <c r="E962" s="6"/>
      <c r="F962" s="6"/>
      <c r="G962" s="6"/>
      <c r="H962" s="18"/>
      <c r="I962" s="18"/>
      <c r="J962" s="6"/>
      <c r="K962" s="16"/>
      <c r="L962" s="6"/>
      <c r="M962" s="1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11"/>
      <c r="B963" s="13"/>
      <c r="C963" s="15"/>
      <c r="D963" s="16"/>
      <c r="E963" s="6"/>
      <c r="F963" s="6"/>
      <c r="G963" s="6"/>
      <c r="H963" s="18"/>
      <c r="I963" s="18"/>
      <c r="J963" s="6"/>
      <c r="K963" s="16"/>
      <c r="L963" s="6"/>
      <c r="M963" s="1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11"/>
      <c r="B964" s="13"/>
      <c r="C964" s="15"/>
      <c r="D964" s="16"/>
      <c r="E964" s="6"/>
      <c r="F964" s="6"/>
      <c r="G964" s="6"/>
      <c r="H964" s="18"/>
      <c r="I964" s="18"/>
      <c r="J964" s="6"/>
      <c r="K964" s="16"/>
      <c r="L964" s="6"/>
      <c r="M964" s="1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11"/>
      <c r="B965" s="13"/>
      <c r="C965" s="15"/>
      <c r="D965" s="16"/>
      <c r="E965" s="6"/>
      <c r="F965" s="6"/>
      <c r="G965" s="6"/>
      <c r="H965" s="18"/>
      <c r="I965" s="18"/>
      <c r="J965" s="6"/>
      <c r="K965" s="16"/>
      <c r="L965" s="6"/>
      <c r="M965" s="1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11"/>
      <c r="B966" s="13"/>
      <c r="C966" s="15"/>
      <c r="D966" s="16"/>
      <c r="E966" s="6"/>
      <c r="F966" s="6"/>
      <c r="G966" s="6"/>
      <c r="H966" s="18"/>
      <c r="I966" s="18"/>
      <c r="J966" s="6"/>
      <c r="K966" s="16"/>
      <c r="L966" s="6"/>
      <c r="M966" s="1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11"/>
      <c r="B967" s="13"/>
      <c r="C967" s="15"/>
      <c r="D967" s="16"/>
      <c r="E967" s="6"/>
      <c r="F967" s="6"/>
      <c r="G967" s="6"/>
      <c r="H967" s="18"/>
      <c r="I967" s="18"/>
      <c r="J967" s="6"/>
      <c r="K967" s="16"/>
      <c r="L967" s="6"/>
      <c r="M967" s="1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11"/>
      <c r="B968" s="13"/>
      <c r="C968" s="15"/>
      <c r="D968" s="16"/>
      <c r="E968" s="6"/>
      <c r="F968" s="6"/>
      <c r="G968" s="6"/>
      <c r="H968" s="18"/>
      <c r="I968" s="18"/>
      <c r="J968" s="6"/>
      <c r="K968" s="16"/>
      <c r="L968" s="6"/>
      <c r="M968" s="1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11"/>
      <c r="B969" s="13"/>
      <c r="C969" s="15"/>
      <c r="D969" s="16"/>
      <c r="E969" s="6"/>
      <c r="F969" s="6"/>
      <c r="G969" s="6"/>
      <c r="H969" s="18"/>
      <c r="I969" s="18"/>
      <c r="J969" s="6"/>
      <c r="K969" s="16"/>
      <c r="L969" s="6"/>
      <c r="M969" s="1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11"/>
      <c r="B970" s="13"/>
      <c r="C970" s="15"/>
      <c r="D970" s="16"/>
      <c r="E970" s="6"/>
      <c r="F970" s="6"/>
      <c r="G970" s="6"/>
      <c r="H970" s="18"/>
      <c r="I970" s="18"/>
      <c r="J970" s="6"/>
      <c r="K970" s="16"/>
      <c r="L970" s="6"/>
      <c r="M970" s="1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11"/>
      <c r="B971" s="13"/>
      <c r="C971" s="15"/>
      <c r="D971" s="16"/>
      <c r="E971" s="6"/>
      <c r="F971" s="6"/>
      <c r="G971" s="6"/>
      <c r="H971" s="18"/>
      <c r="I971" s="18"/>
      <c r="J971" s="6"/>
      <c r="K971" s="16"/>
      <c r="L971" s="6"/>
      <c r="M971" s="1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11"/>
      <c r="B972" s="13"/>
      <c r="C972" s="15"/>
      <c r="D972" s="16"/>
      <c r="E972" s="6"/>
      <c r="F972" s="6"/>
      <c r="G972" s="6"/>
      <c r="H972" s="18"/>
      <c r="I972" s="18"/>
      <c r="J972" s="6"/>
      <c r="K972" s="16"/>
      <c r="L972" s="6"/>
      <c r="M972" s="1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11"/>
      <c r="B973" s="13"/>
      <c r="C973" s="15"/>
      <c r="D973" s="16"/>
      <c r="E973" s="6"/>
      <c r="F973" s="6"/>
      <c r="G973" s="6"/>
      <c r="H973" s="18"/>
      <c r="I973" s="18"/>
      <c r="J973" s="6"/>
      <c r="K973" s="16"/>
      <c r="L973" s="6"/>
      <c r="M973" s="1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11"/>
      <c r="B974" s="13"/>
      <c r="C974" s="15"/>
      <c r="D974" s="16"/>
      <c r="E974" s="6"/>
      <c r="F974" s="6"/>
      <c r="G974" s="6"/>
      <c r="H974" s="18"/>
      <c r="I974" s="18"/>
      <c r="J974" s="6"/>
      <c r="K974" s="16"/>
      <c r="L974" s="6"/>
      <c r="M974" s="1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11"/>
      <c r="B975" s="13"/>
      <c r="C975" s="15"/>
      <c r="D975" s="16"/>
      <c r="E975" s="6"/>
      <c r="F975" s="6"/>
      <c r="G975" s="6"/>
      <c r="H975" s="18"/>
      <c r="I975" s="18"/>
      <c r="J975" s="6"/>
      <c r="K975" s="16"/>
      <c r="L975" s="6"/>
      <c r="M975" s="1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11"/>
      <c r="B976" s="13"/>
      <c r="C976" s="15"/>
      <c r="D976" s="16"/>
      <c r="E976" s="6"/>
      <c r="F976" s="6"/>
      <c r="G976" s="6"/>
      <c r="H976" s="18"/>
      <c r="I976" s="18"/>
      <c r="J976" s="6"/>
      <c r="K976" s="16"/>
      <c r="L976" s="6"/>
      <c r="M976" s="1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11"/>
      <c r="B977" s="13"/>
      <c r="C977" s="15"/>
      <c r="D977" s="16"/>
      <c r="E977" s="6"/>
      <c r="F977" s="6"/>
      <c r="G977" s="6"/>
      <c r="H977" s="18"/>
      <c r="I977" s="18"/>
      <c r="J977" s="6"/>
      <c r="K977" s="16"/>
      <c r="L977" s="6"/>
      <c r="M977" s="1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11"/>
      <c r="B978" s="13"/>
      <c r="C978" s="15"/>
      <c r="D978" s="16"/>
      <c r="E978" s="6"/>
      <c r="F978" s="6"/>
      <c r="G978" s="6"/>
      <c r="H978" s="18"/>
      <c r="I978" s="18"/>
      <c r="J978" s="6"/>
      <c r="K978" s="16"/>
      <c r="L978" s="6"/>
      <c r="M978" s="1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11"/>
      <c r="B979" s="13"/>
      <c r="C979" s="15"/>
      <c r="D979" s="16"/>
      <c r="E979" s="6"/>
      <c r="F979" s="6"/>
      <c r="G979" s="6"/>
      <c r="H979" s="18"/>
      <c r="I979" s="18"/>
      <c r="J979" s="6"/>
      <c r="K979" s="16"/>
      <c r="L979" s="6"/>
      <c r="M979" s="1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11"/>
      <c r="B980" s="13"/>
      <c r="C980" s="15"/>
      <c r="D980" s="16"/>
      <c r="E980" s="6"/>
      <c r="F980" s="6"/>
      <c r="G980" s="6"/>
      <c r="H980" s="18"/>
      <c r="I980" s="18"/>
      <c r="J980" s="6"/>
      <c r="K980" s="16"/>
      <c r="L980" s="6"/>
      <c r="M980" s="1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11"/>
      <c r="B981" s="13"/>
      <c r="C981" s="15"/>
      <c r="D981" s="16"/>
      <c r="E981" s="6"/>
      <c r="F981" s="6"/>
      <c r="G981" s="6"/>
      <c r="H981" s="18"/>
      <c r="I981" s="18"/>
      <c r="J981" s="6"/>
      <c r="K981" s="16"/>
      <c r="L981" s="6"/>
      <c r="M981" s="1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11"/>
      <c r="B982" s="13"/>
      <c r="C982" s="15"/>
      <c r="D982" s="16"/>
      <c r="E982" s="6"/>
      <c r="F982" s="6"/>
      <c r="G982" s="6"/>
      <c r="H982" s="18"/>
      <c r="I982" s="18"/>
      <c r="J982" s="6"/>
      <c r="K982" s="16"/>
      <c r="L982" s="6"/>
      <c r="M982" s="1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11"/>
      <c r="B983" s="13"/>
      <c r="C983" s="15"/>
      <c r="D983" s="16"/>
      <c r="E983" s="6"/>
      <c r="F983" s="6"/>
      <c r="G983" s="6"/>
      <c r="H983" s="18"/>
      <c r="I983" s="18"/>
      <c r="J983" s="6"/>
      <c r="K983" s="16"/>
      <c r="L983" s="6"/>
      <c r="M983" s="1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11"/>
      <c r="B984" s="13"/>
      <c r="C984" s="15"/>
      <c r="D984" s="16"/>
      <c r="E984" s="6"/>
      <c r="F984" s="6"/>
      <c r="G984" s="6"/>
      <c r="H984" s="18"/>
      <c r="I984" s="18"/>
      <c r="J984" s="6"/>
      <c r="K984" s="16"/>
      <c r="L984" s="6"/>
      <c r="M984" s="1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11"/>
      <c r="B985" s="13"/>
      <c r="C985" s="15"/>
      <c r="D985" s="16"/>
      <c r="E985" s="6"/>
      <c r="F985" s="6"/>
      <c r="G985" s="6"/>
      <c r="H985" s="18"/>
      <c r="I985" s="18"/>
      <c r="J985" s="6"/>
      <c r="K985" s="16"/>
      <c r="L985" s="6"/>
      <c r="M985" s="1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11"/>
      <c r="B986" s="13"/>
      <c r="C986" s="15"/>
      <c r="D986" s="16"/>
      <c r="E986" s="6"/>
      <c r="F986" s="6"/>
      <c r="G986" s="6"/>
      <c r="H986" s="18"/>
      <c r="I986" s="18"/>
      <c r="J986" s="6"/>
      <c r="K986" s="16"/>
      <c r="L986" s="6"/>
      <c r="M986" s="1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11"/>
      <c r="B987" s="13"/>
      <c r="C987" s="15"/>
      <c r="D987" s="16"/>
      <c r="E987" s="6"/>
      <c r="F987" s="6"/>
      <c r="G987" s="6"/>
      <c r="H987" s="18"/>
      <c r="I987" s="18"/>
      <c r="J987" s="6"/>
      <c r="K987" s="16"/>
      <c r="L987" s="6"/>
      <c r="M987" s="1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11"/>
      <c r="B988" s="13"/>
      <c r="C988" s="15"/>
      <c r="D988" s="16"/>
      <c r="E988" s="6"/>
      <c r="F988" s="6"/>
      <c r="G988" s="6"/>
      <c r="H988" s="18"/>
      <c r="I988" s="18"/>
      <c r="J988" s="6"/>
      <c r="K988" s="16"/>
      <c r="L988" s="6"/>
      <c r="M988" s="1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11"/>
      <c r="B989" s="13"/>
      <c r="C989" s="15"/>
      <c r="D989" s="16"/>
      <c r="E989" s="6"/>
      <c r="F989" s="6"/>
      <c r="G989" s="6"/>
      <c r="H989" s="18"/>
      <c r="I989" s="18"/>
      <c r="J989" s="6"/>
      <c r="K989" s="16"/>
      <c r="L989" s="6"/>
      <c r="M989" s="1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11"/>
      <c r="B990" s="13"/>
      <c r="C990" s="15"/>
      <c r="D990" s="16"/>
      <c r="E990" s="6"/>
      <c r="F990" s="6"/>
      <c r="G990" s="6"/>
      <c r="H990" s="18"/>
      <c r="I990" s="18"/>
      <c r="J990" s="6"/>
      <c r="K990" s="16"/>
      <c r="L990" s="6"/>
      <c r="M990" s="1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11"/>
      <c r="B991" s="13"/>
      <c r="C991" s="15"/>
      <c r="D991" s="16"/>
      <c r="E991" s="6"/>
      <c r="F991" s="6"/>
      <c r="G991" s="6"/>
      <c r="H991" s="18"/>
      <c r="I991" s="18"/>
      <c r="J991" s="6"/>
      <c r="K991" s="16"/>
      <c r="L991" s="6"/>
      <c r="M991" s="1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11"/>
      <c r="B992" s="13"/>
      <c r="C992" s="15"/>
      <c r="D992" s="16"/>
      <c r="E992" s="6"/>
      <c r="F992" s="6"/>
      <c r="G992" s="6"/>
      <c r="H992" s="18"/>
      <c r="I992" s="18"/>
      <c r="J992" s="6"/>
      <c r="K992" s="16"/>
      <c r="L992" s="6"/>
      <c r="M992" s="1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11"/>
      <c r="B993" s="13"/>
      <c r="C993" s="15"/>
      <c r="D993" s="16"/>
      <c r="E993" s="6"/>
      <c r="F993" s="6"/>
      <c r="G993" s="6"/>
      <c r="H993" s="18"/>
      <c r="I993" s="18"/>
      <c r="J993" s="6"/>
      <c r="K993" s="16"/>
      <c r="L993" s="6"/>
      <c r="M993" s="1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11"/>
      <c r="B994" s="13"/>
      <c r="C994" s="15"/>
      <c r="D994" s="16"/>
      <c r="E994" s="6"/>
      <c r="F994" s="6"/>
      <c r="G994" s="6"/>
      <c r="H994" s="18"/>
      <c r="I994" s="18"/>
      <c r="J994" s="6"/>
      <c r="K994" s="16"/>
      <c r="L994" s="6"/>
      <c r="M994" s="1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11"/>
      <c r="B995" s="13"/>
      <c r="C995" s="15"/>
      <c r="D995" s="16"/>
      <c r="E995" s="6"/>
      <c r="F995" s="6"/>
      <c r="G995" s="6"/>
      <c r="H995" s="18"/>
      <c r="I995" s="18"/>
      <c r="J995" s="6"/>
      <c r="K995" s="16"/>
      <c r="L995" s="6"/>
      <c r="M995" s="1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11"/>
      <c r="B996" s="13"/>
      <c r="C996" s="15"/>
      <c r="D996" s="16"/>
      <c r="E996" s="6"/>
      <c r="F996" s="6"/>
      <c r="G996" s="6"/>
      <c r="H996" s="18"/>
      <c r="I996" s="18"/>
      <c r="J996" s="6"/>
      <c r="K996" s="16"/>
      <c r="L996" s="6"/>
      <c r="M996" s="1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11"/>
      <c r="B997" s="13"/>
      <c r="C997" s="15"/>
      <c r="D997" s="16"/>
      <c r="E997" s="6"/>
      <c r="F997" s="6"/>
      <c r="G997" s="6"/>
      <c r="H997" s="18"/>
      <c r="I997" s="18"/>
      <c r="J997" s="6"/>
      <c r="K997" s="16"/>
      <c r="L997" s="6"/>
      <c r="M997" s="1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11"/>
      <c r="B998" s="13"/>
      <c r="C998" s="15"/>
      <c r="D998" s="16"/>
      <c r="E998" s="6"/>
      <c r="F998" s="6"/>
      <c r="G998" s="6"/>
      <c r="H998" s="18"/>
      <c r="I998" s="18"/>
      <c r="J998" s="6"/>
      <c r="K998" s="16"/>
      <c r="L998" s="6"/>
      <c r="M998" s="1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11"/>
      <c r="B999" s="13"/>
      <c r="C999" s="15"/>
      <c r="D999" s="16"/>
      <c r="E999" s="6"/>
      <c r="F999" s="6"/>
      <c r="G999" s="6"/>
      <c r="H999" s="18"/>
      <c r="I999" s="18"/>
      <c r="J999" s="6"/>
      <c r="K999" s="16"/>
      <c r="L999" s="6"/>
      <c r="M999" s="1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11"/>
      <c r="B1000" s="13"/>
      <c r="C1000" s="15"/>
      <c r="D1000" s="16"/>
      <c r="E1000" s="6"/>
      <c r="F1000" s="6"/>
      <c r="G1000" s="6"/>
      <c r="H1000" s="18"/>
      <c r="I1000" s="18"/>
      <c r="J1000" s="6"/>
      <c r="K1000" s="16"/>
      <c r="L1000" s="6"/>
      <c r="M1000" s="1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M1"/>
    <mergeCell ref="A2:M2"/>
  </mergeCells>
  <dataValidations>
    <dataValidation type="list" allowBlank="1" sqref="J5">
      <formula1>"Grupo 1,Grupo 2"</formula1>
    </dataValidation>
    <dataValidation type="list" allowBlank="1" sqref="J6:J500">
      <formula1>"Grupo 1,Grupo 2"</formula1>
    </dataValidation>
    <dataValidation type="list" allowBlank="1" sqref="I5:I500">
      <formula1>"Desbloqueo,Cambio de Pila,Desbloqueo + Cambio de Pila,Diagnóstico,Actualización de SO,Otro"</formula1>
    </dataValidation>
    <dataValidation type="list" allowBlank="1" sqref="L5:L500">
      <formula1>"Pendiente,Diagnosticando,Desbloqueada,Instalando SO,Configurando,Probando,Finalizada OK,Derivada"</formula1>
    </dataValidation>
    <dataValidation type="list" allowBlank="1" sqref="H5:H500">
      <formula1>"Recibida,Bloqueada,Desbloqueada,Diagnosticada,No Enciende,Pila Agotada,SO Instalado,Pantalla Rota"</formula1>
    </dataValidation>
    <dataValidation type="list" allowBlank="1" sqref="D5:D500">
      <formula1>'🗂️ DATA_ESCUELAS'!$A$2:$A$867</formula1>
    </dataValidation>
    <dataValidation type="list" allowBlank="1" sqref="K5:K500">
      <formula1>$P$5:$P$17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E6DA4"/>
    <pageSetUpPr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.71"/>
    <col customWidth="1" min="2" max="2" width="12.43"/>
    <col customWidth="1" min="3" max="3" width="8.86"/>
    <col customWidth="1" min="4" max="4" width="16.86"/>
    <col customWidth="1" min="5" max="5" width="12.0"/>
    <col customWidth="1" min="6" max="6" width="11.29"/>
    <col customWidth="1" min="7" max="7" width="10.0"/>
    <col customWidth="1" min="8" max="8" width="18.29"/>
    <col customWidth="1" min="9" max="9" width="13.14"/>
    <col customWidth="1" min="10" max="10" width="8.0"/>
    <col customWidth="1" min="11" max="11" width="8.43"/>
    <col customWidth="1" min="12" max="12" width="32.43"/>
    <col customWidth="1" min="13" max="13" width="59.71"/>
    <col customWidth="1" min="14" max="14" width="16.86"/>
  </cols>
  <sheetData>
    <row r="1">
      <c r="A1" s="5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0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20"/>
    </row>
    <row r="2">
      <c r="A2" s="23" t="s">
        <v>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0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20"/>
    </row>
    <row r="3">
      <c r="A3" s="30" t="s">
        <v>10</v>
      </c>
      <c r="B3" s="30" t="s">
        <v>14</v>
      </c>
      <c r="C3" s="34" t="s">
        <v>15</v>
      </c>
      <c r="D3" s="36" t="s">
        <v>41</v>
      </c>
      <c r="E3" s="39" t="s">
        <v>44</v>
      </c>
      <c r="F3" s="30" t="s">
        <v>46</v>
      </c>
      <c r="G3" s="30" t="s">
        <v>23</v>
      </c>
      <c r="H3" s="41" t="s">
        <v>13</v>
      </c>
      <c r="I3" s="36" t="s">
        <v>21</v>
      </c>
      <c r="J3" s="30" t="s">
        <v>51</v>
      </c>
      <c r="K3" s="30" t="s">
        <v>52</v>
      </c>
      <c r="L3" s="30" t="s">
        <v>54</v>
      </c>
      <c r="M3" s="30" t="s">
        <v>26</v>
      </c>
      <c r="N3" s="30" t="s">
        <v>25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5"/>
    </row>
    <row r="4">
      <c r="A4" s="47">
        <v>1.0</v>
      </c>
      <c r="B4" s="52" t="str">
        <f t="shared" ref="B4:B355" si="1">IF(D4&lt;&gt;"","OT-2026-"&amp;TEXT(ROW()-3,"000"),"")</f>
        <v>OT-2026-001</v>
      </c>
      <c r="C4" s="55">
        <v>46189.0</v>
      </c>
      <c r="D4" s="56" t="s">
        <v>73</v>
      </c>
      <c r="E4" s="61" t="str">
        <f>IFERROR(__xludf.DUMMYFUNCTION("IF(D4="""", """", IF(REGEXMATCH(TO_TEXT(D4), ""^(AA\d{10}|EDU\d{7}|\d+|SZSES10IS\d{9})$""), ""✅"", ""⚠️""))"),"✅")</f>
        <v>✅</v>
      </c>
      <c r="F4" s="61" t="s">
        <v>77</v>
      </c>
      <c r="G4" s="61" t="s">
        <v>78</v>
      </c>
      <c r="H4" s="72" t="s">
        <v>82</v>
      </c>
      <c r="I4" s="78" t="str">
        <f>IFERROR(__xludf.DUMMYFUNCTION("IF(D4="""", """", IFERROR(VLOOKUP(TO_TEXT(D4), '💻 EQUIPOS'!B:H, 7, 0), """"))"),"Bloqueada")</f>
        <v>Bloqueada</v>
      </c>
      <c r="J4" s="61" t="s">
        <v>85</v>
      </c>
      <c r="K4" s="61" t="s">
        <v>86</v>
      </c>
      <c r="L4" s="37" t="s">
        <v>87</v>
      </c>
      <c r="M4" s="37" t="s">
        <v>89</v>
      </c>
      <c r="N4" s="37" t="s">
        <v>88</v>
      </c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4"/>
    </row>
    <row r="5">
      <c r="A5" s="47">
        <v>2.0</v>
      </c>
      <c r="B5" s="52" t="str">
        <f t="shared" si="1"/>
        <v>OT-2026-002</v>
      </c>
      <c r="C5" s="85">
        <v>46189.0</v>
      </c>
      <c r="D5" s="87" t="s">
        <v>96</v>
      </c>
      <c r="E5" s="61" t="str">
        <f>IFERROR(__xludf.DUMMYFUNCTION("IF(D5="""", """", IF(REGEXMATCH(TO_TEXT(D5), ""^(AA\d{10}|EDU\d{7}|\d+|SZSES10IS\d{9})$""), ""✅"", ""⚠️""))"),"✅")</f>
        <v>✅</v>
      </c>
      <c r="F5" s="88" t="s">
        <v>77</v>
      </c>
      <c r="G5" s="89" t="s">
        <v>78</v>
      </c>
      <c r="H5" s="90" t="s">
        <v>82</v>
      </c>
      <c r="I5" s="78" t="str">
        <f>IFERROR(__xludf.DUMMYFUNCTION("IF(D5="""", """", IFERROR(VLOOKUP(TO_TEXT(D5), '💻 EQUIPOS'!B:H, 7, 0), """"))"),"Bloqueada")</f>
        <v>Bloqueada</v>
      </c>
      <c r="J5" s="89" t="s">
        <v>100</v>
      </c>
      <c r="K5" s="89" t="s">
        <v>101</v>
      </c>
      <c r="L5" s="29" t="s">
        <v>87</v>
      </c>
      <c r="M5" s="92" t="s">
        <v>102</v>
      </c>
      <c r="N5" s="29" t="s">
        <v>88</v>
      </c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4"/>
    </row>
    <row r="6">
      <c r="A6" s="47">
        <v>3.0</v>
      </c>
      <c r="B6" s="52" t="str">
        <f t="shared" si="1"/>
        <v>OT-2026-003</v>
      </c>
      <c r="C6" s="55">
        <v>46190.0</v>
      </c>
      <c r="D6" s="56" t="s">
        <v>103</v>
      </c>
      <c r="E6" s="61" t="str">
        <f>IFERROR(__xludf.DUMMYFUNCTION("IF(D6="""", """", IF(REGEXMATCH(TO_TEXT(D6), ""^(AA\d{10}|EDU\d{7}|\d+|SZSES10IS\d{9})$""), ""✅"", ""⚠️""))"),"✅")</f>
        <v>✅</v>
      </c>
      <c r="F6" s="61" t="s">
        <v>77</v>
      </c>
      <c r="G6" s="61" t="s">
        <v>104</v>
      </c>
      <c r="H6" s="72" t="s">
        <v>32</v>
      </c>
      <c r="I6" s="78" t="str">
        <f>IFERROR(__xludf.DUMMYFUNCTION("IF(D6="""", """", IFERROR(VLOOKUP(TO_TEXT(D6), '💻 EQUIPOS'!B:H, 7, 0), """"))"),"Bloqueada")</f>
        <v>Bloqueada</v>
      </c>
      <c r="J6" s="61" t="s">
        <v>85</v>
      </c>
      <c r="K6" s="61" t="s">
        <v>105</v>
      </c>
      <c r="L6" s="37" t="s">
        <v>106</v>
      </c>
      <c r="M6" s="37" t="s">
        <v>107</v>
      </c>
      <c r="N6" s="37" t="s">
        <v>88</v>
      </c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4"/>
    </row>
    <row r="7">
      <c r="A7" s="47">
        <v>4.0</v>
      </c>
      <c r="B7" s="52" t="str">
        <f t="shared" si="1"/>
        <v>OT-2026-004</v>
      </c>
      <c r="C7" s="85">
        <v>46190.0</v>
      </c>
      <c r="D7" s="87" t="s">
        <v>114</v>
      </c>
      <c r="E7" s="61" t="str">
        <f>IFERROR(__xludf.DUMMYFUNCTION("IF(D7="""", """", IF(REGEXMATCH(TO_TEXT(D7), ""^(AA\d{10}|EDU\d{7}|\d+|SZSES10IS\d{9})$""), ""✅"", ""⚠️""))"),"✅")</f>
        <v>✅</v>
      </c>
      <c r="F7" s="88" t="s">
        <v>77</v>
      </c>
      <c r="G7" s="89" t="s">
        <v>104</v>
      </c>
      <c r="H7" s="90" t="s">
        <v>32</v>
      </c>
      <c r="I7" s="78" t="str">
        <f>IFERROR(__xludf.DUMMYFUNCTION("IF(D7="""", """", IFERROR(VLOOKUP(TO_TEXT(D7), '💻 EQUIPOS'!B:H, 7, 0), """"))"),"Bloqueada")</f>
        <v>Bloqueada</v>
      </c>
      <c r="J7" s="89" t="s">
        <v>115</v>
      </c>
      <c r="K7" s="89" t="s">
        <v>101</v>
      </c>
      <c r="L7" s="29" t="s">
        <v>87</v>
      </c>
      <c r="M7" s="29" t="s">
        <v>116</v>
      </c>
      <c r="N7" s="94" t="s">
        <v>112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4"/>
    </row>
    <row r="8">
      <c r="A8" s="47">
        <v>5.0</v>
      </c>
      <c r="B8" s="52" t="str">
        <f t="shared" si="1"/>
        <v>OT-2026-005</v>
      </c>
      <c r="C8" s="55">
        <v>46191.0</v>
      </c>
      <c r="D8" s="56" t="s">
        <v>118</v>
      </c>
      <c r="E8" s="61" t="str">
        <f>IFERROR(__xludf.DUMMYFUNCTION("IF(D8="""", """", IF(REGEXMATCH(TO_TEXT(D8), ""^(AA\d{10}|EDU\d{7}|\d+|SZSES10IS\d{9})$""), ""✅"", ""⚠️""))"),"✅")</f>
        <v>✅</v>
      </c>
      <c r="F8" s="61" t="s">
        <v>77</v>
      </c>
      <c r="G8" s="61" t="s">
        <v>78</v>
      </c>
      <c r="H8" s="72" t="s">
        <v>120</v>
      </c>
      <c r="I8" s="78" t="str">
        <f>IFERROR(__xludf.DUMMYFUNCTION("IF(D8="""", """", IFERROR(VLOOKUP(TO_TEXT(D8), '💻 EQUIPOS'!B:H, 7, 0), """"))"),"Bloqueada")</f>
        <v>Bloqueada</v>
      </c>
      <c r="J8" s="61" t="s">
        <v>85</v>
      </c>
      <c r="K8" s="61" t="s">
        <v>121</v>
      </c>
      <c r="L8" s="37" t="s">
        <v>87</v>
      </c>
      <c r="M8" s="37" t="s">
        <v>122</v>
      </c>
      <c r="N8" s="37" t="s">
        <v>88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4"/>
    </row>
    <row r="9">
      <c r="A9" s="47">
        <v>6.0</v>
      </c>
      <c r="B9" s="52" t="str">
        <f t="shared" si="1"/>
        <v>OT-2026-006</v>
      </c>
      <c r="C9" s="85">
        <v>46191.0</v>
      </c>
      <c r="D9" s="87" t="s">
        <v>123</v>
      </c>
      <c r="E9" s="61" t="str">
        <f>IFERROR(__xludf.DUMMYFUNCTION("IF(D9="""", """", IF(REGEXMATCH(TO_TEXT(D9), ""^(AA\d{10}|EDU\d{7}|\d+|SZSES10IS\d{9})$""), ""✅"", ""⚠️""))"),"✅")</f>
        <v>✅</v>
      </c>
      <c r="F9" s="88" t="s">
        <v>77</v>
      </c>
      <c r="G9" s="89" t="s">
        <v>78</v>
      </c>
      <c r="H9" s="90" t="s">
        <v>82</v>
      </c>
      <c r="I9" s="78" t="str">
        <f>IFERROR(__xludf.DUMMYFUNCTION("IF(D9="""", """", IFERROR(VLOOKUP(TO_TEXT(D9), '💻 EQUIPOS'!B:H, 7, 0), """"))"),"Bloqueada")</f>
        <v>Bloqueada</v>
      </c>
      <c r="J9" s="89" t="s">
        <v>85</v>
      </c>
      <c r="K9" s="89" t="s">
        <v>101</v>
      </c>
      <c r="L9" s="29" t="s">
        <v>87</v>
      </c>
      <c r="M9" s="29" t="s">
        <v>125</v>
      </c>
      <c r="N9" s="29" t="s">
        <v>88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4"/>
    </row>
    <row r="10">
      <c r="A10" s="47">
        <v>7.0</v>
      </c>
      <c r="B10" s="52" t="str">
        <f t="shared" si="1"/>
        <v>OT-2026-007</v>
      </c>
      <c r="C10" s="55">
        <v>46191.0</v>
      </c>
      <c r="D10" s="56" t="s">
        <v>127</v>
      </c>
      <c r="E10" s="61" t="str">
        <f>IFERROR(__xludf.DUMMYFUNCTION("IF(D10="""", """", IF(REGEXMATCH(TO_TEXT(D10), ""^(AA\d{10}|EDU\d{7}|\d+|SZSES10IS\d{9})$""), ""✅"", ""⚠️""))"),"✅")</f>
        <v>✅</v>
      </c>
      <c r="F10" s="61" t="s">
        <v>77</v>
      </c>
      <c r="G10" s="95" t="s">
        <v>78</v>
      </c>
      <c r="H10" s="96" t="s">
        <v>82</v>
      </c>
      <c r="I10" s="78" t="str">
        <f>IFERROR(__xludf.DUMMYFUNCTION("IF(D10="""", """", IFERROR(VLOOKUP(TO_TEXT(D10), '💻 EQUIPOS'!B:H, 7, 0), """"))"),"Bloqueada")</f>
        <v>Bloqueada</v>
      </c>
      <c r="J10" s="61" t="s">
        <v>105</v>
      </c>
      <c r="K10" s="61" t="s">
        <v>105</v>
      </c>
      <c r="L10" s="37" t="s">
        <v>106</v>
      </c>
      <c r="M10" s="51" t="s">
        <v>131</v>
      </c>
      <c r="N10" s="97" t="s">
        <v>88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4"/>
    </row>
    <row r="11">
      <c r="A11" s="47">
        <v>8.0</v>
      </c>
      <c r="B11" s="52" t="str">
        <f t="shared" si="1"/>
        <v>OT-2026-008</v>
      </c>
      <c r="C11" s="85">
        <v>46191.0</v>
      </c>
      <c r="D11" s="87" t="s">
        <v>133</v>
      </c>
      <c r="E11" s="61" t="str">
        <f>IFERROR(__xludf.DUMMYFUNCTION("IF(D11="""", """", IF(REGEXMATCH(TO_TEXT(D11), ""^(AA\d{10}|EDU\d{7}|\d+|SZSES10IS\d{9})$""), ""✅"", ""⚠️""))"),"✅")</f>
        <v>✅</v>
      </c>
      <c r="F11" s="88" t="s">
        <v>77</v>
      </c>
      <c r="G11" s="98" t="s">
        <v>104</v>
      </c>
      <c r="H11" s="99" t="s">
        <v>32</v>
      </c>
      <c r="I11" s="78" t="str">
        <f>IFERROR(__xludf.DUMMYFUNCTION("IF(D11="""", """", IFERROR(VLOOKUP(TO_TEXT(D11), '💻 EQUIPOS'!B:H, 7, 0), """"))"),"Bloqueada")</f>
        <v>Bloqueada</v>
      </c>
      <c r="J11" s="89" t="s">
        <v>105</v>
      </c>
      <c r="K11" s="89" t="s">
        <v>101</v>
      </c>
      <c r="L11" s="29" t="s">
        <v>87</v>
      </c>
      <c r="M11" s="94" t="s">
        <v>134</v>
      </c>
      <c r="N11" s="94" t="s">
        <v>88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4"/>
    </row>
    <row r="12">
      <c r="A12" s="47">
        <v>9.0</v>
      </c>
      <c r="B12" s="52" t="str">
        <f t="shared" si="1"/>
        <v>OT-2026-009</v>
      </c>
      <c r="C12" s="101">
        <v>46195.0</v>
      </c>
      <c r="D12" s="102" t="s">
        <v>138</v>
      </c>
      <c r="E12" s="61" t="str">
        <f>IFERROR(__xludf.DUMMYFUNCTION("IF(D12="""", """", IF(REGEXMATCH(TO_TEXT(D12), ""^(AA\d{10}|EDU\d{7}|\d+|SZSES10IS\d{9})$""), ""✅"", ""⚠️""))"),"✅")</f>
        <v>✅</v>
      </c>
      <c r="F12" s="95" t="s">
        <v>77</v>
      </c>
      <c r="G12" s="95" t="s">
        <v>104</v>
      </c>
      <c r="H12" s="96" t="s">
        <v>32</v>
      </c>
      <c r="I12" s="78" t="str">
        <f>IFERROR(__xludf.DUMMYFUNCTION("IF(D12="""", """", IFERROR(VLOOKUP(TO_TEXT(D12), '💻 EQUIPOS'!B:H, 7, 0), """"))"),"Bloqueada")</f>
        <v>Bloqueada</v>
      </c>
      <c r="J12" s="95" t="s">
        <v>121</v>
      </c>
      <c r="K12" s="95" t="s">
        <v>85</v>
      </c>
      <c r="L12" s="51" t="s">
        <v>87</v>
      </c>
      <c r="M12" s="51" t="s">
        <v>139</v>
      </c>
      <c r="N12" s="51" t="s">
        <v>88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4"/>
    </row>
    <row r="13">
      <c r="A13" s="47">
        <v>10.0</v>
      </c>
      <c r="B13" s="52" t="str">
        <f t="shared" si="1"/>
        <v>OT-2026-010</v>
      </c>
      <c r="C13" s="103">
        <v>46195.0</v>
      </c>
      <c r="D13" s="104" t="s">
        <v>141</v>
      </c>
      <c r="E13" s="61" t="str">
        <f>IFERROR(__xludf.DUMMYFUNCTION("IF(D13="""", """", IF(REGEXMATCH(TO_TEXT(D13), ""^(AA\d{10}|EDU\d{7}|\d+|SZSES10IS\d{9})$""), ""✅"", ""⚠️""))"),"✅")</f>
        <v>✅</v>
      </c>
      <c r="F13" s="105" t="s">
        <v>77</v>
      </c>
      <c r="G13" s="98" t="s">
        <v>78</v>
      </c>
      <c r="H13" s="99" t="s">
        <v>111</v>
      </c>
      <c r="I13" s="78" t="str">
        <f>IFERROR(__xludf.DUMMYFUNCTION("IF(D13="""", """", IFERROR(VLOOKUP(TO_TEXT(D13), '💻 EQUIPOS'!B:H, 7, 0), """"))"),"Bloqueada")</f>
        <v>Bloqueada</v>
      </c>
      <c r="J13" s="98" t="s">
        <v>85</v>
      </c>
      <c r="K13" s="98"/>
      <c r="L13" s="94" t="s">
        <v>87</v>
      </c>
      <c r="M13" s="94" t="s">
        <v>143</v>
      </c>
      <c r="N13" s="94" t="s">
        <v>88</v>
      </c>
      <c r="O13" s="82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4"/>
    </row>
    <row r="14">
      <c r="A14" s="47">
        <v>11.0</v>
      </c>
      <c r="B14" s="52" t="str">
        <f t="shared" si="1"/>
        <v>OT-2026-011</v>
      </c>
      <c r="C14" s="101">
        <v>46195.0</v>
      </c>
      <c r="D14" s="102" t="s">
        <v>144</v>
      </c>
      <c r="E14" s="61" t="str">
        <f>IFERROR(__xludf.DUMMYFUNCTION("IF(D14="""", """", IF(REGEXMATCH(TO_TEXT(D14), ""^(AA\d{10}|EDU\d{7}|\d+|SZSES10IS\d{9})$""), ""✅"", ""⚠️""))"),"✅")</f>
        <v>✅</v>
      </c>
      <c r="F14" s="95" t="s">
        <v>77</v>
      </c>
      <c r="G14" s="95" t="s">
        <v>104</v>
      </c>
      <c r="H14" s="96" t="s">
        <v>30</v>
      </c>
      <c r="I14" s="78" t="str">
        <f>IFERROR(__xludf.DUMMYFUNCTION("IF(D14="""", """", IFERROR(VLOOKUP(TO_TEXT(D14), '💻 EQUIPOS'!B:H, 7, 0), """"))"),"Bloqueada")</f>
        <v>Bloqueada</v>
      </c>
      <c r="J14" s="95" t="s">
        <v>85</v>
      </c>
      <c r="K14" s="95"/>
      <c r="L14" s="51" t="s">
        <v>87</v>
      </c>
      <c r="M14" s="51" t="s">
        <v>148</v>
      </c>
      <c r="N14" s="106" t="s">
        <v>149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4"/>
    </row>
    <row r="15">
      <c r="A15" s="47">
        <v>12.0</v>
      </c>
      <c r="B15" s="52" t="str">
        <f t="shared" si="1"/>
        <v>OT-2026-012</v>
      </c>
      <c r="C15" s="103">
        <v>46195.0</v>
      </c>
      <c r="D15" s="104" t="s">
        <v>150</v>
      </c>
      <c r="E15" s="61" t="str">
        <f>IFERROR(__xludf.DUMMYFUNCTION("IF(D15="""", """", IF(REGEXMATCH(TO_TEXT(D15), ""^(AA\d{10}|EDU\d{7}|\d+|SZSES10IS\d{9})$""), ""✅"", ""⚠️""))"),"✅")</f>
        <v>✅</v>
      </c>
      <c r="F15" s="105" t="s">
        <v>77</v>
      </c>
      <c r="G15" s="98" t="s">
        <v>104</v>
      </c>
      <c r="H15" s="99" t="s">
        <v>32</v>
      </c>
      <c r="I15" s="78" t="str">
        <f>IFERROR(__xludf.DUMMYFUNCTION("IF(D15="""", """", IFERROR(VLOOKUP(TO_TEXT(D15), '💻 EQUIPOS'!B:H, 7, 0), """"))"),"Bloqueada")</f>
        <v>Bloqueada</v>
      </c>
      <c r="J15" s="98" t="s">
        <v>85</v>
      </c>
      <c r="K15" s="98"/>
      <c r="L15" s="94" t="s">
        <v>87</v>
      </c>
      <c r="M15" s="94" t="s">
        <v>151</v>
      </c>
      <c r="N15" s="94" t="s">
        <v>88</v>
      </c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4"/>
    </row>
    <row r="16">
      <c r="A16" s="47">
        <v>13.0</v>
      </c>
      <c r="B16" s="52" t="str">
        <f t="shared" si="1"/>
        <v>OT-2026-013</v>
      </c>
      <c r="C16" s="101">
        <v>46196.0</v>
      </c>
      <c r="D16" s="102" t="s">
        <v>153</v>
      </c>
      <c r="E16" s="61" t="str">
        <f>IFERROR(__xludf.DUMMYFUNCTION("IF(D16="""", """", IF(REGEXMATCH(TO_TEXT(D16), ""^(AA\d{10}|EDU\d{7}|\d+|SZSES10IS\d{9})$""), ""✅"", ""⚠️""))"),"✅")</f>
        <v>✅</v>
      </c>
      <c r="F16" s="95" t="s">
        <v>77</v>
      </c>
      <c r="G16" s="95" t="s">
        <v>78</v>
      </c>
      <c r="H16" s="96" t="s">
        <v>84</v>
      </c>
      <c r="I16" s="78" t="str">
        <f>IFERROR(__xludf.DUMMYFUNCTION("IF(D16="""", """", IFERROR(VLOOKUP(TO_TEXT(D16), '💻 EQUIPOS'!B:H, 7, 0), """"))"),"Bloqueada")</f>
        <v>Bloqueada</v>
      </c>
      <c r="J16" s="95" t="s">
        <v>85</v>
      </c>
      <c r="K16" s="95" t="s">
        <v>101</v>
      </c>
      <c r="L16" s="51" t="s">
        <v>87</v>
      </c>
      <c r="M16" s="51" t="s">
        <v>154</v>
      </c>
      <c r="N16" s="51" t="s">
        <v>88</v>
      </c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4"/>
    </row>
    <row r="17">
      <c r="A17" s="47">
        <v>14.0</v>
      </c>
      <c r="B17" s="52" t="str">
        <f t="shared" si="1"/>
        <v>OT-2026-014</v>
      </c>
      <c r="C17" s="103">
        <v>46196.0</v>
      </c>
      <c r="D17" s="104" t="s">
        <v>155</v>
      </c>
      <c r="E17" s="61" t="str">
        <f>IFERROR(__xludf.DUMMYFUNCTION("IF(D17="""", """", IF(REGEXMATCH(TO_TEXT(D17), ""^(AA\d{10}|EDU\d{7}|\d+|SZSES10IS\d{9})$""), ""✅"", ""⚠️""))"),"✅")</f>
        <v>✅</v>
      </c>
      <c r="F17" s="105" t="s">
        <v>77</v>
      </c>
      <c r="G17" s="98" t="s">
        <v>78</v>
      </c>
      <c r="H17" s="99" t="s">
        <v>82</v>
      </c>
      <c r="I17" s="78" t="str">
        <f>IFERROR(__xludf.DUMMYFUNCTION("IF(D17="""", """", IFERROR(VLOOKUP(TO_TEXT(D17), '💻 EQUIPOS'!B:H, 7, 0), """"))"),"Desbloqueada")</f>
        <v>Desbloqueada</v>
      </c>
      <c r="J17" s="98" t="s">
        <v>85</v>
      </c>
      <c r="K17" s="98" t="s">
        <v>156</v>
      </c>
      <c r="L17" s="94" t="s">
        <v>87</v>
      </c>
      <c r="M17" s="94" t="s">
        <v>157</v>
      </c>
      <c r="N17" s="94" t="s">
        <v>88</v>
      </c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4"/>
    </row>
    <row r="18">
      <c r="A18" s="47">
        <v>15.0</v>
      </c>
      <c r="B18" s="52" t="str">
        <f t="shared" si="1"/>
        <v>OT-2026-015</v>
      </c>
      <c r="C18" s="101">
        <v>46196.0</v>
      </c>
      <c r="D18" s="102" t="s">
        <v>160</v>
      </c>
      <c r="E18" s="61" t="str">
        <f>IFERROR(__xludf.DUMMYFUNCTION("IF(D18="""", """", IF(REGEXMATCH(TO_TEXT(D18), ""^(AA\d{10}|EDU\d{7}|\d+|SZSES10IS\d{9})$""), ""✅"", ""⚠️""))"),"✅")</f>
        <v>✅</v>
      </c>
      <c r="F18" s="95" t="s">
        <v>77</v>
      </c>
      <c r="G18" s="95" t="s">
        <v>78</v>
      </c>
      <c r="H18" s="96" t="s">
        <v>82</v>
      </c>
      <c r="I18" s="78" t="str">
        <f>IFERROR(__xludf.DUMMYFUNCTION("IF(D18="""", """", IFERROR(VLOOKUP(TO_TEXT(D18), '💻 EQUIPOS'!B:H, 7, 0), """"))"),"Bloqueada")</f>
        <v>Bloqueada</v>
      </c>
      <c r="J18" s="95" t="s">
        <v>85</v>
      </c>
      <c r="K18" s="95" t="s">
        <v>161</v>
      </c>
      <c r="L18" s="51" t="s">
        <v>87</v>
      </c>
      <c r="M18" s="51" t="s">
        <v>162</v>
      </c>
      <c r="N18" s="51" t="s">
        <v>88</v>
      </c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4"/>
    </row>
    <row r="19">
      <c r="A19" s="47">
        <v>16.0</v>
      </c>
      <c r="B19" s="52" t="str">
        <f t="shared" si="1"/>
        <v>OT-2026-016</v>
      </c>
      <c r="C19" s="103">
        <v>46196.0</v>
      </c>
      <c r="D19" s="104" t="s">
        <v>163</v>
      </c>
      <c r="E19" s="61" t="str">
        <f>IFERROR(__xludf.DUMMYFUNCTION("IF(D19="""", """", IF(REGEXMATCH(TO_TEXT(D19), ""^(AA\d{10}|EDU\d{7}|\d+|SZSES10IS\d{9})$""), ""✅"", ""⚠️""))"),"✅")</f>
        <v>✅</v>
      </c>
      <c r="F19" s="105" t="s">
        <v>77</v>
      </c>
      <c r="G19" s="98" t="s">
        <v>104</v>
      </c>
      <c r="H19" s="99" t="s">
        <v>36</v>
      </c>
      <c r="I19" s="78" t="str">
        <f>IFERROR(__xludf.DUMMYFUNCTION("IF(D19="""", """", IFERROR(VLOOKUP(TO_TEXT(D19), '💻 EQUIPOS'!B:H, 7, 0), """"))"),"Bloqueada")</f>
        <v>Bloqueada</v>
      </c>
      <c r="J19" s="98" t="s">
        <v>85</v>
      </c>
      <c r="K19" s="98" t="s">
        <v>166</v>
      </c>
      <c r="L19" s="94" t="s">
        <v>87</v>
      </c>
      <c r="M19" s="94" t="s">
        <v>167</v>
      </c>
      <c r="N19" s="94" t="s">
        <v>88</v>
      </c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4"/>
    </row>
    <row r="20">
      <c r="A20" s="47">
        <v>17.0</v>
      </c>
      <c r="B20" s="52" t="str">
        <f t="shared" si="1"/>
        <v>OT-2026-017</v>
      </c>
      <c r="C20" s="101">
        <v>46196.0</v>
      </c>
      <c r="D20" s="102" t="s">
        <v>168</v>
      </c>
      <c r="E20" s="61" t="str">
        <f>IFERROR(__xludf.DUMMYFUNCTION("IF(D20="""", """", IF(REGEXMATCH(TO_TEXT(D20), ""^(AA\d{10}|EDU\d{7}|\d+|SZSES10IS\d{9})$""), ""✅"", ""⚠️""))"),"✅")</f>
        <v>✅</v>
      </c>
      <c r="F20" s="95" t="s">
        <v>77</v>
      </c>
      <c r="G20" s="95" t="s">
        <v>78</v>
      </c>
      <c r="H20" s="96" t="s">
        <v>111</v>
      </c>
      <c r="I20" s="78" t="str">
        <f>IFERROR(__xludf.DUMMYFUNCTION("IF(D20="""", """", IFERROR(VLOOKUP(TO_TEXT(D20), '💻 EQUIPOS'!B:H, 7, 0), """"))"),"Bloqueada")</f>
        <v>Bloqueada</v>
      </c>
      <c r="J20" s="95" t="s">
        <v>85</v>
      </c>
      <c r="K20" s="95" t="s">
        <v>85</v>
      </c>
      <c r="L20" s="51" t="s">
        <v>87</v>
      </c>
      <c r="M20" s="51" t="s">
        <v>169</v>
      </c>
      <c r="N20" s="51" t="s">
        <v>170</v>
      </c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4"/>
    </row>
    <row r="21">
      <c r="A21" s="47">
        <v>18.0</v>
      </c>
      <c r="B21" s="52" t="str">
        <f t="shared" si="1"/>
        <v>OT-2026-018</v>
      </c>
      <c r="C21" s="103">
        <v>46196.0</v>
      </c>
      <c r="D21" s="104" t="s">
        <v>171</v>
      </c>
      <c r="E21" s="61" t="str">
        <f>IFERROR(__xludf.DUMMYFUNCTION("IF(D21="""", """", IF(REGEXMATCH(TO_TEXT(D21), ""^(AA\d{10}|EDU\d{7}|\d+|SZSES10IS\d{9})$""), ""✅"", ""⚠️""))"),"✅")</f>
        <v>✅</v>
      </c>
      <c r="F21" s="105" t="s">
        <v>77</v>
      </c>
      <c r="G21" s="98" t="s">
        <v>104</v>
      </c>
      <c r="H21" s="99" t="s">
        <v>36</v>
      </c>
      <c r="I21" s="78" t="str">
        <f>IFERROR(__xludf.DUMMYFUNCTION("IF(D21="""", """", IFERROR(VLOOKUP(TO_TEXT(D21), '💻 EQUIPOS'!B:H, 7, 0), """"))"),"Bloqueada")</f>
        <v>Bloqueada</v>
      </c>
      <c r="J21" s="98" t="s">
        <v>161</v>
      </c>
      <c r="K21" s="98" t="s">
        <v>115</v>
      </c>
      <c r="L21" s="94" t="s">
        <v>87</v>
      </c>
      <c r="M21" s="94" t="s">
        <v>173</v>
      </c>
      <c r="N21" s="94" t="s">
        <v>149</v>
      </c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4"/>
    </row>
    <row r="22">
      <c r="A22" s="47">
        <v>19.0</v>
      </c>
      <c r="B22" s="52" t="str">
        <f t="shared" si="1"/>
        <v>OT-2026-019</v>
      </c>
      <c r="C22" s="101">
        <v>46197.0</v>
      </c>
      <c r="D22" s="102" t="s">
        <v>174</v>
      </c>
      <c r="E22" s="61" t="str">
        <f>IFERROR(__xludf.DUMMYFUNCTION("IF(D22="""", """", IF(REGEXMATCH(TO_TEXT(D22), ""^(AA\d{10}|EDU\d{7}|\d+|SZSES10IS\d{9})$""), ""✅"", ""⚠️""))"),"✅")</f>
        <v>✅</v>
      </c>
      <c r="F22" s="95" t="s">
        <v>77</v>
      </c>
      <c r="G22" s="95" t="s">
        <v>104</v>
      </c>
      <c r="H22" s="96" t="s">
        <v>30</v>
      </c>
      <c r="I22" s="78" t="str">
        <f>IFERROR(__xludf.DUMMYFUNCTION("IF(D22="""", """", IFERROR(VLOOKUP(TO_TEXT(D22), '💻 EQUIPOS'!B:H, 7, 0), """"))"),"Bloqueada")</f>
        <v>Bloqueada</v>
      </c>
      <c r="J22" s="95" t="s">
        <v>115</v>
      </c>
      <c r="K22" s="95" t="s">
        <v>121</v>
      </c>
      <c r="L22" s="51" t="s">
        <v>87</v>
      </c>
      <c r="M22" s="51" t="s">
        <v>175</v>
      </c>
      <c r="N22" s="51" t="s">
        <v>112</v>
      </c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4"/>
    </row>
    <row r="23">
      <c r="A23" s="47">
        <v>20.0</v>
      </c>
      <c r="B23" s="52" t="str">
        <f t="shared" si="1"/>
        <v>OT-2026-020</v>
      </c>
      <c r="C23" s="103">
        <v>46197.0</v>
      </c>
      <c r="D23" s="104" t="s">
        <v>176</v>
      </c>
      <c r="E23" s="61" t="str">
        <f>IFERROR(__xludf.DUMMYFUNCTION("IF(D23="""", """", IF(REGEXMATCH(TO_TEXT(D23), ""^(AA\d{10}|EDU\d{7}|\d+|SZSES10IS\d{9})$""), ""✅"", ""⚠️""))"),"✅")</f>
        <v>✅</v>
      </c>
      <c r="F23" s="105" t="s">
        <v>77</v>
      </c>
      <c r="G23" s="98" t="s">
        <v>104</v>
      </c>
      <c r="H23" s="99" t="s">
        <v>32</v>
      </c>
      <c r="I23" s="78" t="str">
        <f>IFERROR(__xludf.DUMMYFUNCTION("IF(D23="""", """", IFERROR(VLOOKUP(TO_TEXT(D23), '💻 EQUIPOS'!B:H, 7, 0), """"))"),"Bloqueada")</f>
        <v>Bloqueada</v>
      </c>
      <c r="J23" s="98" t="s">
        <v>179</v>
      </c>
      <c r="K23" s="98" t="s">
        <v>161</v>
      </c>
      <c r="L23" s="94" t="s">
        <v>87</v>
      </c>
      <c r="M23" s="94" t="s">
        <v>180</v>
      </c>
      <c r="N23" s="94" t="s">
        <v>112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4"/>
    </row>
    <row r="24">
      <c r="A24" s="47">
        <v>21.0</v>
      </c>
      <c r="B24" s="52" t="str">
        <f t="shared" si="1"/>
        <v>OT-2026-021</v>
      </c>
      <c r="C24" s="101">
        <v>46197.0</v>
      </c>
      <c r="D24" s="102" t="s">
        <v>181</v>
      </c>
      <c r="E24" s="61" t="str">
        <f>IFERROR(__xludf.DUMMYFUNCTION("IF(D24="""", """", IF(REGEXMATCH(TO_TEXT(D24), ""^(AA\d{10}|EDU\d{7}|\d+|SZSES10IS\d{9})$""), ""✅"", ""⚠️""))"),"✅")</f>
        <v>✅</v>
      </c>
      <c r="F24" s="95" t="s">
        <v>77</v>
      </c>
      <c r="G24" s="95" t="s">
        <v>104</v>
      </c>
      <c r="H24" s="96" t="s">
        <v>30</v>
      </c>
      <c r="I24" s="78" t="str">
        <f>IFERROR(__xludf.DUMMYFUNCTION("IF(D24="""", """", IFERROR(VLOOKUP(TO_TEXT(D24), '💻 EQUIPOS'!B:H, 7, 0), """"))"),"Bloqueada")</f>
        <v>Bloqueada</v>
      </c>
      <c r="J24" s="95" t="s">
        <v>85</v>
      </c>
      <c r="K24" s="95" t="s">
        <v>121</v>
      </c>
      <c r="L24" s="51" t="s">
        <v>87</v>
      </c>
      <c r="M24" s="51" t="s">
        <v>182</v>
      </c>
      <c r="N24" s="51" t="s">
        <v>112</v>
      </c>
      <c r="O24" s="82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4"/>
    </row>
    <row r="25">
      <c r="A25" s="47">
        <v>22.0</v>
      </c>
      <c r="B25" s="52" t="str">
        <f t="shared" si="1"/>
        <v>OT-2026-022</v>
      </c>
      <c r="C25" s="103">
        <v>46197.0</v>
      </c>
      <c r="D25" s="104" t="s">
        <v>183</v>
      </c>
      <c r="E25" s="61" t="str">
        <f>IFERROR(__xludf.DUMMYFUNCTION("IF(D25="""", """", IF(REGEXMATCH(TO_TEXT(D25), ""^(AA\d{10}|EDU\d{7}|\d+|SZSES10IS\d{9})$""), ""✅"", ""⚠️""))"),"✅")</f>
        <v>✅</v>
      </c>
      <c r="F25" s="105" t="s">
        <v>77</v>
      </c>
      <c r="G25" s="98" t="s">
        <v>78</v>
      </c>
      <c r="H25" s="99" t="s">
        <v>111</v>
      </c>
      <c r="I25" s="78" t="str">
        <f>IFERROR(__xludf.DUMMYFUNCTION("IF(D25="""", """", IFERROR(VLOOKUP(TO_TEXT(D25), '💻 EQUIPOS'!B:H, 7, 0), """"))"),"SO Instalado")</f>
        <v>SO Instalado</v>
      </c>
      <c r="J25" s="98" t="s">
        <v>161</v>
      </c>
      <c r="K25" s="98" t="s">
        <v>161</v>
      </c>
      <c r="L25" s="94" t="s">
        <v>87</v>
      </c>
      <c r="M25" s="94" t="s">
        <v>185</v>
      </c>
      <c r="N25" s="94" t="s">
        <v>88</v>
      </c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4"/>
    </row>
    <row r="26">
      <c r="A26" s="47">
        <v>23.0</v>
      </c>
      <c r="B26" s="52" t="str">
        <f t="shared" si="1"/>
        <v>OT-2026-023</v>
      </c>
      <c r="C26" s="101">
        <v>46197.0</v>
      </c>
      <c r="D26" s="102" t="s">
        <v>186</v>
      </c>
      <c r="E26" s="61" t="str">
        <f>IFERROR(__xludf.DUMMYFUNCTION("IF(D26="""", """", IF(REGEXMATCH(TO_TEXT(D26), ""^(AA\d{10}|EDU\d{7}|\d+|SZSES10IS\d{9})$""), ""✅"", ""⚠️""))"),"✅")</f>
        <v>✅</v>
      </c>
      <c r="F26" s="95" t="s">
        <v>77</v>
      </c>
      <c r="G26" s="95" t="s">
        <v>104</v>
      </c>
      <c r="H26" s="96" t="s">
        <v>32</v>
      </c>
      <c r="I26" s="78" t="str">
        <f>IFERROR(__xludf.DUMMYFUNCTION("IF(D26="""", """", IFERROR(VLOOKUP(TO_TEXT(D26), '💻 EQUIPOS'!B:H, 7, 0), """"))"),"Desbloqueada")</f>
        <v>Desbloqueada</v>
      </c>
      <c r="J26" s="95" t="s">
        <v>85</v>
      </c>
      <c r="K26" s="95" t="s">
        <v>156</v>
      </c>
      <c r="L26" s="51" t="s">
        <v>87</v>
      </c>
      <c r="M26" s="51" t="s">
        <v>187</v>
      </c>
      <c r="N26" s="51" t="s">
        <v>112</v>
      </c>
      <c r="O26" s="82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4"/>
    </row>
    <row r="27">
      <c r="A27" s="47">
        <v>24.0</v>
      </c>
      <c r="B27" s="52" t="str">
        <f t="shared" si="1"/>
        <v>OT-2026-024</v>
      </c>
      <c r="C27" s="103">
        <v>46197.0</v>
      </c>
      <c r="D27" s="104" t="s">
        <v>190</v>
      </c>
      <c r="E27" s="61" t="str">
        <f>IFERROR(__xludf.DUMMYFUNCTION("IF(D27="""", """", IF(REGEXMATCH(TO_TEXT(D27), ""^(AA\d{10}|EDU\d{7}|\d+|SZSES10IS\d{9})$""), ""✅"", ""⚠️""))"),"✅")</f>
        <v>✅</v>
      </c>
      <c r="F27" s="105" t="s">
        <v>77</v>
      </c>
      <c r="G27" s="98" t="s">
        <v>78</v>
      </c>
      <c r="H27" s="99" t="s">
        <v>111</v>
      </c>
      <c r="I27" s="78" t="str">
        <f>IFERROR(__xludf.DUMMYFUNCTION("IF(D27="""", """", IFERROR(VLOOKUP(TO_TEXT(D27), '💻 EQUIPOS'!B:H, 7, 0), """"))"),"Desbloqueada")</f>
        <v>Desbloqueada</v>
      </c>
      <c r="J27" s="98" t="s">
        <v>85</v>
      </c>
      <c r="K27" s="98" t="s">
        <v>121</v>
      </c>
      <c r="L27" s="94" t="s">
        <v>87</v>
      </c>
      <c r="M27" s="94" t="s">
        <v>192</v>
      </c>
      <c r="N27" s="94" t="s">
        <v>88</v>
      </c>
      <c r="O27" s="82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4"/>
    </row>
    <row r="28">
      <c r="A28" s="47">
        <v>25.0</v>
      </c>
      <c r="B28" s="52" t="str">
        <f t="shared" si="1"/>
        <v>OT-2026-025</v>
      </c>
      <c r="C28" s="101">
        <v>46197.0</v>
      </c>
      <c r="D28" s="102" t="s">
        <v>193</v>
      </c>
      <c r="E28" s="61" t="str">
        <f>IFERROR(__xludf.DUMMYFUNCTION("IF(D28="""", """", IF(REGEXMATCH(TO_TEXT(D28), ""^(AA\d{10}|EDU\d{7}|\d+|SZSES10IS\d{9})$""), ""✅"", ""⚠️""))"),"✅")</f>
        <v>✅</v>
      </c>
      <c r="F28" s="95" t="s">
        <v>77</v>
      </c>
      <c r="G28" s="95" t="s">
        <v>78</v>
      </c>
      <c r="H28" s="96" t="s">
        <v>111</v>
      </c>
      <c r="I28" s="78" t="str">
        <f>IFERROR(__xludf.DUMMYFUNCTION("IF(D28="""", """", IFERROR(VLOOKUP(TO_TEXT(D28), '💻 EQUIPOS'!B:H, 7, 0), """"))"),"Bloqueada")</f>
        <v>Bloqueada</v>
      </c>
      <c r="J28" s="95" t="s">
        <v>85</v>
      </c>
      <c r="K28" s="95"/>
      <c r="L28" s="51" t="s">
        <v>87</v>
      </c>
      <c r="M28" s="51" t="s">
        <v>195</v>
      </c>
      <c r="N28" s="51" t="s">
        <v>149</v>
      </c>
      <c r="O28" s="82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4"/>
    </row>
    <row r="29">
      <c r="A29" s="47">
        <v>26.0</v>
      </c>
      <c r="B29" s="52" t="str">
        <f t="shared" si="1"/>
        <v>OT-2026-026</v>
      </c>
      <c r="C29" s="103">
        <v>46197.0</v>
      </c>
      <c r="D29" s="104" t="s">
        <v>196</v>
      </c>
      <c r="E29" s="61" t="str">
        <f>IFERROR(__xludf.DUMMYFUNCTION("IF(D29="""", """", IF(REGEXMATCH(TO_TEXT(D29), ""^(AA\d{10}|EDU\d{7}|\d+|SZSES10IS\d{9})$""), ""✅"", ""⚠️""))"),"✅")</f>
        <v>✅</v>
      </c>
      <c r="F29" s="105" t="s">
        <v>77</v>
      </c>
      <c r="G29" s="98" t="s">
        <v>78</v>
      </c>
      <c r="H29" s="99" t="s">
        <v>111</v>
      </c>
      <c r="I29" s="78" t="str">
        <f>IFERROR(__xludf.DUMMYFUNCTION("IF(D29="""", """", IFERROR(VLOOKUP(TO_TEXT(D29), '💻 EQUIPOS'!B:H, 7, 0), """"))"),"Bloqueada")</f>
        <v>Bloqueada</v>
      </c>
      <c r="J29" s="98" t="s">
        <v>85</v>
      </c>
      <c r="K29" s="89"/>
      <c r="L29" s="94" t="s">
        <v>87</v>
      </c>
      <c r="M29" s="94" t="s">
        <v>197</v>
      </c>
      <c r="N29" s="94" t="s">
        <v>88</v>
      </c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4"/>
    </row>
    <row r="30">
      <c r="A30" s="47">
        <v>27.0</v>
      </c>
      <c r="B30" s="52" t="str">
        <f t="shared" si="1"/>
        <v>OT-2026-027</v>
      </c>
      <c r="C30" s="101">
        <v>46198.0</v>
      </c>
      <c r="D30" s="102" t="s">
        <v>199</v>
      </c>
      <c r="E30" s="61" t="str">
        <f>IFERROR(__xludf.DUMMYFUNCTION("IF(D30="""", """", IF(REGEXMATCH(TO_TEXT(D30), ""^(AA\d{10}|EDU\d{7}|\d+|SZSES10IS\d{9})$""), ""✅"", ""⚠️""))"),"✅")</f>
        <v>✅</v>
      </c>
      <c r="F30" s="95" t="s">
        <v>77</v>
      </c>
      <c r="G30" s="95" t="s">
        <v>78</v>
      </c>
      <c r="H30" s="96" t="s">
        <v>82</v>
      </c>
      <c r="I30" s="78" t="str">
        <f>IFERROR(__xludf.DUMMYFUNCTION("IF(D30="""", """", IFERROR(VLOOKUP(TO_TEXT(D30), '💻 EQUIPOS'!B:H, 7, 0), """"))"),"Bloqueada")</f>
        <v>Bloqueada</v>
      </c>
      <c r="J30" s="95" t="s">
        <v>85</v>
      </c>
      <c r="K30" s="95" t="s">
        <v>200</v>
      </c>
      <c r="L30" s="51" t="s">
        <v>87</v>
      </c>
      <c r="M30" s="51" t="s">
        <v>201</v>
      </c>
      <c r="N30" s="51" t="s">
        <v>88</v>
      </c>
      <c r="O30" s="82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4"/>
    </row>
    <row r="31">
      <c r="A31" s="47">
        <v>28.0</v>
      </c>
      <c r="B31" s="52" t="str">
        <f t="shared" si="1"/>
        <v>OT-2026-028</v>
      </c>
      <c r="C31" s="103">
        <v>46198.0</v>
      </c>
      <c r="D31" s="104" t="s">
        <v>202</v>
      </c>
      <c r="E31" s="61" t="str">
        <f>IFERROR(__xludf.DUMMYFUNCTION("IF(D31="""", """", IF(REGEXMATCH(TO_TEXT(D31), ""^(AA\d{10}|EDU\d{7}|\d+|SZSES10IS\d{9})$""), ""✅"", ""⚠️""))"),"✅")</f>
        <v>✅</v>
      </c>
      <c r="F31" s="105" t="s">
        <v>77</v>
      </c>
      <c r="G31" s="98" t="s">
        <v>78</v>
      </c>
      <c r="H31" s="99" t="s">
        <v>84</v>
      </c>
      <c r="I31" s="78" t="str">
        <f>IFERROR(__xludf.DUMMYFUNCTION("IF(D31="""", """", IFERROR(VLOOKUP(TO_TEXT(D31), '💻 EQUIPOS'!B:H, 7, 0), """"))"),"Bloqueada")</f>
        <v>Bloqueada</v>
      </c>
      <c r="J31" s="98" t="s">
        <v>85</v>
      </c>
      <c r="K31" s="98" t="s">
        <v>203</v>
      </c>
      <c r="L31" s="94" t="s">
        <v>87</v>
      </c>
      <c r="M31" s="94" t="s">
        <v>204</v>
      </c>
      <c r="N31" s="94" t="s">
        <v>88</v>
      </c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4"/>
    </row>
    <row r="32">
      <c r="A32" s="47">
        <v>29.0</v>
      </c>
      <c r="B32" s="52" t="str">
        <f t="shared" si="1"/>
        <v>OT-2026-029</v>
      </c>
      <c r="C32" s="101">
        <v>46198.0</v>
      </c>
      <c r="D32" s="102" t="s">
        <v>206</v>
      </c>
      <c r="E32" s="61" t="str">
        <f>IFERROR(__xludf.DUMMYFUNCTION("IF(D32="""", """", IF(REGEXMATCH(TO_TEXT(D32), ""^(AA\d{10}|EDU\d{7}|\d+|SZSES10IS\d{9})$""), ""✅"", ""⚠️""))"),"✅")</f>
        <v>✅</v>
      </c>
      <c r="F32" s="95" t="s">
        <v>77</v>
      </c>
      <c r="G32" s="95" t="s">
        <v>78</v>
      </c>
      <c r="H32" s="96" t="s">
        <v>84</v>
      </c>
      <c r="I32" s="78" t="str">
        <f>IFERROR(__xludf.DUMMYFUNCTION("IF(D32="""", """", IFERROR(VLOOKUP(TO_TEXT(D32), '💻 EQUIPOS'!B:H, 7, 0), """"))"),"Bloqueada")</f>
        <v>Bloqueada</v>
      </c>
      <c r="J32" s="95" t="s">
        <v>85</v>
      </c>
      <c r="K32" s="95" t="s">
        <v>85</v>
      </c>
      <c r="L32" s="51" t="s">
        <v>87</v>
      </c>
      <c r="M32" s="51" t="s">
        <v>207</v>
      </c>
      <c r="N32" s="51" t="s">
        <v>88</v>
      </c>
      <c r="O32" s="82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4"/>
    </row>
    <row r="33">
      <c r="A33" s="47">
        <v>30.0</v>
      </c>
      <c r="B33" s="52" t="str">
        <f t="shared" si="1"/>
        <v>OT-2026-030</v>
      </c>
      <c r="C33" s="103">
        <v>46198.0</v>
      </c>
      <c r="D33" s="104" t="s">
        <v>208</v>
      </c>
      <c r="E33" s="61" t="str">
        <f>IFERROR(__xludf.DUMMYFUNCTION("IF(D33="""", """", IF(REGEXMATCH(TO_TEXT(D33), ""^(AA\d{10}|EDU\d{7}|\d+|SZSES10IS\d{9})$""), ""✅"", ""⚠️""))"),"✅")</f>
        <v>✅</v>
      </c>
      <c r="F33" s="105" t="s">
        <v>77</v>
      </c>
      <c r="G33" s="98" t="s">
        <v>78</v>
      </c>
      <c r="H33" s="99" t="s">
        <v>34</v>
      </c>
      <c r="I33" s="78" t="str">
        <f>IFERROR(__xludf.DUMMYFUNCTION("IF(D33="""", """", IFERROR(VLOOKUP(TO_TEXT(D33), '💻 EQUIPOS'!B:H, 7, 0), """"))"),"Bloqueada")</f>
        <v>Bloqueada</v>
      </c>
      <c r="J33" s="98" t="s">
        <v>85</v>
      </c>
      <c r="K33" s="98" t="s">
        <v>209</v>
      </c>
      <c r="L33" s="94" t="s">
        <v>87</v>
      </c>
      <c r="M33" s="94" t="s">
        <v>210</v>
      </c>
      <c r="N33" s="94" t="s">
        <v>88</v>
      </c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4"/>
    </row>
    <row r="34">
      <c r="A34" s="47">
        <v>31.0</v>
      </c>
      <c r="B34" s="52" t="str">
        <f t="shared" si="1"/>
        <v>OT-2026-031</v>
      </c>
      <c r="C34" s="101">
        <v>46198.0</v>
      </c>
      <c r="D34" s="102" t="s">
        <v>212</v>
      </c>
      <c r="E34" s="61" t="str">
        <f>IFERROR(__xludf.DUMMYFUNCTION("IF(D34="""", """", IF(REGEXMATCH(TO_TEXT(D34), ""^(AA\d{10}|EDU\d{7}|\d+|SZSES10IS\d{9})$""), ""✅"", ""⚠️""))"),"✅")</f>
        <v>✅</v>
      </c>
      <c r="F34" s="95" t="s">
        <v>214</v>
      </c>
      <c r="G34" s="95" t="s">
        <v>78</v>
      </c>
      <c r="H34" s="96" t="s">
        <v>82</v>
      </c>
      <c r="I34" s="78" t="str">
        <f>IFERROR(__xludf.DUMMYFUNCTION("IF(D34="""", """", IFERROR(VLOOKUP(TO_TEXT(D34), '💻 EQUIPOS'!B:H, 7, 0), """"))"),"Bloqueada")</f>
        <v>Bloqueada</v>
      </c>
      <c r="J34" s="95" t="s">
        <v>85</v>
      </c>
      <c r="K34" s="95" t="s">
        <v>105</v>
      </c>
      <c r="L34" s="51" t="s">
        <v>87</v>
      </c>
      <c r="M34" s="51" t="s">
        <v>215</v>
      </c>
      <c r="N34" s="51" t="s">
        <v>88</v>
      </c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4"/>
    </row>
    <row r="35">
      <c r="A35" s="47">
        <v>32.0</v>
      </c>
      <c r="B35" s="52" t="str">
        <f t="shared" si="1"/>
        <v>OT-2026-032</v>
      </c>
      <c r="C35" s="103">
        <v>46198.0</v>
      </c>
      <c r="D35" s="104" t="s">
        <v>216</v>
      </c>
      <c r="E35" s="61" t="str">
        <f>IFERROR(__xludf.DUMMYFUNCTION("IF(D35="""", """", IF(REGEXMATCH(TO_TEXT(D35), ""^(AA\d{10}|EDU\d{7}|\d+|SZSES10IS\d{9})$""), ""✅"", ""⚠️""))"),"✅")</f>
        <v>✅</v>
      </c>
      <c r="F35" s="105" t="s">
        <v>214</v>
      </c>
      <c r="G35" s="98" t="s">
        <v>104</v>
      </c>
      <c r="H35" s="99" t="s">
        <v>36</v>
      </c>
      <c r="I35" s="78" t="str">
        <f>IFERROR(__xludf.DUMMYFUNCTION("IF(D35="""", """", IFERROR(VLOOKUP(TO_TEXT(D35), '💻 EQUIPOS'!B:H, 7, 0), """"))"),"Bloqueada")</f>
        <v>Bloqueada</v>
      </c>
      <c r="J35" s="98" t="s">
        <v>85</v>
      </c>
      <c r="K35" s="98" t="s">
        <v>85</v>
      </c>
      <c r="L35" s="94" t="s">
        <v>87</v>
      </c>
      <c r="M35" s="94" t="s">
        <v>217</v>
      </c>
      <c r="N35" s="94" t="s">
        <v>88</v>
      </c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4"/>
    </row>
    <row r="36">
      <c r="A36" s="47">
        <v>33.0</v>
      </c>
      <c r="B36" s="52" t="str">
        <f t="shared" si="1"/>
        <v>OT-2026-033</v>
      </c>
      <c r="C36" s="101">
        <v>46198.0</v>
      </c>
      <c r="D36" s="102" t="s">
        <v>218</v>
      </c>
      <c r="E36" s="61" t="str">
        <f>IFERROR(__xludf.DUMMYFUNCTION("IF(D36="""", """", IF(REGEXMATCH(TO_TEXT(D36), ""^(AA\d{10}|EDU\d{7}|\d+|SZSES10IS\d{9})$""), ""✅"", ""⚠️""))"),"✅")</f>
        <v>✅</v>
      </c>
      <c r="F36" s="105" t="s">
        <v>219</v>
      </c>
      <c r="G36" s="95" t="s">
        <v>104</v>
      </c>
      <c r="H36" s="96" t="s">
        <v>36</v>
      </c>
      <c r="I36" s="78" t="str">
        <f>IFERROR(__xludf.DUMMYFUNCTION("IF(D36="""", """", IFERROR(VLOOKUP(TO_TEXT(D36), '💻 EQUIPOS'!B:H, 7, 0), """"))"),"Bloqueada")</f>
        <v>Bloqueada</v>
      </c>
      <c r="J36" s="95" t="s">
        <v>85</v>
      </c>
      <c r="K36" s="95" t="s">
        <v>85</v>
      </c>
      <c r="L36" s="51" t="s">
        <v>87</v>
      </c>
      <c r="M36" s="51" t="s">
        <v>220</v>
      </c>
      <c r="N36" s="51" t="s">
        <v>88</v>
      </c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4"/>
    </row>
    <row r="37">
      <c r="A37" s="47">
        <v>34.0</v>
      </c>
      <c r="B37" s="52" t="str">
        <f t="shared" si="1"/>
        <v>OT-2026-034</v>
      </c>
      <c r="C37" s="103">
        <v>46202.0</v>
      </c>
      <c r="D37" s="104" t="s">
        <v>221</v>
      </c>
      <c r="E37" s="61" t="str">
        <f>IFERROR(__xludf.DUMMYFUNCTION("IF(D37="""", """", IF(REGEXMATCH(TO_TEXT(D37), ""^(AA\d{10}|EDU\d{7}|\d+|SZSES10IS\d{9})$""), ""✅"", ""⚠️""))"),"✅")</f>
        <v>✅</v>
      </c>
      <c r="F37" s="105" t="s">
        <v>77</v>
      </c>
      <c r="G37" s="98" t="s">
        <v>104</v>
      </c>
      <c r="H37" s="99" t="s">
        <v>34</v>
      </c>
      <c r="I37" s="78" t="str">
        <f>IFERROR(__xludf.DUMMYFUNCTION("IF(D37="""", """", IFERROR(VLOOKUP(TO_TEXT(D37), '💻 EQUIPOS'!B:H, 7, 0), """"))"),"Bloqueada")</f>
        <v>Bloqueada</v>
      </c>
      <c r="J37" s="98" t="s">
        <v>105</v>
      </c>
      <c r="K37" s="98" t="s">
        <v>85</v>
      </c>
      <c r="L37" s="94" t="s">
        <v>87</v>
      </c>
      <c r="M37" s="94" t="s">
        <v>222</v>
      </c>
      <c r="N37" s="94" t="s">
        <v>88</v>
      </c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4"/>
    </row>
    <row r="38">
      <c r="A38" s="47">
        <v>35.0</v>
      </c>
      <c r="B38" s="52" t="str">
        <f t="shared" si="1"/>
        <v>OT-2026-035</v>
      </c>
      <c r="C38" s="101">
        <v>46202.0</v>
      </c>
      <c r="D38" s="102" t="s">
        <v>223</v>
      </c>
      <c r="E38" s="61" t="str">
        <f>IFERROR(__xludf.DUMMYFUNCTION("IF(D38="""", """", IF(REGEXMATCH(TO_TEXT(D38), ""^(AA\d{10}|EDU\d{7}|\d+|SZSES10IS\d{9})$""), ""✅"", ""⚠️""))"),"✅")</f>
        <v>✅</v>
      </c>
      <c r="F38" s="95" t="s">
        <v>77</v>
      </c>
      <c r="G38" s="95" t="s">
        <v>104</v>
      </c>
      <c r="H38" s="96" t="s">
        <v>37</v>
      </c>
      <c r="I38" s="78" t="str">
        <f>IFERROR(__xludf.DUMMYFUNCTION("IF(D38="""", """", IFERROR(VLOOKUP(TO_TEXT(D38), '💻 EQUIPOS'!B:H, 7, 0), """"))"),"Recibida")</f>
        <v>Recibida</v>
      </c>
      <c r="J38" s="95" t="s">
        <v>85</v>
      </c>
      <c r="K38" s="95" t="s">
        <v>85</v>
      </c>
      <c r="L38" s="51" t="s">
        <v>224</v>
      </c>
      <c r="M38" s="51" t="s">
        <v>225</v>
      </c>
      <c r="N38" s="51" t="s">
        <v>112</v>
      </c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  <c r="AA38" s="84"/>
    </row>
    <row r="39">
      <c r="A39" s="47">
        <v>36.0</v>
      </c>
      <c r="B39" s="52" t="str">
        <f t="shared" si="1"/>
        <v>OT-2026-036</v>
      </c>
      <c r="C39" s="103">
        <v>46202.0</v>
      </c>
      <c r="D39" s="104" t="s">
        <v>226</v>
      </c>
      <c r="E39" s="61" t="str">
        <f>IFERROR(__xludf.DUMMYFUNCTION("IF(D39="""", """", IF(REGEXMATCH(TO_TEXT(D39), ""^(AA\d{10}|EDU\d{7}|\d+|SZSES10IS\d{9})$""), ""✅"", ""⚠️""))"),"✅")</f>
        <v>✅</v>
      </c>
      <c r="F39" s="105" t="s">
        <v>77</v>
      </c>
      <c r="G39" s="98" t="s">
        <v>104</v>
      </c>
      <c r="H39" s="99" t="s">
        <v>34</v>
      </c>
      <c r="I39" s="78" t="str">
        <f>IFERROR(__xludf.DUMMYFUNCTION("IF(D39="""", """", IFERROR(VLOOKUP(TO_TEXT(D39), '💻 EQUIPOS'!B:H, 7, 0), """"))"),"Desbloqueada")</f>
        <v>Desbloqueada</v>
      </c>
      <c r="J39" s="98" t="s">
        <v>85</v>
      </c>
      <c r="K39" s="98" t="s">
        <v>121</v>
      </c>
      <c r="L39" s="94" t="s">
        <v>227</v>
      </c>
      <c r="M39" s="94" t="s">
        <v>228</v>
      </c>
      <c r="N39" s="94" t="s">
        <v>88</v>
      </c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  <c r="AA39" s="84"/>
    </row>
    <row r="40">
      <c r="A40" s="47">
        <v>37.0</v>
      </c>
      <c r="B40" s="52" t="str">
        <f t="shared" si="1"/>
        <v>OT-2026-037</v>
      </c>
      <c r="C40" s="101">
        <v>46202.0</v>
      </c>
      <c r="D40" s="102" t="s">
        <v>229</v>
      </c>
      <c r="E40" s="61" t="str">
        <f>IFERROR(__xludf.DUMMYFUNCTION("IF(D40="""", """", IF(REGEXMATCH(TO_TEXT(D40), ""^(AA\d{10}|EDU\d{7}|\d+|SZSES10IS\d{9})$""), ""✅"", ""⚠️""))"),"✅")</f>
        <v>✅</v>
      </c>
      <c r="F40" s="95" t="s">
        <v>77</v>
      </c>
      <c r="G40" s="95" t="s">
        <v>104</v>
      </c>
      <c r="H40" s="96" t="s">
        <v>37</v>
      </c>
      <c r="I40" s="78" t="str">
        <f>IFERROR(__xludf.DUMMYFUNCTION("IF(D40="""", """", IFERROR(VLOOKUP(TO_TEXT(D40), '💻 EQUIPOS'!B:H, 7, 0), """"))"),"Bloqueada")</f>
        <v>Bloqueada</v>
      </c>
      <c r="J40" s="95" t="s">
        <v>85</v>
      </c>
      <c r="K40" s="95" t="s">
        <v>85</v>
      </c>
      <c r="L40" s="51" t="s">
        <v>230</v>
      </c>
      <c r="M40" s="51" t="s">
        <v>231</v>
      </c>
      <c r="N40" s="51" t="s">
        <v>88</v>
      </c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4"/>
    </row>
    <row r="41">
      <c r="A41" s="47">
        <v>38.0</v>
      </c>
      <c r="B41" s="52" t="str">
        <f t="shared" si="1"/>
        <v>OT-2026-038</v>
      </c>
      <c r="C41" s="103">
        <v>46202.0</v>
      </c>
      <c r="D41" s="104" t="s">
        <v>232</v>
      </c>
      <c r="E41" s="61" t="str">
        <f>IFERROR(__xludf.DUMMYFUNCTION("IF(D41="""", """", IF(REGEXMATCH(TO_TEXT(D41), ""^(AA\d{10}|EDU\d{7}|\d+|SZSES10IS\d{9})$""), ""✅"", ""⚠️""))"),"✅")</f>
        <v>✅</v>
      </c>
      <c r="F41" s="105" t="s">
        <v>77</v>
      </c>
      <c r="G41" s="98" t="s">
        <v>104</v>
      </c>
      <c r="H41" s="99" t="s">
        <v>30</v>
      </c>
      <c r="I41" s="78" t="str">
        <f>IFERROR(__xludf.DUMMYFUNCTION("IF(D41="""", """", IFERROR(VLOOKUP(TO_TEXT(D41), '💻 EQUIPOS'!B:H, 7, 0), """"))"),"Bloqueada")</f>
        <v>Bloqueada</v>
      </c>
      <c r="J41" s="98" t="s">
        <v>121</v>
      </c>
      <c r="K41" s="98" t="s">
        <v>85</v>
      </c>
      <c r="L41" s="94" t="s">
        <v>233</v>
      </c>
      <c r="M41" s="94" t="s">
        <v>234</v>
      </c>
      <c r="N41" s="94" t="s">
        <v>112</v>
      </c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4"/>
    </row>
    <row r="42">
      <c r="A42" s="47">
        <v>39.0</v>
      </c>
      <c r="B42" s="52" t="str">
        <f t="shared" si="1"/>
        <v>OT-2026-039</v>
      </c>
      <c r="C42" s="101">
        <v>46202.0</v>
      </c>
      <c r="D42" s="102" t="s">
        <v>235</v>
      </c>
      <c r="E42" s="61" t="str">
        <f>IFERROR(__xludf.DUMMYFUNCTION("IF(D42="""", """", IF(REGEXMATCH(TO_TEXT(D42), ""^(AA\d{10}|EDU\d{7}|\d+|SZSES10IS\d{9})$""), ""✅"", ""⚠️""))"),"✅")</f>
        <v>✅</v>
      </c>
      <c r="F42" s="95" t="s">
        <v>77</v>
      </c>
      <c r="G42" s="95" t="s">
        <v>104</v>
      </c>
      <c r="H42" s="96" t="s">
        <v>30</v>
      </c>
      <c r="I42" s="78" t="str">
        <f>IFERROR(__xludf.DUMMYFUNCTION("IF(D42="""", """", IFERROR(VLOOKUP(TO_TEXT(D42), '💻 EQUIPOS'!B:H, 7, 0), """"))"),"Bloqueada")</f>
        <v>Bloqueada</v>
      </c>
      <c r="J42" s="95" t="s">
        <v>121</v>
      </c>
      <c r="K42" s="95" t="s">
        <v>121</v>
      </c>
      <c r="L42" s="51" t="s">
        <v>236</v>
      </c>
      <c r="M42" s="51" t="s">
        <v>237</v>
      </c>
      <c r="N42" s="51" t="s">
        <v>149</v>
      </c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4"/>
    </row>
    <row r="43">
      <c r="A43" s="47">
        <v>40.0</v>
      </c>
      <c r="B43" s="52" t="str">
        <f t="shared" si="1"/>
        <v>OT-2026-040</v>
      </c>
      <c r="C43" s="103">
        <v>46202.0</v>
      </c>
      <c r="D43" s="104" t="s">
        <v>238</v>
      </c>
      <c r="E43" s="61" t="str">
        <f>IFERROR(__xludf.DUMMYFUNCTION("IF(D43="""", """", IF(REGEXMATCH(TO_TEXT(D43), ""^(AA\d{10}|EDU\d{7}|\d+|SZSES10IS\d{9})$""), ""✅"", ""⚠️""))"),"✅")</f>
        <v>✅</v>
      </c>
      <c r="F43" s="105" t="s">
        <v>77</v>
      </c>
      <c r="G43" s="98" t="s">
        <v>104</v>
      </c>
      <c r="H43" s="99" t="s">
        <v>33</v>
      </c>
      <c r="I43" s="78" t="str">
        <f>IFERROR(__xludf.DUMMYFUNCTION("IF(D43="""", """", IFERROR(VLOOKUP(TO_TEXT(D43), '💻 EQUIPOS'!B:H, 7, 0), """"))"),"Bloqueada")</f>
        <v>Bloqueada</v>
      </c>
      <c r="J43" s="98" t="s">
        <v>85</v>
      </c>
      <c r="K43" s="98" t="s">
        <v>105</v>
      </c>
      <c r="L43" s="94" t="s">
        <v>236</v>
      </c>
      <c r="M43" s="94" t="s">
        <v>239</v>
      </c>
      <c r="N43" s="94" t="s">
        <v>88</v>
      </c>
      <c r="O43" s="82"/>
      <c r="P43" s="82"/>
      <c r="Q43" s="82"/>
      <c r="R43" s="82"/>
      <c r="S43" s="82"/>
      <c r="T43" s="82"/>
      <c r="U43" s="82"/>
      <c r="V43" s="82"/>
      <c r="W43" s="82"/>
      <c r="X43" s="82"/>
      <c r="Y43" s="82"/>
      <c r="Z43" s="82"/>
      <c r="AA43" s="84"/>
    </row>
    <row r="44">
      <c r="A44" s="47">
        <v>41.0</v>
      </c>
      <c r="B44" s="52" t="str">
        <f t="shared" si="1"/>
        <v>OT-2026-041</v>
      </c>
      <c r="C44" s="101">
        <v>46203.0</v>
      </c>
      <c r="D44" s="126" t="s">
        <v>240</v>
      </c>
      <c r="E44" s="61" t="str">
        <f>IFERROR(__xludf.DUMMYFUNCTION("IF(D44="""", """", IF(REGEXMATCH(TO_TEXT(D44), ""^(AA\d{10}|EDU\d{7}|\d+|SZSES10IS\d{9})$""), ""✅"", ""⚠️""))"),"✅")</f>
        <v>✅</v>
      </c>
      <c r="F44" s="95" t="s">
        <v>241</v>
      </c>
      <c r="G44" s="95" t="s">
        <v>78</v>
      </c>
      <c r="H44" s="96" t="s">
        <v>164</v>
      </c>
      <c r="I44" s="78" t="str">
        <f>IFERROR(__xludf.DUMMYFUNCTION("IF(D44="""", """", IFERROR(VLOOKUP(TO_TEXT(D44), '💻 EQUIPOS'!B:H, 7, 0), """"))"),"Desbloqueada")</f>
        <v>Desbloqueada</v>
      </c>
      <c r="J44" s="95" t="s">
        <v>115</v>
      </c>
      <c r="K44" s="95" t="s">
        <v>242</v>
      </c>
      <c r="L44" s="51" t="s">
        <v>243</v>
      </c>
      <c r="M44" s="51" t="s">
        <v>244</v>
      </c>
      <c r="N44" s="51" t="s">
        <v>88</v>
      </c>
      <c r="O44" s="82"/>
      <c r="P44" s="82"/>
      <c r="Q44" s="82"/>
      <c r="R44" s="82"/>
      <c r="S44" s="82"/>
      <c r="T44" s="82"/>
      <c r="U44" s="82"/>
      <c r="V44" s="82"/>
      <c r="W44" s="82"/>
      <c r="X44" s="82"/>
      <c r="Y44" s="82"/>
      <c r="Z44" s="82"/>
      <c r="AA44" s="84"/>
    </row>
    <row r="45">
      <c r="A45" s="47">
        <v>42.0</v>
      </c>
      <c r="B45" s="52" t="str">
        <f t="shared" si="1"/>
        <v>OT-2026-042</v>
      </c>
      <c r="C45" s="103">
        <v>46203.0</v>
      </c>
      <c r="D45" s="127" t="s">
        <v>245</v>
      </c>
      <c r="E45" s="61" t="str">
        <f>IFERROR(__xludf.DUMMYFUNCTION("IF(D45="""", """", IF(REGEXMATCH(TO_TEXT(D45), ""^(AA\d{10}|EDU\d{7}|\d+|SZSES10IS\d{9})$""), ""✅"", ""⚠️""))"),"✅")</f>
        <v>✅</v>
      </c>
      <c r="F45" s="105" t="s">
        <v>241</v>
      </c>
      <c r="G45" s="98" t="s">
        <v>78</v>
      </c>
      <c r="H45" s="99" t="s">
        <v>164</v>
      </c>
      <c r="I45" s="78" t="str">
        <f>IFERROR(__xludf.DUMMYFUNCTION("IF(D45="""", """", IFERROR(VLOOKUP(TO_TEXT(D45), '💻 EQUIPOS'!B:H, 7, 0), """"))"),"Desbloqueada")</f>
        <v>Desbloqueada</v>
      </c>
      <c r="J45" s="98" t="s">
        <v>115</v>
      </c>
      <c r="K45" s="98" t="s">
        <v>166</v>
      </c>
      <c r="L45" s="94" t="s">
        <v>243</v>
      </c>
      <c r="M45" s="94" t="s">
        <v>244</v>
      </c>
      <c r="N45" s="94" t="s">
        <v>88</v>
      </c>
      <c r="O45" s="82"/>
      <c r="P45" s="82"/>
      <c r="Q45" s="82"/>
      <c r="R45" s="82"/>
      <c r="S45" s="82"/>
      <c r="T45" s="82"/>
      <c r="U45" s="82"/>
      <c r="V45" s="82"/>
      <c r="W45" s="82"/>
      <c r="X45" s="82"/>
      <c r="Y45" s="82"/>
      <c r="Z45" s="82"/>
      <c r="AA45" s="84"/>
    </row>
    <row r="46">
      <c r="A46" s="47">
        <v>43.0</v>
      </c>
      <c r="B46" s="52" t="str">
        <f t="shared" si="1"/>
        <v>OT-2026-043</v>
      </c>
      <c r="C46" s="101">
        <v>46203.0</v>
      </c>
      <c r="D46" s="127" t="s">
        <v>246</v>
      </c>
      <c r="E46" s="61" t="str">
        <f>IFERROR(__xludf.DUMMYFUNCTION("IF(D46="""", """", IF(REGEXMATCH(TO_TEXT(D46), ""^(AA\d{10}|EDU\d{7}|\d+|SZSES10IS\d{9})$""), ""✅"", ""⚠️""))"),"✅")</f>
        <v>✅</v>
      </c>
      <c r="F46" s="95" t="s">
        <v>241</v>
      </c>
      <c r="G46" s="95" t="s">
        <v>78</v>
      </c>
      <c r="H46" s="96" t="s">
        <v>164</v>
      </c>
      <c r="I46" s="78" t="str">
        <f>IFERROR(__xludf.DUMMYFUNCTION("IF(D46="""", """", IFERROR(VLOOKUP(TO_TEXT(D46), '💻 EQUIPOS'!B:H, 7, 0), """"))"),"Desbloqueada")</f>
        <v>Desbloqueada</v>
      </c>
      <c r="J46" s="95" t="s">
        <v>105</v>
      </c>
      <c r="K46" s="95" t="s">
        <v>247</v>
      </c>
      <c r="L46" s="51" t="s">
        <v>243</v>
      </c>
      <c r="M46" s="51" t="s">
        <v>244</v>
      </c>
      <c r="N46" s="51" t="s">
        <v>88</v>
      </c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4"/>
    </row>
    <row r="47">
      <c r="A47" s="47">
        <v>44.0</v>
      </c>
      <c r="B47" s="52" t="str">
        <f t="shared" si="1"/>
        <v>OT-2026-044</v>
      </c>
      <c r="C47" s="103">
        <v>46203.0</v>
      </c>
      <c r="D47" s="102" t="s">
        <v>248</v>
      </c>
      <c r="E47" s="61" t="str">
        <f>IFERROR(__xludf.DUMMYFUNCTION("IF(D47="""", """", IF(REGEXMATCH(TO_TEXT(D47), ""^(AA\d{10}|EDU\d{7}|\d+|SZSES10IS\d{9})$""), ""✅"", ""⚠️""))"),"✅")</f>
        <v>✅</v>
      </c>
      <c r="F47" s="105" t="s">
        <v>214</v>
      </c>
      <c r="G47" s="98" t="s">
        <v>78</v>
      </c>
      <c r="H47" s="99" t="s">
        <v>84</v>
      </c>
      <c r="I47" s="78" t="str">
        <f>IFERROR(__xludf.DUMMYFUNCTION("IF(D47="""", """", IFERROR(VLOOKUP(TO_TEXT(D47), '💻 EQUIPOS'!B:H, 7, 0), """"))"),"Bloqueada")</f>
        <v>Bloqueada</v>
      </c>
      <c r="J47" s="98" t="s">
        <v>121</v>
      </c>
      <c r="K47" s="98" t="s">
        <v>247</v>
      </c>
      <c r="L47" s="94" t="s">
        <v>249</v>
      </c>
      <c r="M47" s="94" t="s">
        <v>250</v>
      </c>
      <c r="N47" s="94" t="s">
        <v>88</v>
      </c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4"/>
    </row>
    <row r="48">
      <c r="A48" s="47">
        <v>45.0</v>
      </c>
      <c r="B48" s="52" t="str">
        <f t="shared" si="1"/>
        <v>OT-2026-045</v>
      </c>
      <c r="C48" s="101">
        <v>46203.0</v>
      </c>
      <c r="D48" s="102" t="s">
        <v>251</v>
      </c>
      <c r="E48" s="61" t="str">
        <f>IFERROR(__xludf.DUMMYFUNCTION("IF(D48="""", """", IF(REGEXMATCH(TO_TEXT(D48), ""^(AA\d{10}|EDU\d{7}|\d+|SZSES10IS\d{9})$""), ""✅"", ""⚠️""))"),"✅")</f>
        <v>✅</v>
      </c>
      <c r="F48" s="95" t="s">
        <v>214</v>
      </c>
      <c r="G48" s="95" t="s">
        <v>78</v>
      </c>
      <c r="H48" s="96" t="s">
        <v>165</v>
      </c>
      <c r="I48" s="78" t="str">
        <f>IFERROR(__xludf.DUMMYFUNCTION("IF(D48="""", """", IFERROR(VLOOKUP(TO_TEXT(D48), '💻 EQUIPOS'!B:H, 7, 0), """"))"),"Bloqueada")</f>
        <v>Bloqueada</v>
      </c>
      <c r="J48" s="95" t="s">
        <v>121</v>
      </c>
      <c r="K48" s="95" t="s">
        <v>115</v>
      </c>
      <c r="L48" s="51" t="s">
        <v>252</v>
      </c>
      <c r="M48" s="51" t="s">
        <v>253</v>
      </c>
      <c r="N48" s="51" t="s">
        <v>88</v>
      </c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4"/>
    </row>
    <row r="49">
      <c r="A49" s="47">
        <v>46.0</v>
      </c>
      <c r="B49" s="52" t="str">
        <f t="shared" si="1"/>
        <v>OT-2026-046</v>
      </c>
      <c r="C49" s="103">
        <v>46203.0</v>
      </c>
      <c r="D49" s="104" t="s">
        <v>254</v>
      </c>
      <c r="E49" s="61" t="str">
        <f>IFERROR(__xludf.DUMMYFUNCTION("IF(D49="""", """", IF(REGEXMATCH(TO_TEXT(D49), ""^(AA\d{10}|EDU\d{7}|\d+|SZSES10IS\d{9})$""), ""✅"", ""⚠️""))"),"✅")</f>
        <v>✅</v>
      </c>
      <c r="F49" s="105" t="s">
        <v>214</v>
      </c>
      <c r="G49" s="98" t="s">
        <v>78</v>
      </c>
      <c r="H49" s="99" t="s">
        <v>84</v>
      </c>
      <c r="I49" s="78" t="str">
        <f>IFERROR(__xludf.DUMMYFUNCTION("IF(D49="""", """", IFERROR(VLOOKUP(TO_TEXT(D49), '💻 EQUIPOS'!B:H, 7, 0), """"))"),"Bloqueada")</f>
        <v>Bloqueada</v>
      </c>
      <c r="J49" s="98" t="s">
        <v>161</v>
      </c>
      <c r="K49" s="98" t="s">
        <v>255</v>
      </c>
      <c r="L49" s="94" t="s">
        <v>106</v>
      </c>
      <c r="M49" s="94" t="s">
        <v>256</v>
      </c>
      <c r="N49" s="94" t="s">
        <v>88</v>
      </c>
      <c r="O49" s="129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4"/>
    </row>
    <row r="50">
      <c r="A50" s="47">
        <v>47.0</v>
      </c>
      <c r="B50" s="52" t="str">
        <f t="shared" si="1"/>
        <v>OT-2026-047</v>
      </c>
      <c r="C50" s="101">
        <v>46203.0</v>
      </c>
      <c r="D50" s="102" t="s">
        <v>257</v>
      </c>
      <c r="E50" s="61" t="str">
        <f>IFERROR(__xludf.DUMMYFUNCTION("IF(D50="""", """", IF(REGEXMATCH(TO_TEXT(D50), ""^(AA\d{10}|EDU\d{7}|\d+|SZSES10IS\d{9})$""), ""✅"", ""⚠️""))"),"✅")</f>
        <v>✅</v>
      </c>
      <c r="F50" s="95" t="s">
        <v>214</v>
      </c>
      <c r="G50" s="95" t="s">
        <v>78</v>
      </c>
      <c r="H50" s="96" t="s">
        <v>84</v>
      </c>
      <c r="I50" s="78" t="str">
        <f>IFERROR(__xludf.DUMMYFUNCTION("IF(D50="""", """", IFERROR(VLOOKUP(TO_TEXT(D50), '💻 EQUIPOS'!B:H, 7, 0), """"))"),"Bloqueada")</f>
        <v>Bloqueada</v>
      </c>
      <c r="J50" s="95" t="s">
        <v>161</v>
      </c>
      <c r="K50" s="95" t="s">
        <v>161</v>
      </c>
      <c r="L50" s="51" t="s">
        <v>258</v>
      </c>
      <c r="M50" s="51" t="s">
        <v>259</v>
      </c>
      <c r="N50" s="51" t="s">
        <v>88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4"/>
    </row>
    <row r="51">
      <c r="A51" s="47">
        <v>48.0</v>
      </c>
      <c r="B51" s="52" t="str">
        <f t="shared" si="1"/>
        <v>OT-2026-048</v>
      </c>
      <c r="C51" s="103">
        <v>46203.0</v>
      </c>
      <c r="D51" s="104" t="s">
        <v>260</v>
      </c>
      <c r="E51" s="61" t="str">
        <f>IFERROR(__xludf.DUMMYFUNCTION("IF(D51="""", """", IF(REGEXMATCH(TO_TEXT(D51), ""^(AA\d{10}|EDU\d{7}|\d+|SZSES10IS\d{9})$""), ""✅"", ""⚠️""))"),"✅")</f>
        <v>✅</v>
      </c>
      <c r="F51" s="105" t="s">
        <v>261</v>
      </c>
      <c r="G51" s="98" t="s">
        <v>78</v>
      </c>
      <c r="H51" s="99" t="s">
        <v>120</v>
      </c>
      <c r="I51" s="78" t="str">
        <f>IFERROR(__xludf.DUMMYFUNCTION("IF(D51="""", """", IFERROR(VLOOKUP(TO_TEXT(D51), '💻 EQUIPOS'!B:H, 7, 0), """"))"),"No Enciende")</f>
        <v>No Enciende</v>
      </c>
      <c r="J51" s="89"/>
      <c r="K51" s="89"/>
      <c r="L51" s="29"/>
      <c r="M51" s="94" t="s">
        <v>262</v>
      </c>
      <c r="N51" s="94" t="s">
        <v>112</v>
      </c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4"/>
    </row>
    <row r="52">
      <c r="A52" s="47">
        <v>49.0</v>
      </c>
      <c r="B52" s="52" t="str">
        <f t="shared" si="1"/>
        <v>OT-2026-049</v>
      </c>
      <c r="C52" s="101">
        <v>46203.0</v>
      </c>
      <c r="D52" s="102" t="s">
        <v>263</v>
      </c>
      <c r="E52" s="61" t="str">
        <f>IFERROR(__xludf.DUMMYFUNCTION("IF(D52="""", """", IF(REGEXMATCH(TO_TEXT(D52), ""^(AA\d{10}|EDU\d{7}|\d+|SZSES10IS\d{9})$""), ""✅"", ""⚠️""))"),"✅")</f>
        <v>✅</v>
      </c>
      <c r="F52" s="95" t="s">
        <v>261</v>
      </c>
      <c r="G52" s="95" t="s">
        <v>78</v>
      </c>
      <c r="H52" s="96" t="s">
        <v>164</v>
      </c>
      <c r="I52" s="78" t="str">
        <f>IFERROR(__xludf.DUMMYFUNCTION("IF(D52="""", """", IFERROR(VLOOKUP(TO_TEXT(D52), '💻 EQUIPOS'!B:H, 7, 0), """"))"),"No Enciende")</f>
        <v>No Enciende</v>
      </c>
      <c r="J52" s="61"/>
      <c r="K52" s="61"/>
      <c r="L52" s="37"/>
      <c r="M52" s="51" t="s">
        <v>262</v>
      </c>
      <c r="N52" s="51" t="s">
        <v>112</v>
      </c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4"/>
    </row>
    <row r="53">
      <c r="A53" s="47">
        <v>50.0</v>
      </c>
      <c r="B53" s="52" t="str">
        <f t="shared" si="1"/>
        <v>OT-2026-050</v>
      </c>
      <c r="C53" s="103">
        <v>46203.0</v>
      </c>
      <c r="D53" s="104" t="s">
        <v>264</v>
      </c>
      <c r="E53" s="61" t="str">
        <f>IFERROR(__xludf.DUMMYFUNCTION("IF(D53="""", """", IF(REGEXMATCH(TO_TEXT(D53), ""^(AA\d{10}|EDU\d{7}|\d+|SZSES10IS\d{9})$""), ""✅"", ""⚠️""))"),"✅")</f>
        <v>✅</v>
      </c>
      <c r="F53" s="105" t="s">
        <v>214</v>
      </c>
      <c r="G53" s="98" t="s">
        <v>78</v>
      </c>
      <c r="H53" s="99" t="s">
        <v>165</v>
      </c>
      <c r="I53" s="78" t="str">
        <f>IFERROR(__xludf.DUMMYFUNCTION("IF(D53="""", """", IFERROR(VLOOKUP(TO_TEXT(D53), '💻 EQUIPOS'!B:H, 7, 0), """"))"),"Bloqueada")</f>
        <v>Bloqueada</v>
      </c>
      <c r="J53" s="98" t="s">
        <v>265</v>
      </c>
      <c r="K53" s="98" t="s">
        <v>115</v>
      </c>
      <c r="L53" s="94" t="s">
        <v>266</v>
      </c>
      <c r="M53" s="94" t="s">
        <v>250</v>
      </c>
      <c r="N53" s="94" t="s">
        <v>88</v>
      </c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4"/>
    </row>
    <row r="54">
      <c r="A54" s="130">
        <v>51.0</v>
      </c>
      <c r="B54" s="52" t="str">
        <f t="shared" si="1"/>
        <v>OT-2026-051</v>
      </c>
      <c r="C54" s="103">
        <v>46203.0</v>
      </c>
      <c r="D54" s="104" t="s">
        <v>267</v>
      </c>
      <c r="E54" s="61" t="str">
        <f>IFERROR(__xludf.DUMMYFUNCTION("IF(D54="""", """", IF(REGEXMATCH(TO_TEXT(D54), ""^(AA\d{10}|EDU\d{7}|\d+|SZSES10IS\d{9})$""), ""✅"", ""⚠️""))"),"✅")</f>
        <v>✅</v>
      </c>
      <c r="F54" s="105" t="s">
        <v>214</v>
      </c>
      <c r="G54" s="98" t="s">
        <v>78</v>
      </c>
      <c r="H54" s="99" t="s">
        <v>84</v>
      </c>
      <c r="I54" s="78" t="str">
        <f>IFERROR(__xludf.DUMMYFUNCTION("IF(D54="""", """", IFERROR(VLOOKUP(TO_TEXT(D54), '💻 EQUIPOS'!B:H, 7, 0), """"))"),"Bloqueada")</f>
        <v>Bloqueada</v>
      </c>
      <c r="J54" s="98" t="s">
        <v>268</v>
      </c>
      <c r="K54" s="98" t="s">
        <v>269</v>
      </c>
      <c r="L54" s="94" t="s">
        <v>243</v>
      </c>
      <c r="M54" s="94" t="s">
        <v>270</v>
      </c>
      <c r="N54" s="94" t="s">
        <v>88</v>
      </c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4"/>
    </row>
    <row r="55">
      <c r="A55" s="130">
        <v>52.0</v>
      </c>
      <c r="B55" s="52" t="str">
        <f t="shared" si="1"/>
        <v>OT-2026-052</v>
      </c>
      <c r="C55" s="103">
        <v>46203.0</v>
      </c>
      <c r="D55" s="104" t="s">
        <v>271</v>
      </c>
      <c r="E55" s="61" t="str">
        <f>IFERROR(__xludf.DUMMYFUNCTION("IF(D55="""", """", IF(REGEXMATCH(TO_TEXT(D55), ""^(AA\d{10}|EDU\d{7}|\d+|SZSES10IS\d{9})$""), ""✅"", ""⚠️""))"),"✅")</f>
        <v>✅</v>
      </c>
      <c r="F55" s="105" t="s">
        <v>214</v>
      </c>
      <c r="G55" s="98" t="s">
        <v>78</v>
      </c>
      <c r="H55" s="99" t="s">
        <v>165</v>
      </c>
      <c r="I55" s="78" t="str">
        <f>IFERROR(__xludf.DUMMYFUNCTION("IF(D55="""", """", IFERROR(VLOOKUP(TO_TEXT(D55), '💻 EQUIPOS'!B:H, 7, 0), """"))"),"Bloqueada")</f>
        <v>Bloqueada</v>
      </c>
      <c r="J55" s="98" t="s">
        <v>121</v>
      </c>
      <c r="K55" s="98" t="s">
        <v>105</v>
      </c>
      <c r="L55" s="94" t="s">
        <v>266</v>
      </c>
      <c r="M55" s="94" t="s">
        <v>272</v>
      </c>
      <c r="N55" s="94" t="s">
        <v>88</v>
      </c>
      <c r="O55" s="82"/>
      <c r="P55" s="82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4"/>
    </row>
    <row r="56">
      <c r="A56" s="130">
        <v>53.0</v>
      </c>
      <c r="B56" s="52" t="str">
        <f t="shared" si="1"/>
        <v>OT-2026-053</v>
      </c>
      <c r="C56" s="103">
        <v>46203.0</v>
      </c>
      <c r="D56" s="104" t="s">
        <v>273</v>
      </c>
      <c r="E56" s="61" t="str">
        <f>IFERROR(__xludf.DUMMYFUNCTION("IF(D56="""", """", IF(REGEXMATCH(TO_TEXT(D56), ""^(AA\d{10}|EDU\d{7}|\d+|SZSES10IS\d{9})$""), ""✅"", ""⚠️""))"),"✅")</f>
        <v>✅</v>
      </c>
      <c r="F56" s="105" t="s">
        <v>214</v>
      </c>
      <c r="G56" s="98" t="s">
        <v>78</v>
      </c>
      <c r="H56" s="99" t="s">
        <v>84</v>
      </c>
      <c r="I56" s="78" t="str">
        <f>IFERROR(__xludf.DUMMYFUNCTION("IF(D56="""", """", IFERROR(VLOOKUP(TO_TEXT(D56), '💻 EQUIPOS'!B:H, 7, 0), """"))"),"Bloqueada")</f>
        <v>Bloqueada</v>
      </c>
      <c r="J56" s="98" t="s">
        <v>161</v>
      </c>
      <c r="K56" s="98" t="s">
        <v>247</v>
      </c>
      <c r="L56" s="94" t="s">
        <v>266</v>
      </c>
      <c r="M56" s="94" t="s">
        <v>250</v>
      </c>
      <c r="N56" s="94" t="s">
        <v>88</v>
      </c>
      <c r="O56" s="82"/>
      <c r="P56" s="82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4"/>
    </row>
    <row r="57">
      <c r="A57" s="130">
        <v>54.0</v>
      </c>
      <c r="B57" s="52" t="str">
        <f t="shared" si="1"/>
        <v>OT-2026-054</v>
      </c>
      <c r="C57" s="103">
        <v>46203.0</v>
      </c>
      <c r="D57" s="104" t="s">
        <v>274</v>
      </c>
      <c r="E57" s="61" t="str">
        <f>IFERROR(__xludf.DUMMYFUNCTION("IF(D57="""", """", IF(REGEXMATCH(TO_TEXT(D57), ""^(AA\d{10}|EDU\d{7}|\d+|SZSES10IS\d{9})$""), ""✅"", ""⚠️""))"),"✅")</f>
        <v>✅</v>
      </c>
      <c r="F57" s="105" t="s">
        <v>241</v>
      </c>
      <c r="G57" s="98" t="s">
        <v>78</v>
      </c>
      <c r="H57" s="99" t="s">
        <v>84</v>
      </c>
      <c r="I57" s="78" t="str">
        <f>IFERROR(__xludf.DUMMYFUNCTION("IF(D57="""", """", IFERROR(VLOOKUP(TO_TEXT(D57), '💻 EQUIPOS'!B:H, 7, 0), """"))"),"Desbloqueada")</f>
        <v>Desbloqueada</v>
      </c>
      <c r="J57" s="98" t="s">
        <v>161</v>
      </c>
      <c r="K57" s="98" t="s">
        <v>247</v>
      </c>
      <c r="L57" s="94" t="s">
        <v>243</v>
      </c>
      <c r="M57" s="94" t="s">
        <v>275</v>
      </c>
      <c r="N57" s="94" t="s">
        <v>88</v>
      </c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4"/>
    </row>
    <row r="58">
      <c r="A58" s="130">
        <v>55.0</v>
      </c>
      <c r="B58" s="52" t="str">
        <f t="shared" si="1"/>
        <v>OT-2026-055</v>
      </c>
      <c r="C58" s="103">
        <v>46204.0</v>
      </c>
      <c r="D58" s="104" t="s">
        <v>276</v>
      </c>
      <c r="E58" s="61" t="str">
        <f>IFERROR(__xludf.DUMMYFUNCTION("IF(D58="""", """", IF(REGEXMATCH(TO_TEXT(D58), ""^(AA\d{10}|EDU\d{7}|\d+|SZSES10IS\d{9})$""), ""✅"", ""⚠️""))"),"✅")</f>
        <v>✅</v>
      </c>
      <c r="F58" s="105" t="s">
        <v>241</v>
      </c>
      <c r="G58" s="98" t="s">
        <v>104</v>
      </c>
      <c r="H58" s="99" t="s">
        <v>34</v>
      </c>
      <c r="I58" s="78" t="str">
        <f>IFERROR(__xludf.DUMMYFUNCTION("IF(D58="""", """", IFERROR(VLOOKUP(TO_TEXT(D58), '💻 EQUIPOS'!B:H, 7, 0), """"))"),"Bloqueada")</f>
        <v>Bloqueada</v>
      </c>
      <c r="J58" s="98" t="s">
        <v>161</v>
      </c>
      <c r="K58" s="98" t="s">
        <v>161</v>
      </c>
      <c r="L58" s="94" t="s">
        <v>277</v>
      </c>
      <c r="M58" s="94" t="s">
        <v>278</v>
      </c>
      <c r="N58" s="94" t="s">
        <v>88</v>
      </c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4"/>
    </row>
    <row r="59">
      <c r="A59" s="130">
        <v>56.0</v>
      </c>
      <c r="B59" s="52" t="str">
        <f t="shared" si="1"/>
        <v>OT-2026-056</v>
      </c>
      <c r="C59" s="103">
        <v>46204.0</v>
      </c>
      <c r="D59" s="104" t="s">
        <v>279</v>
      </c>
      <c r="E59" s="61" t="str">
        <f>IFERROR(__xludf.DUMMYFUNCTION("IF(D59="""", """", IF(REGEXMATCH(TO_TEXT(D59), ""^(AA\d{10}|EDU\d{7}|\d+|SZSES10IS\d{9})$""), ""✅"", ""⚠️""))"),"✅")</f>
        <v>✅</v>
      </c>
      <c r="F59" s="105" t="s">
        <v>241</v>
      </c>
      <c r="G59" s="98" t="s">
        <v>104</v>
      </c>
      <c r="H59" s="99" t="s">
        <v>37</v>
      </c>
      <c r="I59" s="78" t="str">
        <f>IFERROR(__xludf.DUMMYFUNCTION("IF(D59="""", """", IFERROR(VLOOKUP(TO_TEXT(D59), '💻 EQUIPOS'!B:H, 7, 0), """"))"),"Bloqueada")</f>
        <v>Bloqueada</v>
      </c>
      <c r="J59" s="98" t="s">
        <v>85</v>
      </c>
      <c r="K59" s="98" t="s">
        <v>115</v>
      </c>
      <c r="L59" s="94" t="s">
        <v>236</v>
      </c>
      <c r="M59" s="94" t="s">
        <v>280</v>
      </c>
      <c r="N59" s="94" t="s">
        <v>88</v>
      </c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4"/>
    </row>
    <row r="60">
      <c r="A60" s="130">
        <v>57.0</v>
      </c>
      <c r="B60" s="52" t="str">
        <f t="shared" si="1"/>
        <v>OT-2026-057</v>
      </c>
      <c r="C60" s="103">
        <v>46204.0</v>
      </c>
      <c r="D60" s="104" t="s">
        <v>281</v>
      </c>
      <c r="E60" s="61" t="str">
        <f>IFERROR(__xludf.DUMMYFUNCTION("IF(D60="""", """", IF(REGEXMATCH(TO_TEXT(D60), ""^(AA\d{10}|EDU\d{7}|\d+|SZSES10IS\d{9})$""), ""✅"", ""⚠️""))"),"✅")</f>
        <v>✅</v>
      </c>
      <c r="F60" s="105" t="s">
        <v>241</v>
      </c>
      <c r="G60" s="98" t="s">
        <v>104</v>
      </c>
      <c r="H60" s="99" t="s">
        <v>34</v>
      </c>
      <c r="I60" s="78" t="str">
        <f>IFERROR(__xludf.DUMMYFUNCTION("IF(D60="""", """", IFERROR(VLOOKUP(TO_TEXT(D60), '💻 EQUIPOS'!B:H, 7, 0), """"))"),"Bloqueada")</f>
        <v>Bloqueada</v>
      </c>
      <c r="J60" s="98" t="s">
        <v>161</v>
      </c>
      <c r="K60" s="98" t="s">
        <v>161</v>
      </c>
      <c r="L60" s="94" t="s">
        <v>236</v>
      </c>
      <c r="M60" s="94" t="s">
        <v>280</v>
      </c>
      <c r="N60" s="94" t="s">
        <v>88</v>
      </c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4"/>
    </row>
    <row r="61">
      <c r="A61" s="130">
        <v>58.0</v>
      </c>
      <c r="B61" s="52" t="str">
        <f t="shared" si="1"/>
        <v>OT-2026-058</v>
      </c>
      <c r="C61" s="103">
        <v>46204.0</v>
      </c>
      <c r="D61" s="104" t="s">
        <v>282</v>
      </c>
      <c r="E61" s="61" t="str">
        <f>IFERROR(__xludf.DUMMYFUNCTION("IF(D61="""", """", IF(REGEXMATCH(TO_TEXT(D61), ""^(AA\d{10}|EDU\d{7}|\d+|SZSES10IS\d{9})$""), ""✅"", ""⚠️""))"),"✅")</f>
        <v>✅</v>
      </c>
      <c r="F61" s="105" t="s">
        <v>241</v>
      </c>
      <c r="G61" s="98" t="s">
        <v>104</v>
      </c>
      <c r="H61" s="99" t="s">
        <v>30</v>
      </c>
      <c r="I61" s="78" t="str">
        <f>IFERROR(__xludf.DUMMYFUNCTION("IF(D61="""", """", IFERROR(VLOOKUP(TO_TEXT(D61), '💻 EQUIPOS'!B:H, 7, 0), """"))"),"Bloqueada")</f>
        <v>Bloqueada</v>
      </c>
      <c r="J61" s="98" t="s">
        <v>161</v>
      </c>
      <c r="K61" s="98" t="s">
        <v>166</v>
      </c>
      <c r="L61" s="94" t="s">
        <v>236</v>
      </c>
      <c r="M61" s="94" t="s">
        <v>283</v>
      </c>
      <c r="N61" s="94" t="s">
        <v>88</v>
      </c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4"/>
    </row>
    <row r="62">
      <c r="A62" s="130">
        <v>59.0</v>
      </c>
      <c r="B62" s="52" t="str">
        <f t="shared" si="1"/>
        <v>OT-2026-059</v>
      </c>
      <c r="C62" s="103">
        <v>46204.0</v>
      </c>
      <c r="D62" s="104" t="s">
        <v>284</v>
      </c>
      <c r="E62" s="61" t="str">
        <f>IFERROR(__xludf.DUMMYFUNCTION("IF(D62="""", """", IF(REGEXMATCH(TO_TEXT(D62), ""^(AA\d{10}|EDU\d{7}|\d+|SZSES10IS\d{9})$""), ""✅"", ""⚠️""))"),"✅")</f>
        <v>✅</v>
      </c>
      <c r="F62" s="105" t="s">
        <v>241</v>
      </c>
      <c r="G62" s="98" t="s">
        <v>104</v>
      </c>
      <c r="H62" s="99" t="s">
        <v>37</v>
      </c>
      <c r="I62" s="78" t="str">
        <f>IFERROR(__xludf.DUMMYFUNCTION("IF(D62="""", """", IFERROR(VLOOKUP(TO_TEXT(D62), '💻 EQUIPOS'!B:H, 7, 0), """"))"),"Bloqueada")</f>
        <v>Bloqueada</v>
      </c>
      <c r="J62" s="98" t="s">
        <v>161</v>
      </c>
      <c r="K62" s="98" t="s">
        <v>285</v>
      </c>
      <c r="L62" s="94" t="s">
        <v>236</v>
      </c>
      <c r="M62" s="29"/>
      <c r="N62" s="94" t="s">
        <v>88</v>
      </c>
      <c r="O62" s="82"/>
      <c r="P62" s="82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4"/>
    </row>
    <row r="63">
      <c r="A63" s="130">
        <v>60.0</v>
      </c>
      <c r="B63" s="52" t="str">
        <f t="shared" si="1"/>
        <v>OT-2026-060</v>
      </c>
      <c r="C63" s="103">
        <v>46204.0</v>
      </c>
      <c r="D63" s="104" t="s">
        <v>286</v>
      </c>
      <c r="E63" s="61" t="str">
        <f>IFERROR(__xludf.DUMMYFUNCTION("IF(D63="""", """", IF(REGEXMATCH(TO_TEXT(D63), ""^(AA\d{10}|EDU\d{7}|\d+|SZSES10IS\d{9})$""), ""✅"", ""⚠️""))"),"✅")</f>
        <v>✅</v>
      </c>
      <c r="F63" s="105" t="s">
        <v>241</v>
      </c>
      <c r="G63" s="98" t="s">
        <v>104</v>
      </c>
      <c r="H63" s="99" t="s">
        <v>34</v>
      </c>
      <c r="I63" s="78" t="str">
        <f>IFERROR(__xludf.DUMMYFUNCTION("IF(D63="""", """", IFERROR(VLOOKUP(TO_TEXT(D63), '💻 EQUIPOS'!B:H, 7, 0), """"))"),"Desbloqueada")</f>
        <v>Desbloqueada</v>
      </c>
      <c r="J63" s="98" t="s">
        <v>161</v>
      </c>
      <c r="K63" s="98" t="s">
        <v>115</v>
      </c>
      <c r="L63" s="29"/>
      <c r="M63" s="94" t="s">
        <v>287</v>
      </c>
      <c r="N63" s="94" t="s">
        <v>88</v>
      </c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4"/>
    </row>
    <row r="64">
      <c r="A64" s="130">
        <v>61.0</v>
      </c>
      <c r="B64" s="52" t="str">
        <f t="shared" si="1"/>
        <v>OT-2026-061</v>
      </c>
      <c r="C64" s="103">
        <v>46204.0</v>
      </c>
      <c r="D64" s="104" t="s">
        <v>288</v>
      </c>
      <c r="E64" s="61" t="str">
        <f>IFERROR(__xludf.DUMMYFUNCTION("IF(D64="""", """", IF(REGEXMATCH(TO_TEXT(D64), ""^(AA\d{10}|EDU\d{7}|\d+|SZSES10IS\d{9})$""), ""✅"", ""⚠️""))"),"✅")</f>
        <v>✅</v>
      </c>
      <c r="F64" s="105" t="s">
        <v>241</v>
      </c>
      <c r="G64" s="98" t="s">
        <v>104</v>
      </c>
      <c r="H64" s="99" t="s">
        <v>30</v>
      </c>
      <c r="I64" s="78" t="str">
        <f>IFERROR(__xludf.DUMMYFUNCTION("IF(D64="""", """", IFERROR(VLOOKUP(TO_TEXT(D64), '💻 EQUIPOS'!B:H, 7, 0), """"))"),"Desbloqueada")</f>
        <v>Desbloqueada</v>
      </c>
      <c r="J64" s="98" t="s">
        <v>161</v>
      </c>
      <c r="K64" s="98" t="s">
        <v>115</v>
      </c>
      <c r="L64" s="29"/>
      <c r="M64" s="94" t="s">
        <v>289</v>
      </c>
      <c r="N64" s="94" t="s">
        <v>88</v>
      </c>
      <c r="O64" s="82"/>
      <c r="P64" s="82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4"/>
    </row>
    <row r="65">
      <c r="A65" s="130">
        <v>62.0</v>
      </c>
      <c r="B65" s="52" t="str">
        <f t="shared" si="1"/>
        <v>OT-2026-062</v>
      </c>
      <c r="C65" s="103">
        <v>46205.0</v>
      </c>
      <c r="D65" s="104" t="s">
        <v>290</v>
      </c>
      <c r="E65" s="61" t="str">
        <f>IFERROR(__xludf.DUMMYFUNCTION("IF(D65="""", """", IF(REGEXMATCH(TO_TEXT(D65), ""^(AA\d{10}|EDU\d{7}|\d+|SZSES10IS\d{9})$""), ""✅"", ""⚠️""))"),"✅")</f>
        <v>✅</v>
      </c>
      <c r="F65" s="105" t="s">
        <v>241</v>
      </c>
      <c r="G65" s="98" t="s">
        <v>78</v>
      </c>
      <c r="H65" s="99" t="s">
        <v>84</v>
      </c>
      <c r="I65" s="78" t="str">
        <f>IFERROR(__xludf.DUMMYFUNCTION("IF(D65="""", """", IFERROR(VLOOKUP(TO_TEXT(D65), '💻 EQUIPOS'!B:H, 7, 0), """"))"),"Desbloqueada")</f>
        <v>Desbloqueada</v>
      </c>
      <c r="J65" s="98" t="s">
        <v>161</v>
      </c>
      <c r="K65" s="98" t="s">
        <v>285</v>
      </c>
      <c r="L65" s="94" t="s">
        <v>291</v>
      </c>
      <c r="M65" s="94" t="s">
        <v>292</v>
      </c>
      <c r="N65" s="94" t="s">
        <v>88</v>
      </c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4"/>
    </row>
    <row r="66">
      <c r="A66" s="130">
        <v>63.0</v>
      </c>
      <c r="B66" s="52" t="str">
        <f t="shared" si="1"/>
        <v>OT-2026-063</v>
      </c>
      <c r="C66" s="103">
        <v>46204.0</v>
      </c>
      <c r="D66" s="104" t="s">
        <v>293</v>
      </c>
      <c r="E66" s="61" t="str">
        <f>IFERROR(__xludf.DUMMYFUNCTION("IF(D66="""", """", IF(REGEXMATCH(TO_TEXT(D66), ""^(AA\d{10}|EDU\d{7}|\d+|SZSES10IS\d{9})$""), ""✅"", ""⚠️""))"),"✅")</f>
        <v>✅</v>
      </c>
      <c r="F66" s="105" t="s">
        <v>241</v>
      </c>
      <c r="G66" s="98" t="s">
        <v>104</v>
      </c>
      <c r="H66" s="99" t="s">
        <v>34</v>
      </c>
      <c r="I66" s="78" t="str">
        <f>IFERROR(__xludf.DUMMYFUNCTION("IF(D66="""", """", IFERROR(VLOOKUP(TO_TEXT(D66), '💻 EQUIPOS'!B:H, 7, 0), """"))"),"Desbloqueada")</f>
        <v>Desbloqueada</v>
      </c>
      <c r="J66" s="98" t="s">
        <v>161</v>
      </c>
      <c r="K66" s="98" t="s">
        <v>285</v>
      </c>
      <c r="L66" s="94" t="s">
        <v>294</v>
      </c>
      <c r="M66" s="29"/>
      <c r="N66" s="94" t="s">
        <v>88</v>
      </c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4"/>
    </row>
    <row r="67">
      <c r="A67" s="130">
        <v>64.0</v>
      </c>
      <c r="B67" s="52" t="str">
        <f t="shared" si="1"/>
        <v>OT-2026-064</v>
      </c>
      <c r="C67" s="103">
        <v>46204.0</v>
      </c>
      <c r="D67" s="104" t="s">
        <v>295</v>
      </c>
      <c r="E67" s="61" t="str">
        <f>IFERROR(__xludf.DUMMYFUNCTION("IF(D67="""", """", IF(REGEXMATCH(TO_TEXT(D67), ""^(AA\d{10}|EDU\d{7}|\d+|SZSES10IS\d{9})$""), ""✅"", ""⚠️""))"),"✅")</f>
        <v>✅</v>
      </c>
      <c r="F67" s="105" t="s">
        <v>241</v>
      </c>
      <c r="G67" s="98" t="s">
        <v>104</v>
      </c>
      <c r="H67" s="99" t="s">
        <v>34</v>
      </c>
      <c r="I67" s="78" t="str">
        <f>IFERROR(__xludf.DUMMYFUNCTION("IF(D67="""", """", IFERROR(VLOOKUP(TO_TEXT(D67), '💻 EQUIPOS'!B:H, 7, 0), """"))"),"Desbloqueada")</f>
        <v>Desbloqueada</v>
      </c>
      <c r="J67" s="98" t="s">
        <v>161</v>
      </c>
      <c r="K67" s="98" t="s">
        <v>285</v>
      </c>
      <c r="L67" s="29"/>
      <c r="M67" s="94" t="s">
        <v>289</v>
      </c>
      <c r="N67" s="94" t="s">
        <v>88</v>
      </c>
      <c r="O67" s="82"/>
      <c r="P67" s="82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4"/>
    </row>
    <row r="68">
      <c r="A68" s="130">
        <v>65.0</v>
      </c>
      <c r="B68" s="52" t="str">
        <f t="shared" si="1"/>
        <v>OT-2026-065</v>
      </c>
      <c r="C68" s="103">
        <v>46205.0</v>
      </c>
      <c r="D68" s="104" t="s">
        <v>296</v>
      </c>
      <c r="E68" s="61" t="str">
        <f>IFERROR(__xludf.DUMMYFUNCTION("IF(D68="""", """", IF(REGEXMATCH(TO_TEXT(D68), ""^(AA\d{10}|EDU\d{7}|\d+|SZSES10IS\d{9})$""), ""✅"", ""⚠️""))"),"✅")</f>
        <v>✅</v>
      </c>
      <c r="F68" s="105" t="s">
        <v>241</v>
      </c>
      <c r="G68" s="98" t="s">
        <v>78</v>
      </c>
      <c r="H68" s="99" t="s">
        <v>111</v>
      </c>
      <c r="I68" s="78" t="str">
        <f>IFERROR(__xludf.DUMMYFUNCTION("IF(D68="""", """", IFERROR(VLOOKUP(TO_TEXT(D68), '💻 EQUIPOS'!B:H, 7, 0), """"))"),"Desbloqueada")</f>
        <v>Desbloqueada</v>
      </c>
      <c r="J68" s="98" t="s">
        <v>161</v>
      </c>
      <c r="K68" s="98" t="s">
        <v>285</v>
      </c>
      <c r="L68" s="29"/>
      <c r="M68" s="94" t="s">
        <v>297</v>
      </c>
      <c r="N68" s="94" t="s">
        <v>88</v>
      </c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4"/>
    </row>
    <row r="69">
      <c r="A69" s="130">
        <v>66.0</v>
      </c>
      <c r="B69" s="52" t="str">
        <f t="shared" si="1"/>
        <v>OT-2026-066</v>
      </c>
      <c r="C69" s="103">
        <v>46205.0</v>
      </c>
      <c r="D69" s="104" t="s">
        <v>298</v>
      </c>
      <c r="E69" s="61" t="str">
        <f>IFERROR(__xludf.DUMMYFUNCTION("IF(D69="""", """", IF(REGEXMATCH(TO_TEXT(D69), ""^(AA\d{10}|EDU\d{7}|\d+|SZSES10IS\d{9})$""), ""✅"", ""⚠️""))"),"✅")</f>
        <v>✅</v>
      </c>
      <c r="F69" s="105" t="s">
        <v>241</v>
      </c>
      <c r="G69" s="98" t="s">
        <v>78</v>
      </c>
      <c r="H69" s="99" t="s">
        <v>111</v>
      </c>
      <c r="I69" s="78" t="str">
        <f>IFERROR(__xludf.DUMMYFUNCTION("IF(D69="""", """", IFERROR(VLOOKUP(TO_TEXT(D69), '💻 EQUIPOS'!B:H, 7, 0), """"))"),"Desbloqueada")</f>
        <v>Desbloqueada</v>
      </c>
      <c r="J69" s="98" t="s">
        <v>161</v>
      </c>
      <c r="K69" s="98" t="s">
        <v>285</v>
      </c>
      <c r="L69" s="29"/>
      <c r="M69" s="94" t="s">
        <v>299</v>
      </c>
      <c r="N69" s="94" t="s">
        <v>88</v>
      </c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20"/>
    </row>
    <row r="70">
      <c r="A70" s="130">
        <v>67.0</v>
      </c>
      <c r="B70" s="52" t="str">
        <f t="shared" si="1"/>
        <v>OT-2026-067</v>
      </c>
      <c r="C70" s="103">
        <v>46205.0</v>
      </c>
      <c r="D70" s="104" t="s">
        <v>300</v>
      </c>
      <c r="E70" s="61" t="str">
        <f>IFERROR(__xludf.DUMMYFUNCTION("IF(D70="""", """", IF(REGEXMATCH(TO_TEXT(D70), ""^(AA\d{10}|EDU\d{7}|\d+|SZSES10IS\d{9})$""), ""✅"", ""⚠️""))"),"✅")</f>
        <v>✅</v>
      </c>
      <c r="F70" s="105" t="s">
        <v>241</v>
      </c>
      <c r="G70" s="98" t="s">
        <v>78</v>
      </c>
      <c r="H70" s="99" t="s">
        <v>111</v>
      </c>
      <c r="I70" s="78" t="str">
        <f>IFERROR(__xludf.DUMMYFUNCTION("IF(D70="""", """", IFERROR(VLOOKUP(TO_TEXT(D70), '💻 EQUIPOS'!B:H, 7, 0), """"))"),"Desbloqueada")</f>
        <v>Desbloqueada</v>
      </c>
      <c r="J70" s="98" t="s">
        <v>161</v>
      </c>
      <c r="K70" s="98" t="s">
        <v>285</v>
      </c>
      <c r="L70" s="29"/>
      <c r="M70" s="94" t="s">
        <v>297</v>
      </c>
      <c r="N70" s="94" t="s">
        <v>88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20"/>
    </row>
    <row r="71">
      <c r="A71" s="130">
        <v>68.0</v>
      </c>
      <c r="B71" s="52" t="str">
        <f t="shared" si="1"/>
        <v>OT-2026-068</v>
      </c>
      <c r="C71" s="103">
        <v>46204.0</v>
      </c>
      <c r="D71" s="104" t="s">
        <v>301</v>
      </c>
      <c r="E71" s="61" t="str">
        <f>IFERROR(__xludf.DUMMYFUNCTION("IF(D71="""", """", IF(REGEXMATCH(TO_TEXT(D71), ""^(AA\d{10}|EDU\d{7}|\d+|SZSES10IS\d{9})$""), ""✅"", ""⚠️""))"),"✅")</f>
        <v>✅</v>
      </c>
      <c r="F71" s="105" t="s">
        <v>241</v>
      </c>
      <c r="G71" s="98" t="s">
        <v>104</v>
      </c>
      <c r="H71" s="99" t="s">
        <v>34</v>
      </c>
      <c r="I71" s="78" t="str">
        <f>IFERROR(__xludf.DUMMYFUNCTION("IF(D71="""", """", IFERROR(VLOOKUP(TO_TEXT(D71), '💻 EQUIPOS'!B:H, 7, 0), """"))"),"Desbloqueada")</f>
        <v>Desbloqueada</v>
      </c>
      <c r="J71" s="98" t="s">
        <v>161</v>
      </c>
      <c r="K71" s="98" t="s">
        <v>285</v>
      </c>
      <c r="L71" s="29"/>
      <c r="M71" s="94" t="s">
        <v>302</v>
      </c>
      <c r="N71" s="94" t="s">
        <v>88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20"/>
    </row>
    <row r="72">
      <c r="A72" s="130">
        <v>69.0</v>
      </c>
      <c r="B72" s="52" t="str">
        <f t="shared" si="1"/>
        <v>OT-2026-069</v>
      </c>
      <c r="C72" s="103">
        <v>46205.0</v>
      </c>
      <c r="D72" s="104" t="s">
        <v>303</v>
      </c>
      <c r="E72" s="61" t="str">
        <f>IFERROR(__xludf.DUMMYFUNCTION("IF(D72="""", """", IF(REGEXMATCH(TO_TEXT(D72), ""^(AA\d{10}|EDU\d{7}|\d+|SZSES10IS\d{9})$""), ""✅"", ""⚠️""))"),"✅")</f>
        <v>✅</v>
      </c>
      <c r="F72" s="105" t="s">
        <v>241</v>
      </c>
      <c r="G72" s="98" t="s">
        <v>78</v>
      </c>
      <c r="H72" s="99" t="s">
        <v>111</v>
      </c>
      <c r="I72" s="78" t="str">
        <f>IFERROR(__xludf.DUMMYFUNCTION("IF(D72="""", """", IFERROR(VLOOKUP(TO_TEXT(D72), '💻 EQUIPOS'!B:H, 7, 0), """"))"),"Desbloqueada")</f>
        <v>Desbloqueada</v>
      </c>
      <c r="J72" s="98" t="s">
        <v>161</v>
      </c>
      <c r="K72" s="98" t="s">
        <v>285</v>
      </c>
      <c r="L72" s="29"/>
      <c r="M72" s="94" t="s">
        <v>297</v>
      </c>
      <c r="N72" s="94" t="s">
        <v>88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20"/>
    </row>
    <row r="73">
      <c r="A73" s="130">
        <v>70.0</v>
      </c>
      <c r="B73" s="52" t="str">
        <f t="shared" si="1"/>
        <v>OT-2026-070</v>
      </c>
      <c r="C73" s="103">
        <v>46204.0</v>
      </c>
      <c r="D73" s="104" t="s">
        <v>304</v>
      </c>
      <c r="E73" s="61" t="str">
        <f>IFERROR(__xludf.DUMMYFUNCTION("IF(D73="""", """", IF(REGEXMATCH(TO_TEXT(D73), ""^(AA\d{10}|EDU\d{7}|\d+|SZSES10IS\d{9})$""), ""✅"", ""⚠️""))"),"✅")</f>
        <v>✅</v>
      </c>
      <c r="F73" s="105" t="s">
        <v>241</v>
      </c>
      <c r="G73" s="98" t="s">
        <v>104</v>
      </c>
      <c r="H73" s="99" t="s">
        <v>111</v>
      </c>
      <c r="I73" s="78" t="str">
        <f>IFERROR(__xludf.DUMMYFUNCTION("IF(D73="""", """", IFERROR(VLOOKUP(TO_TEXT(D73), '💻 EQUIPOS'!B:H, 7, 0), """"))"),"Desbloqueada")</f>
        <v>Desbloqueada</v>
      </c>
      <c r="J73" s="98" t="s">
        <v>161</v>
      </c>
      <c r="K73" s="98" t="s">
        <v>285</v>
      </c>
      <c r="L73" s="29"/>
      <c r="M73" s="94" t="s">
        <v>289</v>
      </c>
      <c r="N73" s="94" t="s">
        <v>88</v>
      </c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20"/>
    </row>
    <row r="74">
      <c r="A74" s="130">
        <v>71.0</v>
      </c>
      <c r="B74" s="52" t="str">
        <f t="shared" si="1"/>
        <v>OT-2026-071</v>
      </c>
      <c r="C74" s="103">
        <v>46205.0</v>
      </c>
      <c r="D74" s="104" t="s">
        <v>305</v>
      </c>
      <c r="E74" s="61" t="str">
        <f>IFERROR(__xludf.DUMMYFUNCTION("IF(D74="""", """", IF(REGEXMATCH(TO_TEXT(D74), ""^(AA\d{10}|EDU\d{7}|\d+|SZSES10IS\d{9})$""), ""✅"", ""⚠️""))"),"✅")</f>
        <v>✅</v>
      </c>
      <c r="F74" s="105" t="s">
        <v>77</v>
      </c>
      <c r="G74" s="98" t="s">
        <v>104</v>
      </c>
      <c r="H74" s="99" t="s">
        <v>33</v>
      </c>
      <c r="I74" s="78" t="str">
        <f>IFERROR(__xludf.DUMMYFUNCTION("IF(D74="""", """", IFERROR(VLOOKUP(TO_TEXT(D74), '💻 EQUIPOS'!B:H, 7, 0), """"))"),"Bloqueada")</f>
        <v>Bloqueada</v>
      </c>
      <c r="J74" s="98" t="s">
        <v>115</v>
      </c>
      <c r="K74" s="98" t="s">
        <v>285</v>
      </c>
      <c r="L74" s="94" t="s">
        <v>236</v>
      </c>
      <c r="M74" s="94" t="s">
        <v>306</v>
      </c>
      <c r="N74" s="94" t="s">
        <v>88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20"/>
    </row>
    <row r="75">
      <c r="A75" s="130">
        <v>72.0</v>
      </c>
      <c r="B75" s="52" t="str">
        <f t="shared" si="1"/>
        <v>OT-2026-072</v>
      </c>
      <c r="C75" s="103">
        <v>46205.0</v>
      </c>
      <c r="D75" s="104" t="s">
        <v>307</v>
      </c>
      <c r="E75" s="61" t="str">
        <f>IFERROR(__xludf.DUMMYFUNCTION("IF(D75="""", """", IF(REGEXMATCH(TO_TEXT(D75), ""^(AA\d{10}|EDU\d{7}|\d+|SZSES10IS\d{9})$""), ""✅"", ""⚠️""))"),"✅")</f>
        <v>✅</v>
      </c>
      <c r="F75" s="105" t="s">
        <v>77</v>
      </c>
      <c r="G75" s="98" t="s">
        <v>104</v>
      </c>
      <c r="H75" s="99" t="s">
        <v>33</v>
      </c>
      <c r="I75" s="78" t="str">
        <f>IFERROR(__xludf.DUMMYFUNCTION("IF(D75="""", """", IFERROR(VLOOKUP(TO_TEXT(D75), '💻 EQUIPOS'!B:H, 7, 0), """"))"),"Bloqueada")</f>
        <v>Bloqueada</v>
      </c>
      <c r="J75" s="98" t="s">
        <v>115</v>
      </c>
      <c r="K75" s="98" t="s">
        <v>285</v>
      </c>
      <c r="L75" s="94" t="s">
        <v>308</v>
      </c>
      <c r="M75" s="94" t="s">
        <v>309</v>
      </c>
      <c r="N75" s="94" t="s">
        <v>310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20"/>
    </row>
    <row r="76">
      <c r="A76" s="130">
        <v>73.0</v>
      </c>
      <c r="B76" s="52" t="str">
        <f t="shared" si="1"/>
        <v>OT-2026-073</v>
      </c>
      <c r="C76" s="103">
        <v>46205.0</v>
      </c>
      <c r="D76" s="104" t="s">
        <v>311</v>
      </c>
      <c r="E76" s="61" t="str">
        <f>IFERROR(__xludf.DUMMYFUNCTION("IF(D76="""", """", IF(REGEXMATCH(TO_TEXT(D76), ""^(AA\d{10}|EDU\d{7}|\d+|SZSES10IS\d{9})$""), ""✅"", ""⚠️""))"),"✅")</f>
        <v>✅</v>
      </c>
      <c r="F76" s="105" t="s">
        <v>77</v>
      </c>
      <c r="G76" s="98" t="s">
        <v>78</v>
      </c>
      <c r="H76" s="99" t="s">
        <v>120</v>
      </c>
      <c r="I76" s="78" t="str">
        <f>IFERROR(__xludf.DUMMYFUNCTION("IF(D76="""", """", IFERROR(VLOOKUP(TO_TEXT(D76), '💻 EQUIPOS'!B:H, 7, 0), """"))"),"Bloqueada")</f>
        <v>Bloqueada</v>
      </c>
      <c r="J76" s="98" t="s">
        <v>285</v>
      </c>
      <c r="K76" s="98" t="s">
        <v>312</v>
      </c>
      <c r="L76" s="94" t="s">
        <v>313</v>
      </c>
      <c r="M76" s="29"/>
      <c r="N76" s="94" t="s">
        <v>88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20"/>
    </row>
    <row r="77">
      <c r="A77" s="130">
        <v>74.0</v>
      </c>
      <c r="B77" s="52" t="str">
        <f t="shared" si="1"/>
        <v>OT-2026-074</v>
      </c>
      <c r="C77" s="103">
        <v>46205.0</v>
      </c>
      <c r="D77" s="104" t="s">
        <v>314</v>
      </c>
      <c r="E77" s="61" t="str">
        <f>IFERROR(__xludf.DUMMYFUNCTION("IF(D77="""", """", IF(REGEXMATCH(TO_TEXT(D77), ""^(AA\d{10}|EDU\d{7}|\d+|SZSES10IS\d{9})$""), ""✅"", ""⚠️""))"),"✅")</f>
        <v>✅</v>
      </c>
      <c r="F77" s="105" t="s">
        <v>77</v>
      </c>
      <c r="G77" s="98" t="s">
        <v>78</v>
      </c>
      <c r="H77" s="99" t="s">
        <v>84</v>
      </c>
      <c r="I77" s="78" t="str">
        <f>IFERROR(__xludf.DUMMYFUNCTION("IF(D77="""", """", IFERROR(VLOOKUP(TO_TEXT(D77), '💻 EQUIPOS'!B:H, 7, 0), """"))"),"Bloqueada")</f>
        <v>Bloqueada</v>
      </c>
      <c r="J77" s="98" t="s">
        <v>285</v>
      </c>
      <c r="K77" s="89"/>
      <c r="L77" s="94" t="s">
        <v>315</v>
      </c>
      <c r="M77" s="29"/>
      <c r="N77" s="94" t="s">
        <v>88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20"/>
    </row>
    <row r="78">
      <c r="A78" s="130">
        <v>75.0</v>
      </c>
      <c r="B78" s="52" t="str">
        <f t="shared" si="1"/>
        <v>OT-2026-075</v>
      </c>
      <c r="C78" s="103">
        <v>46205.0</v>
      </c>
      <c r="D78" s="104" t="s">
        <v>316</v>
      </c>
      <c r="E78" s="61" t="str">
        <f>IFERROR(__xludf.DUMMYFUNCTION("IF(D78="""", """", IF(REGEXMATCH(TO_TEXT(D78), ""^(AA\d{10}|EDU\d{7}|\d+|SZSES10IS\d{9})$""), ""✅"", ""⚠️""))"),"⚠️")</f>
        <v>⚠️</v>
      </c>
      <c r="F78" s="105" t="s">
        <v>261</v>
      </c>
      <c r="G78" s="98" t="s">
        <v>78</v>
      </c>
      <c r="H78" s="99" t="s">
        <v>164</v>
      </c>
      <c r="I78" s="78" t="str">
        <f>IFERROR(__xludf.DUMMYFUNCTION("IF(D78="""", """", IFERROR(VLOOKUP(TO_TEXT(D78), '💻 EQUIPOS'!B:H, 7, 0), """"))"),"Diagnosticada")</f>
        <v>Diagnosticada</v>
      </c>
      <c r="J78" s="98" t="s">
        <v>161</v>
      </c>
      <c r="K78" s="98" t="s">
        <v>317</v>
      </c>
      <c r="L78" s="94" t="s">
        <v>318</v>
      </c>
      <c r="M78" s="94" t="s">
        <v>319</v>
      </c>
      <c r="N78" s="94" t="s">
        <v>88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20"/>
    </row>
    <row r="79">
      <c r="A79" s="130">
        <v>76.0</v>
      </c>
      <c r="B79" s="52" t="str">
        <f t="shared" si="1"/>
        <v>OT-2026-076</v>
      </c>
      <c r="C79" s="103">
        <v>46205.0</v>
      </c>
      <c r="D79" s="104" t="s">
        <v>320</v>
      </c>
      <c r="E79" s="61" t="str">
        <f>IFERROR(__xludf.DUMMYFUNCTION("IF(D79="""", """", IF(REGEXMATCH(TO_TEXT(D79), ""^(AA\d{10}|EDU\d{7}|\d+|SZSES10IS\d{9})$""), ""✅"", ""⚠️""))"),"⚠️")</f>
        <v>⚠️</v>
      </c>
      <c r="F79" s="105" t="s">
        <v>261</v>
      </c>
      <c r="G79" s="98" t="s">
        <v>78</v>
      </c>
      <c r="H79" s="99" t="s">
        <v>164</v>
      </c>
      <c r="I79" s="78" t="str">
        <f>IFERROR(__xludf.DUMMYFUNCTION("IF(D79="""", """", IFERROR(VLOOKUP(TO_TEXT(D79), '💻 EQUIPOS'!B:H, 7, 0), """"))"),"Diagnosticada")</f>
        <v>Diagnosticada</v>
      </c>
      <c r="J79" s="98" t="s">
        <v>161</v>
      </c>
      <c r="K79" s="98" t="s">
        <v>317</v>
      </c>
      <c r="L79" s="94" t="s">
        <v>318</v>
      </c>
      <c r="M79" s="94" t="s">
        <v>319</v>
      </c>
      <c r="N79" s="94" t="s">
        <v>88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20"/>
    </row>
    <row r="80">
      <c r="A80" s="130">
        <v>77.0</v>
      </c>
      <c r="B80" s="52" t="str">
        <f t="shared" si="1"/>
        <v>OT-2026-077</v>
      </c>
      <c r="C80" s="103">
        <v>46205.0</v>
      </c>
      <c r="D80" s="104" t="s">
        <v>321</v>
      </c>
      <c r="E80" s="61" t="str">
        <f>IFERROR(__xludf.DUMMYFUNCTION("IF(D80="""", """", IF(REGEXMATCH(TO_TEXT(D80), ""^(AA\d{10}|EDU\d{7}|\d+|SZSES10IS\d{9})$""), ""✅"", ""⚠️""))"),"⚠️")</f>
        <v>⚠️</v>
      </c>
      <c r="F80" s="105" t="s">
        <v>261</v>
      </c>
      <c r="G80" s="98" t="s">
        <v>78</v>
      </c>
      <c r="H80" s="99" t="s">
        <v>164</v>
      </c>
      <c r="I80" s="78" t="str">
        <f>IFERROR(__xludf.DUMMYFUNCTION("IF(D80="""", """", IFERROR(VLOOKUP(TO_TEXT(D80), '💻 EQUIPOS'!B:H, 7, 0), """"))"),"Diagnosticada")</f>
        <v>Diagnosticada</v>
      </c>
      <c r="J80" s="98" t="s">
        <v>161</v>
      </c>
      <c r="K80" s="98" t="s">
        <v>317</v>
      </c>
      <c r="L80" s="94" t="s">
        <v>318</v>
      </c>
      <c r="M80" s="94" t="s">
        <v>319</v>
      </c>
      <c r="N80" s="94" t="s">
        <v>88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20"/>
    </row>
    <row r="81">
      <c r="A81" s="130">
        <v>78.0</v>
      </c>
      <c r="B81" s="52" t="str">
        <f t="shared" si="1"/>
        <v>OT-2026-078</v>
      </c>
      <c r="C81" s="103">
        <v>46205.0</v>
      </c>
      <c r="D81" s="104" t="s">
        <v>322</v>
      </c>
      <c r="E81" s="61" t="str">
        <f>IFERROR(__xludf.DUMMYFUNCTION("IF(D81="""", """", IF(REGEXMATCH(TO_TEXT(D81), ""^(AA\d{10}|EDU\d{7}|\d+|SZSES10IS\d{9})$""), ""✅"", ""⚠️""))"),"⚠️")</f>
        <v>⚠️</v>
      </c>
      <c r="F81" s="105" t="s">
        <v>261</v>
      </c>
      <c r="G81" s="98" t="s">
        <v>78</v>
      </c>
      <c r="H81" s="99" t="s">
        <v>164</v>
      </c>
      <c r="I81" s="78" t="str">
        <f>IFERROR(__xludf.DUMMYFUNCTION("IF(D81="""", """", IFERROR(VLOOKUP(TO_TEXT(D81), '💻 EQUIPOS'!B:H, 7, 0), """"))"),"Diagnosticada")</f>
        <v>Diagnosticada</v>
      </c>
      <c r="J81" s="98" t="s">
        <v>161</v>
      </c>
      <c r="K81" s="98" t="s">
        <v>317</v>
      </c>
      <c r="L81" s="94" t="s">
        <v>318</v>
      </c>
      <c r="M81" s="94" t="s">
        <v>319</v>
      </c>
      <c r="N81" s="94" t="s">
        <v>88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20"/>
    </row>
    <row r="82">
      <c r="A82" s="130">
        <v>79.0</v>
      </c>
      <c r="B82" s="52" t="str">
        <f t="shared" si="1"/>
        <v>OT-2026-079</v>
      </c>
      <c r="C82" s="103">
        <v>46205.0</v>
      </c>
      <c r="D82" s="104" t="s">
        <v>323</v>
      </c>
      <c r="E82" s="61" t="str">
        <f>IFERROR(__xludf.DUMMYFUNCTION("IF(D82="""", """", IF(REGEXMATCH(TO_TEXT(D82), ""^(AA\d{10}|EDU\d{7}|\d+|SZSES10IS\d{9})$""), ""✅"", ""⚠️""))"),"✅")</f>
        <v>✅</v>
      </c>
      <c r="F82" s="105" t="s">
        <v>77</v>
      </c>
      <c r="G82" s="98" t="s">
        <v>104</v>
      </c>
      <c r="H82" s="99" t="s">
        <v>33</v>
      </c>
      <c r="I82" s="78" t="str">
        <f>IFERROR(__xludf.DUMMYFUNCTION("IF(D82="""", """", IFERROR(VLOOKUP(TO_TEXT(D82), '💻 EQUIPOS'!B:H, 7, 0), """"))"),"Bloqueada")</f>
        <v>Bloqueada</v>
      </c>
      <c r="J82" s="98" t="s">
        <v>285</v>
      </c>
      <c r="K82" s="98" t="s">
        <v>161</v>
      </c>
      <c r="L82" s="94" t="s">
        <v>324</v>
      </c>
      <c r="M82" s="94" t="s">
        <v>289</v>
      </c>
      <c r="N82" s="94" t="s">
        <v>88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20"/>
    </row>
    <row r="83">
      <c r="A83" s="130">
        <v>80.0</v>
      </c>
      <c r="B83" s="52" t="str">
        <f t="shared" si="1"/>
        <v>OT-2026-080</v>
      </c>
      <c r="C83" s="103">
        <v>46205.0</v>
      </c>
      <c r="D83" s="104" t="s">
        <v>325</v>
      </c>
      <c r="E83" s="61" t="str">
        <f>IFERROR(__xludf.DUMMYFUNCTION("IF(D83="""", """", IF(REGEXMATCH(TO_TEXT(D83), ""^(AA\d{10}|EDU\d{7}|\d+|SZSES10IS\d{9})$""), ""✅"", ""⚠️""))"),"✅")</f>
        <v>✅</v>
      </c>
      <c r="F83" s="105" t="s">
        <v>77</v>
      </c>
      <c r="G83" s="98" t="s">
        <v>104</v>
      </c>
      <c r="H83" s="99" t="s">
        <v>33</v>
      </c>
      <c r="I83" s="78" t="str">
        <f>IFERROR(__xludf.DUMMYFUNCTION("IF(D83="""", """", IFERROR(VLOOKUP(TO_TEXT(D83), '💻 EQUIPOS'!B:H, 7, 0), """"))"),"Bloqueada")</f>
        <v>Bloqueada</v>
      </c>
      <c r="J83" s="98" t="s">
        <v>285</v>
      </c>
      <c r="K83" s="98" t="s">
        <v>105</v>
      </c>
      <c r="L83" s="94" t="s">
        <v>326</v>
      </c>
      <c r="M83" s="94" t="s">
        <v>327</v>
      </c>
      <c r="N83" s="94" t="s">
        <v>88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20"/>
    </row>
    <row r="84">
      <c r="A84" s="130">
        <v>81.0</v>
      </c>
      <c r="B84" s="52" t="str">
        <f t="shared" si="1"/>
        <v>OT-2026-081</v>
      </c>
      <c r="C84" s="103">
        <v>46205.0</v>
      </c>
      <c r="D84" s="104" t="s">
        <v>328</v>
      </c>
      <c r="E84" s="61" t="str">
        <f>IFERROR(__xludf.DUMMYFUNCTION("IF(D84="""", """", IF(REGEXMATCH(TO_TEXT(D84), ""^(AA\d{10}|EDU\d{7}|\d+|SZSES10IS\d{9})$""), ""✅"", ""⚠️""))"),"✅")</f>
        <v>✅</v>
      </c>
      <c r="F84" s="105" t="s">
        <v>77</v>
      </c>
      <c r="G84" s="98" t="s">
        <v>104</v>
      </c>
      <c r="H84" s="99" t="s">
        <v>33</v>
      </c>
      <c r="I84" s="78" t="str">
        <f>IFERROR(__xludf.DUMMYFUNCTION("IF(D84="""", """", IFERROR(VLOOKUP(TO_TEXT(D84), '💻 EQUIPOS'!B:H, 7, 0), """"))"),"Bloqueada")</f>
        <v>Bloqueada</v>
      </c>
      <c r="J84" s="98" t="s">
        <v>161</v>
      </c>
      <c r="K84" s="98" t="s">
        <v>115</v>
      </c>
      <c r="L84" s="94" t="s">
        <v>329</v>
      </c>
      <c r="M84" s="94" t="s">
        <v>330</v>
      </c>
      <c r="N84" s="94" t="s">
        <v>88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20"/>
    </row>
    <row r="85">
      <c r="A85" s="130">
        <v>82.0</v>
      </c>
      <c r="B85" s="52" t="str">
        <f t="shared" si="1"/>
        <v>OT-2026-082</v>
      </c>
      <c r="C85" s="103">
        <v>46209.0</v>
      </c>
      <c r="D85" s="104" t="s">
        <v>331</v>
      </c>
      <c r="E85" s="61" t="str">
        <f>IFERROR(__xludf.DUMMYFUNCTION("IF(D85="""", """", IF(REGEXMATCH(TO_TEXT(D85), ""^(AA\d{10}|EDU\d{7}|\d+|SZSES10IS\d{9})$""), ""✅"", ""⚠️""))"),"✅")</f>
        <v>✅</v>
      </c>
      <c r="F85" s="105" t="s">
        <v>77</v>
      </c>
      <c r="G85" s="98" t="s">
        <v>104</v>
      </c>
      <c r="H85" s="99" t="s">
        <v>36</v>
      </c>
      <c r="I85" s="78" t="str">
        <f>IFERROR(__xludf.DUMMYFUNCTION("IF(D85="""", """", IFERROR(VLOOKUP(TO_TEXT(D85), '💻 EQUIPOS'!B:H, 7, 0), """"))"),"Bloqueada")</f>
        <v>Bloqueada</v>
      </c>
      <c r="J85" s="98" t="s">
        <v>285</v>
      </c>
      <c r="K85" s="98" t="s">
        <v>332</v>
      </c>
      <c r="L85" s="94" t="s">
        <v>333</v>
      </c>
      <c r="M85" s="94" t="s">
        <v>334</v>
      </c>
      <c r="N85" s="94" t="s">
        <v>88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20"/>
    </row>
    <row r="86">
      <c r="A86" s="130">
        <v>83.0</v>
      </c>
      <c r="B86" s="52" t="str">
        <f t="shared" si="1"/>
        <v>OT-2026-083</v>
      </c>
      <c r="C86" s="103">
        <v>46209.0</v>
      </c>
      <c r="D86" s="131" t="s">
        <v>335</v>
      </c>
      <c r="E86" s="61" t="str">
        <f>IFERROR(__xludf.DUMMYFUNCTION("IF(D86="""", """", IF(REGEXMATCH(TO_TEXT(D86), ""^(AA\d{10}|EDU\d{7}|\d+|SZSES10IS\d{9})$""), ""✅"", ""⚠️""))"),"✅")</f>
        <v>✅</v>
      </c>
      <c r="F86" s="105" t="s">
        <v>77</v>
      </c>
      <c r="G86" s="98" t="s">
        <v>104</v>
      </c>
      <c r="H86" s="99" t="s">
        <v>36</v>
      </c>
      <c r="I86" s="78" t="str">
        <f>IFERROR(__xludf.DUMMYFUNCTION("IF(D86="""", """", IFERROR(VLOOKUP(TO_TEXT(D86), '💻 EQUIPOS'!B:H, 7, 0), """"))"),"Bloqueada")</f>
        <v>Bloqueada</v>
      </c>
      <c r="J86" s="98" t="s">
        <v>285</v>
      </c>
      <c r="K86" s="98" t="s">
        <v>285</v>
      </c>
      <c r="L86" s="94" t="s">
        <v>336</v>
      </c>
      <c r="M86" s="94" t="s">
        <v>337</v>
      </c>
      <c r="N86" s="94" t="s">
        <v>88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20"/>
    </row>
    <row r="87">
      <c r="A87" s="130">
        <v>84.0</v>
      </c>
      <c r="B87" s="52" t="str">
        <f t="shared" si="1"/>
        <v>OT-2026-084</v>
      </c>
      <c r="C87" s="103">
        <v>46209.0</v>
      </c>
      <c r="D87" s="104" t="s">
        <v>338</v>
      </c>
      <c r="E87" s="61" t="str">
        <f>IFERROR(__xludf.DUMMYFUNCTION("IF(D87="""", """", IF(REGEXMATCH(TO_TEXT(D87), ""^(AA\d{10}|EDU\d{7}|\d+|SZSES10IS\d{9})$""), ""✅"", ""⚠️""))"),"✅")</f>
        <v>✅</v>
      </c>
      <c r="F87" s="105" t="s">
        <v>77</v>
      </c>
      <c r="G87" s="98" t="s">
        <v>104</v>
      </c>
      <c r="H87" s="99" t="s">
        <v>36</v>
      </c>
      <c r="I87" s="78" t="str">
        <f>IFERROR(__xludf.DUMMYFUNCTION("IF(D87="""", """", IFERROR(VLOOKUP(TO_TEXT(D87), '💻 EQUIPOS'!B:H, 7, 0), """"))"),"Bloqueada")</f>
        <v>Bloqueada</v>
      </c>
      <c r="J87" s="98" t="s">
        <v>285</v>
      </c>
      <c r="K87" s="98" t="s">
        <v>285</v>
      </c>
      <c r="L87" s="94" t="s">
        <v>339</v>
      </c>
      <c r="M87" s="94" t="s">
        <v>337</v>
      </c>
      <c r="N87" s="94" t="s">
        <v>88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20"/>
    </row>
    <row r="88">
      <c r="A88" s="130">
        <v>85.0</v>
      </c>
      <c r="B88" s="52" t="str">
        <f t="shared" si="1"/>
        <v>OT-2026-085</v>
      </c>
      <c r="C88" s="103">
        <v>46211.0</v>
      </c>
      <c r="D88" s="104" t="s">
        <v>340</v>
      </c>
      <c r="E88" s="61" t="str">
        <f>IFERROR(__xludf.DUMMYFUNCTION("IF(D88="""", """", IF(REGEXMATCH(TO_TEXT(D88), ""^(AA\d{10}|EDU\d{7}|\d+|SZSES10IS\d{9})$""), ""✅"", ""⚠️""))"),"✅")</f>
        <v>✅</v>
      </c>
      <c r="F88" s="105" t="s">
        <v>77</v>
      </c>
      <c r="G88" s="98" t="s">
        <v>104</v>
      </c>
      <c r="H88" s="99" t="s">
        <v>36</v>
      </c>
      <c r="I88" s="78" t="str">
        <f>IFERROR(__xludf.DUMMYFUNCTION("IF(D88="""", """", IFERROR(VLOOKUP(TO_TEXT(D88), '💻 EQUIPOS'!B:H, 7, 0), """"))"),"Bloqueada")</f>
        <v>Bloqueada</v>
      </c>
      <c r="J88" s="98" t="s">
        <v>115</v>
      </c>
      <c r="K88" s="98" t="s">
        <v>285</v>
      </c>
      <c r="L88" s="94" t="s">
        <v>341</v>
      </c>
      <c r="M88" s="94" t="s">
        <v>342</v>
      </c>
      <c r="N88" s="94" t="s">
        <v>88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20"/>
    </row>
    <row r="89">
      <c r="A89" s="130">
        <v>86.0</v>
      </c>
      <c r="B89" s="52" t="str">
        <f t="shared" si="1"/>
        <v>OT-2026-086</v>
      </c>
      <c r="C89" s="103">
        <v>46217.0</v>
      </c>
      <c r="D89" s="104" t="s">
        <v>343</v>
      </c>
      <c r="E89" s="61" t="str">
        <f>IFERROR(__xludf.DUMMYFUNCTION("IF(D89="""", """", IF(REGEXMATCH(TO_TEXT(D89), ""^(AA\d{10}|EDU\d{7}|\d+|SZSES10IS\d{9})$""), ""✅"", ""⚠️""))"),"✅")</f>
        <v>✅</v>
      </c>
      <c r="F89" s="105" t="s">
        <v>77</v>
      </c>
      <c r="G89" s="98" t="s">
        <v>78</v>
      </c>
      <c r="H89" s="99" t="s">
        <v>111</v>
      </c>
      <c r="I89" s="78" t="str">
        <f>IFERROR(__xludf.DUMMYFUNCTION("IF(D89="""", """", IFERROR(VLOOKUP(TO_TEXT(D89), '💻 EQUIPOS'!B:H, 7, 0), """"))"),"Desbloqueada")</f>
        <v>Desbloqueada</v>
      </c>
      <c r="J89" s="98"/>
      <c r="K89" s="89"/>
      <c r="L89" s="94" t="s">
        <v>344</v>
      </c>
      <c r="M89" s="94" t="s">
        <v>345</v>
      </c>
      <c r="N89" s="94" t="s">
        <v>88</v>
      </c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20"/>
    </row>
    <row r="90">
      <c r="A90" s="130">
        <v>87.0</v>
      </c>
      <c r="B90" s="52" t="str">
        <f t="shared" si="1"/>
        <v>OT-2026-087</v>
      </c>
      <c r="C90" s="103">
        <v>46211.0</v>
      </c>
      <c r="D90" s="104" t="s">
        <v>346</v>
      </c>
      <c r="E90" s="61" t="str">
        <f>IFERROR(__xludf.DUMMYFUNCTION("IF(D90="""", """", IF(REGEXMATCH(TO_TEXT(D90), ""^(AA\d{10}|EDU\d{7}|\d+|SZSES10IS\d{9})$""), ""✅"", ""⚠️""))"),"✅")</f>
        <v>✅</v>
      </c>
      <c r="F90" s="105" t="s">
        <v>77</v>
      </c>
      <c r="G90" s="98" t="s">
        <v>104</v>
      </c>
      <c r="H90" s="99" t="s">
        <v>37</v>
      </c>
      <c r="I90" s="78" t="str">
        <f>IFERROR(__xludf.DUMMYFUNCTION("IF(D90="""", """", IFERROR(VLOOKUP(TO_TEXT(D90), '💻 EQUIPOS'!B:H, 7, 0), """"))"),"Bloqueada")</f>
        <v>Bloqueada</v>
      </c>
      <c r="J90" s="98" t="s">
        <v>285</v>
      </c>
      <c r="K90" s="98" t="s">
        <v>285</v>
      </c>
      <c r="L90" s="94" t="s">
        <v>87</v>
      </c>
      <c r="M90" s="94" t="s">
        <v>347</v>
      </c>
      <c r="N90" s="94" t="s">
        <v>310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20"/>
    </row>
    <row r="91">
      <c r="A91" s="130">
        <v>88.0</v>
      </c>
      <c r="B91" s="52" t="str">
        <f t="shared" si="1"/>
        <v>OT-2026-088</v>
      </c>
      <c r="C91" s="103">
        <v>46211.0</v>
      </c>
      <c r="D91" s="104" t="s">
        <v>348</v>
      </c>
      <c r="E91" s="61" t="str">
        <f>IFERROR(__xludf.DUMMYFUNCTION("IF(D91="""", """", IF(REGEXMATCH(TO_TEXT(D91), ""^(AA\d{10}|EDU\d{7}|\d+|SZSES10IS\d{9})$""), ""✅"", ""⚠️""))"),"✅")</f>
        <v>✅</v>
      </c>
      <c r="F91" s="105" t="s">
        <v>77</v>
      </c>
      <c r="G91" s="98" t="s">
        <v>104</v>
      </c>
      <c r="H91" s="99" t="s">
        <v>36</v>
      </c>
      <c r="I91" s="78" t="str">
        <f>IFERROR(__xludf.DUMMYFUNCTION("IF(D91="""", """", IFERROR(VLOOKUP(TO_TEXT(D91), '💻 EQUIPOS'!B:H, 7, 0), """"))"),"Bloqueada")</f>
        <v>Bloqueada</v>
      </c>
      <c r="J91" s="98" t="s">
        <v>161</v>
      </c>
      <c r="K91" s="98" t="s">
        <v>349</v>
      </c>
      <c r="L91" s="94" t="s">
        <v>87</v>
      </c>
      <c r="M91" s="94" t="s">
        <v>350</v>
      </c>
      <c r="N91" s="94" t="s">
        <v>310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20"/>
    </row>
    <row r="92">
      <c r="A92" s="130">
        <v>89.0</v>
      </c>
      <c r="B92" s="52" t="str">
        <f t="shared" si="1"/>
        <v>OT-2026-089</v>
      </c>
      <c r="C92" s="103">
        <v>46211.0</v>
      </c>
      <c r="D92" s="104" t="s">
        <v>351</v>
      </c>
      <c r="E92" s="61" t="str">
        <f>IFERROR(__xludf.DUMMYFUNCTION("IF(D92="""", """", IF(REGEXMATCH(TO_TEXT(D92), ""^(AA\d{10}|EDU\d{7}|\d+|SZSES10IS\d{9})$""), ""✅"", ""⚠️""))"),"✅")</f>
        <v>✅</v>
      </c>
      <c r="F92" s="105" t="s">
        <v>214</v>
      </c>
      <c r="G92" s="98" t="s">
        <v>104</v>
      </c>
      <c r="H92" s="99" t="s">
        <v>33</v>
      </c>
      <c r="I92" s="78" t="str">
        <f>IFERROR(__xludf.DUMMYFUNCTION("IF(D92="""", """", IFERROR(VLOOKUP(TO_TEXT(D92), '💻 EQUIPOS'!B:H, 7, 0), """"))"),"Desbloqueada")</f>
        <v>Desbloqueada</v>
      </c>
      <c r="J92" s="98" t="s">
        <v>161</v>
      </c>
      <c r="K92" s="98" t="s">
        <v>161</v>
      </c>
      <c r="L92" s="94" t="s">
        <v>352</v>
      </c>
      <c r="M92" s="94" t="s">
        <v>353</v>
      </c>
      <c r="N92" s="94" t="s">
        <v>88</v>
      </c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20"/>
    </row>
    <row r="93">
      <c r="A93" s="130">
        <v>90.0</v>
      </c>
      <c r="B93" s="52" t="str">
        <f t="shared" si="1"/>
        <v>OT-2026-090</v>
      </c>
      <c r="C93" s="103">
        <v>46211.0</v>
      </c>
      <c r="D93" s="104" t="s">
        <v>354</v>
      </c>
      <c r="E93" s="61" t="str">
        <f>IFERROR(__xludf.DUMMYFUNCTION("IF(D93="""", """", IF(REGEXMATCH(TO_TEXT(D93), ""^(AA\d{10}|EDU\d{7}|\d+|SZSES10IS\d{9})$""), ""✅"", ""⚠️""))"),"✅")</f>
        <v>✅</v>
      </c>
      <c r="F93" s="105" t="s">
        <v>214</v>
      </c>
      <c r="G93" s="98" t="s">
        <v>104</v>
      </c>
      <c r="H93" s="99" t="s">
        <v>33</v>
      </c>
      <c r="I93" s="78" t="str">
        <f>IFERROR(__xludf.DUMMYFUNCTION("IF(D93="""", """", IFERROR(VLOOKUP(TO_TEXT(D93), '💻 EQUIPOS'!B:H, 7, 0), """"))"),"Desbloqueada")</f>
        <v>Desbloqueada</v>
      </c>
      <c r="J93" s="98"/>
      <c r="K93" s="89"/>
      <c r="L93" s="29"/>
      <c r="M93" s="94" t="s">
        <v>355</v>
      </c>
      <c r="N93" s="94" t="s">
        <v>310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20"/>
    </row>
    <row r="94">
      <c r="A94" s="130">
        <v>91.0</v>
      </c>
      <c r="B94" s="52" t="str">
        <f t="shared" si="1"/>
        <v>OT-2026-091</v>
      </c>
      <c r="C94" s="103">
        <v>46217.0</v>
      </c>
      <c r="D94" s="104" t="s">
        <v>356</v>
      </c>
      <c r="E94" s="61" t="str">
        <f>IFERROR(__xludf.DUMMYFUNCTION("IF(D94="""", """", IF(REGEXMATCH(TO_TEXT(D94), ""^(AA\d{10}|EDU\d{7}|\d+|SZSES10IS\d{9})$""), ""✅"", ""⚠️""))"),"✅")</f>
        <v>✅</v>
      </c>
      <c r="F94" s="105" t="s">
        <v>77</v>
      </c>
      <c r="G94" s="98" t="s">
        <v>78</v>
      </c>
      <c r="H94" s="99" t="s">
        <v>165</v>
      </c>
      <c r="I94" s="78" t="str">
        <f>IFERROR(__xludf.DUMMYFUNCTION("IF(D94="""", """", IFERROR(VLOOKUP(TO_TEXT(D94), '💻 EQUIPOS'!B:H, 7, 0), """"))"),"Bloqueada")</f>
        <v>Bloqueada</v>
      </c>
      <c r="J94" s="98" t="s">
        <v>285</v>
      </c>
      <c r="K94" s="98" t="s">
        <v>285</v>
      </c>
      <c r="L94" s="94" t="s">
        <v>357</v>
      </c>
      <c r="M94" s="94" t="s">
        <v>358</v>
      </c>
      <c r="N94" s="94" t="s">
        <v>88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20"/>
    </row>
    <row r="95">
      <c r="A95" s="130">
        <v>92.0</v>
      </c>
      <c r="B95" s="52" t="str">
        <f t="shared" si="1"/>
        <v>OT-2026-092</v>
      </c>
      <c r="C95" s="132">
        <v>46216.0</v>
      </c>
      <c r="D95" s="104" t="s">
        <v>359</v>
      </c>
      <c r="E95" s="61" t="str">
        <f>IFERROR(__xludf.DUMMYFUNCTION("IF(D95="""", """", IF(REGEXMATCH(TO_TEXT(D95), ""^(AA\d{10}|EDU\d{7}|\d+|SZSES10IS\d{9})$""), ""✅"", ""⚠️""))"),"✅")</f>
        <v>✅</v>
      </c>
      <c r="F95" s="105" t="s">
        <v>77</v>
      </c>
      <c r="G95" s="98" t="s">
        <v>104</v>
      </c>
      <c r="H95" s="99" t="s">
        <v>30</v>
      </c>
      <c r="I95" s="78" t="str">
        <f>IFERROR(__xludf.DUMMYFUNCTION("IF(D95="""", """", IFERROR(VLOOKUP(TO_TEXT(D95), '💻 EQUIPOS'!B:H, 7, 0), """"))"),"Desbloqueada")</f>
        <v>Desbloqueada</v>
      </c>
      <c r="J95" s="98" t="s">
        <v>285</v>
      </c>
      <c r="K95" s="98" t="s">
        <v>360</v>
      </c>
      <c r="L95" s="94" t="s">
        <v>361</v>
      </c>
      <c r="M95" s="94" t="s">
        <v>361</v>
      </c>
      <c r="N95" s="94" t="s">
        <v>88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20"/>
    </row>
    <row r="96">
      <c r="A96" s="130">
        <v>93.0</v>
      </c>
      <c r="B96" s="52" t="str">
        <f t="shared" si="1"/>
        <v>OT-2026-093</v>
      </c>
      <c r="C96" s="103">
        <v>46216.0</v>
      </c>
      <c r="D96" s="104" t="s">
        <v>362</v>
      </c>
      <c r="E96" s="61" t="str">
        <f>IFERROR(__xludf.DUMMYFUNCTION("IF(D96="""", """", IF(REGEXMATCH(TO_TEXT(D96), ""^(AA\d{10}|EDU\d{7}|\d+|SZSES10IS\d{9})$""), ""✅"", ""⚠️""))"),"✅")</f>
        <v>✅</v>
      </c>
      <c r="F96" s="105" t="s">
        <v>77</v>
      </c>
      <c r="G96" s="98" t="s">
        <v>104</v>
      </c>
      <c r="H96" s="99" t="s">
        <v>36</v>
      </c>
      <c r="I96" s="78" t="str">
        <f>IFERROR(__xludf.DUMMYFUNCTION("IF(D96="""", """", IFERROR(VLOOKUP(TO_TEXT(D96), '💻 EQUIPOS'!B:H, 7, 0), """"))"),"Bloqueada")</f>
        <v>Bloqueada</v>
      </c>
      <c r="J96" s="98" t="s">
        <v>115</v>
      </c>
      <c r="K96" s="98" t="s">
        <v>363</v>
      </c>
      <c r="L96" s="29"/>
      <c r="M96" s="94" t="s">
        <v>364</v>
      </c>
      <c r="N96" s="94" t="s">
        <v>149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20"/>
    </row>
    <row r="97">
      <c r="A97" s="130">
        <v>94.0</v>
      </c>
      <c r="B97" s="52" t="str">
        <f t="shared" si="1"/>
        <v>OT-2026-094</v>
      </c>
      <c r="C97" s="103">
        <v>46216.0</v>
      </c>
      <c r="D97" s="104" t="s">
        <v>365</v>
      </c>
      <c r="E97" s="61" t="str">
        <f>IFERROR(__xludf.DUMMYFUNCTION("IF(D97="""", """", IF(REGEXMATCH(TO_TEXT(D97), ""^(AA\d{10}|EDU\d{7}|\d+|SZSES10IS\d{9})$""), ""✅"", ""⚠️""))"),"✅")</f>
        <v>✅</v>
      </c>
      <c r="F97" s="105" t="s">
        <v>77</v>
      </c>
      <c r="G97" s="98" t="s">
        <v>104</v>
      </c>
      <c r="H97" s="99" t="s">
        <v>30</v>
      </c>
      <c r="I97" s="78" t="str">
        <f>IFERROR(__xludf.DUMMYFUNCTION("IF(D97="""", """", IFERROR(VLOOKUP(TO_TEXT(D97), '💻 EQUIPOS'!B:H, 7, 0), """"))"),"Bloqueada")</f>
        <v>Bloqueada</v>
      </c>
      <c r="J97" s="98" t="s">
        <v>115</v>
      </c>
      <c r="K97" s="98" t="s">
        <v>161</v>
      </c>
      <c r="L97" s="94" t="s">
        <v>361</v>
      </c>
      <c r="M97" s="94" t="s">
        <v>366</v>
      </c>
      <c r="N97" s="94" t="s">
        <v>88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20"/>
    </row>
    <row r="98">
      <c r="A98" s="130">
        <v>95.0</v>
      </c>
      <c r="B98" s="52" t="str">
        <f t="shared" si="1"/>
        <v>OT-2026-095</v>
      </c>
      <c r="C98" s="103">
        <v>46217.0</v>
      </c>
      <c r="D98" s="104" t="s">
        <v>367</v>
      </c>
      <c r="E98" s="61" t="str">
        <f>IFERROR(__xludf.DUMMYFUNCTION("IF(D98="""", """", IF(REGEXMATCH(TO_TEXT(D98), ""^(AA\d{10}|EDU\d{7}|\d+|SZSES10IS\d{9})$""), ""✅"", ""⚠️""))"),"✅")</f>
        <v>✅</v>
      </c>
      <c r="F98" s="105" t="s">
        <v>77</v>
      </c>
      <c r="G98" s="98" t="s">
        <v>78</v>
      </c>
      <c r="H98" s="99" t="s">
        <v>82</v>
      </c>
      <c r="I98" s="78" t="str">
        <f>IFERROR(__xludf.DUMMYFUNCTION("IF(D98="""", """", IFERROR(VLOOKUP(TO_TEXT(D98), '💻 EQUIPOS'!B:H, 7, 0), """"))"),"Bloqueada")</f>
        <v>Bloqueada</v>
      </c>
      <c r="J98" s="98" t="s">
        <v>285</v>
      </c>
      <c r="K98" s="98" t="s">
        <v>363</v>
      </c>
      <c r="L98" s="94" t="s">
        <v>368</v>
      </c>
      <c r="M98" s="94" t="s">
        <v>369</v>
      </c>
      <c r="N98" s="94" t="s">
        <v>88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20"/>
    </row>
    <row r="99">
      <c r="A99" s="130">
        <v>96.0</v>
      </c>
      <c r="B99" s="52" t="str">
        <f t="shared" si="1"/>
        <v>OT-2026-096</v>
      </c>
      <c r="C99" s="103">
        <v>46217.0</v>
      </c>
      <c r="D99" s="104" t="s">
        <v>370</v>
      </c>
      <c r="E99" s="61" t="str">
        <f>IFERROR(__xludf.DUMMYFUNCTION("IF(D99="""", """", IF(REGEXMATCH(TO_TEXT(D99), ""^(AA\d{10}|EDU\d{7}|\d+|SZSES10IS\d{9})$""), ""✅"", ""⚠️""))"),"✅")</f>
        <v>✅</v>
      </c>
      <c r="F99" s="105" t="s">
        <v>77</v>
      </c>
      <c r="G99" s="98" t="s">
        <v>78</v>
      </c>
      <c r="H99" s="99" t="s">
        <v>120</v>
      </c>
      <c r="I99" s="78" t="str">
        <f>IFERROR(__xludf.DUMMYFUNCTION("IF(D99="""", """", IFERROR(VLOOKUP(TO_TEXT(D99), '💻 EQUIPOS'!B:H, 7, 0), """"))"),"No Enciende")</f>
        <v>No Enciende</v>
      </c>
      <c r="J99" s="89"/>
      <c r="K99" s="89"/>
      <c r="L99" s="94" t="s">
        <v>371</v>
      </c>
      <c r="M99" s="94" t="s">
        <v>372</v>
      </c>
      <c r="N99" s="94" t="s">
        <v>149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20"/>
    </row>
    <row r="100">
      <c r="A100" s="130">
        <v>97.0</v>
      </c>
      <c r="B100" s="52" t="str">
        <f t="shared" si="1"/>
        <v>OT-2026-097</v>
      </c>
      <c r="C100" s="103">
        <v>46217.0</v>
      </c>
      <c r="D100" s="104" t="s">
        <v>373</v>
      </c>
      <c r="E100" s="61" t="str">
        <f>IFERROR(__xludf.DUMMYFUNCTION("IF(D100="""", """", IF(REGEXMATCH(TO_TEXT(D100), ""^(AA\d{10}|EDU\d{7}|\d+|SZSES10IS\d{9})$""), ""✅"", ""⚠️""))"),"✅")</f>
        <v>✅</v>
      </c>
      <c r="F100" s="105" t="s">
        <v>77</v>
      </c>
      <c r="G100" s="98" t="s">
        <v>78</v>
      </c>
      <c r="H100" s="99" t="s">
        <v>120</v>
      </c>
      <c r="I100" s="78" t="str">
        <f>IFERROR(__xludf.DUMMYFUNCTION("IF(D100="""", """", IFERROR(VLOOKUP(TO_TEXT(D100), '💻 EQUIPOS'!B:H, 7, 0), """"))"),"Desbloqueada")</f>
        <v>Desbloqueada</v>
      </c>
      <c r="J100" s="98" t="s">
        <v>317</v>
      </c>
      <c r="K100" s="98" t="s">
        <v>363</v>
      </c>
      <c r="L100" s="94" t="s">
        <v>361</v>
      </c>
      <c r="M100" s="94" t="s">
        <v>374</v>
      </c>
      <c r="N100" s="94" t="s">
        <v>88</v>
      </c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20"/>
    </row>
    <row r="101">
      <c r="A101" s="130">
        <v>98.0</v>
      </c>
      <c r="B101" s="52" t="str">
        <f t="shared" si="1"/>
        <v>OT-2026-098</v>
      </c>
      <c r="C101" s="103">
        <v>46216.0</v>
      </c>
      <c r="D101" s="104" t="s">
        <v>375</v>
      </c>
      <c r="E101" s="61" t="str">
        <f>IFERROR(__xludf.DUMMYFUNCTION("IF(D101="""", """", IF(REGEXMATCH(TO_TEXT(D101), ""^(AA\d{10}|EDU\d{7}|\d+|SZSES10IS\d{9})$""), ""✅"", ""⚠️""))"),"✅")</f>
        <v>✅</v>
      </c>
      <c r="F101" s="105" t="s">
        <v>77</v>
      </c>
      <c r="G101" s="98" t="s">
        <v>104</v>
      </c>
      <c r="H101" s="99" t="s">
        <v>30</v>
      </c>
      <c r="I101" s="78" t="str">
        <f>IFERROR(__xludf.DUMMYFUNCTION("IF(D101="""", """", IFERROR(VLOOKUP(TO_TEXT(D101), '💻 EQUIPOS'!B:H, 7, 0), """"))"),"Desbloqueada")</f>
        <v>Desbloqueada</v>
      </c>
      <c r="J101" s="98" t="s">
        <v>179</v>
      </c>
      <c r="K101" s="98" t="s">
        <v>268</v>
      </c>
      <c r="L101" s="94" t="s">
        <v>376</v>
      </c>
      <c r="M101" s="94" t="s">
        <v>377</v>
      </c>
      <c r="N101" s="94" t="s">
        <v>88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20"/>
    </row>
    <row r="102">
      <c r="A102" s="130">
        <v>99.0</v>
      </c>
      <c r="B102" s="52" t="str">
        <f t="shared" si="1"/>
        <v>OT-2026-099</v>
      </c>
      <c r="C102" s="103">
        <v>46216.0</v>
      </c>
      <c r="D102" s="104" t="s">
        <v>378</v>
      </c>
      <c r="E102" s="61" t="str">
        <f>IFERROR(__xludf.DUMMYFUNCTION("IF(D102="""", """", IF(REGEXMATCH(TO_TEXT(D102), ""^(AA\d{10}|EDU\d{7}|\d+|SZSES10IS\d{9})$""), ""✅"", ""⚠️""))"),"✅")</f>
        <v>✅</v>
      </c>
      <c r="F102" s="105" t="s">
        <v>77</v>
      </c>
      <c r="G102" s="98" t="s">
        <v>104</v>
      </c>
      <c r="H102" s="99" t="s">
        <v>36</v>
      </c>
      <c r="I102" s="78" t="str">
        <f>IFERROR(__xludf.DUMMYFUNCTION("IF(D102="""", """", IFERROR(VLOOKUP(TO_TEXT(D102), '💻 EQUIPOS'!B:H, 7, 0), """"))"),"Bloqueada")</f>
        <v>Bloqueada</v>
      </c>
      <c r="J102" s="98" t="s">
        <v>121</v>
      </c>
      <c r="K102" s="98" t="s">
        <v>121</v>
      </c>
      <c r="L102" s="94" t="s">
        <v>379</v>
      </c>
      <c r="M102" s="94" t="s">
        <v>380</v>
      </c>
      <c r="N102" s="94" t="s">
        <v>149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20"/>
    </row>
    <row r="103">
      <c r="A103" s="130">
        <v>100.0</v>
      </c>
      <c r="B103" s="52" t="str">
        <f t="shared" si="1"/>
        <v>OT-2026-100</v>
      </c>
      <c r="C103" s="103">
        <v>46216.0</v>
      </c>
      <c r="D103" s="104" t="s">
        <v>381</v>
      </c>
      <c r="E103" s="61" t="str">
        <f>IFERROR(__xludf.DUMMYFUNCTION("IF(D103="""", """", IF(REGEXMATCH(TO_TEXT(D103), ""^(AA\d{10}|EDU\d{7}|\d+|SZSES10IS\d{9})$""), ""✅"", ""⚠️""))"),"✅")</f>
        <v>✅</v>
      </c>
      <c r="F103" s="105" t="s">
        <v>77</v>
      </c>
      <c r="G103" s="98" t="s">
        <v>104</v>
      </c>
      <c r="H103" s="99" t="s">
        <v>34</v>
      </c>
      <c r="I103" s="78" t="str">
        <f>IFERROR(__xludf.DUMMYFUNCTION("IF(D103="""", """", IFERROR(VLOOKUP(TO_TEXT(D103), '💻 EQUIPOS'!B:H, 7, 0), """"))"),"Bloqueada")</f>
        <v>Bloqueada</v>
      </c>
      <c r="J103" s="98" t="s">
        <v>105</v>
      </c>
      <c r="K103" s="98" t="s">
        <v>166</v>
      </c>
      <c r="L103" s="94" t="s">
        <v>382</v>
      </c>
      <c r="M103" s="94" t="s">
        <v>383</v>
      </c>
      <c r="N103" s="94" t="s">
        <v>88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20"/>
    </row>
    <row r="104">
      <c r="A104" s="130">
        <v>101.0</v>
      </c>
      <c r="B104" s="52" t="str">
        <f t="shared" si="1"/>
        <v>OT-2026-101</v>
      </c>
      <c r="C104" s="103">
        <v>46216.0</v>
      </c>
      <c r="D104" s="104" t="s">
        <v>384</v>
      </c>
      <c r="E104" s="61" t="str">
        <f>IFERROR(__xludf.DUMMYFUNCTION("IF(D104="""", """", IF(REGEXMATCH(TO_TEXT(D104), ""^(AA\d{10}|EDU\d{7}|\d+|SZSES10IS\d{9})$""), ""✅"", ""⚠️""))"),"✅")</f>
        <v>✅</v>
      </c>
      <c r="F104" s="105" t="s">
        <v>77</v>
      </c>
      <c r="G104" s="98" t="s">
        <v>104</v>
      </c>
      <c r="H104" s="99" t="s">
        <v>32</v>
      </c>
      <c r="I104" s="78" t="str">
        <f>IFERROR(__xludf.DUMMYFUNCTION("IF(D104="""", """", IFERROR(VLOOKUP(TO_TEXT(D104), '💻 EQUIPOS'!B:H, 7, 0), """"))"),"Bloqueada")</f>
        <v>Bloqueada</v>
      </c>
      <c r="J104" s="98" t="s">
        <v>105</v>
      </c>
      <c r="K104" s="98" t="s">
        <v>161</v>
      </c>
      <c r="L104" s="94" t="s">
        <v>385</v>
      </c>
      <c r="M104" s="94" t="s">
        <v>386</v>
      </c>
      <c r="N104" s="94" t="s">
        <v>149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20"/>
    </row>
    <row r="105">
      <c r="A105" s="130">
        <v>102.0</v>
      </c>
      <c r="B105" s="52" t="str">
        <f t="shared" si="1"/>
        <v>OT-2026-102</v>
      </c>
      <c r="C105" s="103">
        <v>46216.0</v>
      </c>
      <c r="D105" s="104" t="s">
        <v>387</v>
      </c>
      <c r="E105" s="61" t="str">
        <f>IFERROR(__xludf.DUMMYFUNCTION("IF(D105="""", """", IF(REGEXMATCH(TO_TEXT(D105), ""^(AA\d{10}|EDU\d{7}|\d+|SZSES10IS\d{9})$""), ""✅"", ""⚠️""))"),"✅")</f>
        <v>✅</v>
      </c>
      <c r="F105" s="105" t="s">
        <v>77</v>
      </c>
      <c r="G105" s="98" t="s">
        <v>104</v>
      </c>
      <c r="H105" s="99" t="s">
        <v>30</v>
      </c>
      <c r="I105" s="78" t="str">
        <f>IFERROR(__xludf.DUMMYFUNCTION("IF(D105="""", """", IFERROR(VLOOKUP(TO_TEXT(D105), '💻 EQUIPOS'!B:H, 7, 0), """"))"),"Bloqueada")</f>
        <v>Bloqueada</v>
      </c>
      <c r="J105" s="98" t="s">
        <v>161</v>
      </c>
      <c r="K105" s="98" t="s">
        <v>105</v>
      </c>
      <c r="L105" s="94" t="s">
        <v>388</v>
      </c>
      <c r="M105" s="94" t="s">
        <v>389</v>
      </c>
      <c r="N105" s="94" t="s">
        <v>88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20"/>
    </row>
    <row r="106">
      <c r="A106" s="130">
        <v>103.0</v>
      </c>
      <c r="B106" s="52" t="str">
        <f t="shared" si="1"/>
        <v>OT-2026-103</v>
      </c>
      <c r="C106" s="103">
        <v>46217.0</v>
      </c>
      <c r="D106" s="104" t="s">
        <v>390</v>
      </c>
      <c r="E106" s="61" t="str">
        <f>IFERROR(__xludf.DUMMYFUNCTION("IF(D106="""", """", IF(REGEXMATCH(TO_TEXT(D106), ""^(AA\d{10}|EDU\d{7}|\d+|SZSES10IS\d{9})$""), ""✅"", ""⚠️""))"),"✅")</f>
        <v>✅</v>
      </c>
      <c r="F106" s="105" t="s">
        <v>77</v>
      </c>
      <c r="G106" s="98" t="s">
        <v>104</v>
      </c>
      <c r="H106" s="99" t="s">
        <v>33</v>
      </c>
      <c r="I106" s="78" t="str">
        <f>IFERROR(__xludf.DUMMYFUNCTION("IF(D106="""", """", IFERROR(VLOOKUP(TO_TEXT(D106), '💻 EQUIPOS'!B:H, 7, 0), """"))"),"Bloqueada")</f>
        <v>Bloqueada</v>
      </c>
      <c r="J106" s="98" t="s">
        <v>179</v>
      </c>
      <c r="K106" s="98" t="s">
        <v>391</v>
      </c>
      <c r="L106" s="94" t="s">
        <v>392</v>
      </c>
      <c r="M106" s="94" t="s">
        <v>393</v>
      </c>
      <c r="N106" s="94" t="s">
        <v>88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20"/>
    </row>
    <row r="107">
      <c r="A107" s="130">
        <v>104.0</v>
      </c>
      <c r="B107" s="52" t="str">
        <f t="shared" si="1"/>
        <v>OT-2026-104</v>
      </c>
      <c r="C107" s="103">
        <v>46217.0</v>
      </c>
      <c r="D107" s="104" t="s">
        <v>394</v>
      </c>
      <c r="E107" s="61" t="str">
        <f>IFERROR(__xludf.DUMMYFUNCTION("IF(D107="""", """", IF(REGEXMATCH(TO_TEXT(D107), ""^(AA\d{10}|EDU\d{7}|\d+|SZSES10IS\d{9})$""), ""✅"", ""⚠️""))"),"✅")</f>
        <v>✅</v>
      </c>
      <c r="F107" s="105" t="s">
        <v>77</v>
      </c>
      <c r="G107" s="98" t="s">
        <v>104</v>
      </c>
      <c r="H107" s="99" t="s">
        <v>33</v>
      </c>
      <c r="I107" s="78" t="str">
        <f>IFERROR(__xludf.DUMMYFUNCTION("IF(D107="""", """", IFERROR(VLOOKUP(TO_TEXT(D107), '💻 EQUIPOS'!B:H, 7, 0), """"))"),"Bloqueada")</f>
        <v>Bloqueada</v>
      </c>
      <c r="J107" s="98" t="s">
        <v>161</v>
      </c>
      <c r="K107" s="98" t="s">
        <v>161</v>
      </c>
      <c r="L107" s="94" t="s">
        <v>395</v>
      </c>
      <c r="M107" s="94" t="s">
        <v>396</v>
      </c>
      <c r="N107" s="94" t="s">
        <v>88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20"/>
    </row>
    <row r="108">
      <c r="A108" s="130">
        <v>105.0</v>
      </c>
      <c r="B108" s="52" t="str">
        <f t="shared" si="1"/>
        <v>OT-2026-105</v>
      </c>
      <c r="C108" s="132">
        <v>46217.0</v>
      </c>
      <c r="D108" s="104" t="s">
        <v>397</v>
      </c>
      <c r="E108" s="61" t="str">
        <f>IFERROR(__xludf.DUMMYFUNCTION("IF(D108="""", """", IF(REGEXMATCH(TO_TEXT(D108), ""^(AA\d{10}|EDU\d{7}|\d+|SZSES10IS\d{9})$""), ""✅"", ""⚠️""))"),"✅")</f>
        <v>✅</v>
      </c>
      <c r="F108" s="105" t="s">
        <v>77</v>
      </c>
      <c r="G108" s="98" t="s">
        <v>104</v>
      </c>
      <c r="H108" s="99" t="s">
        <v>33</v>
      </c>
      <c r="I108" s="78" t="str">
        <f>IFERROR(__xludf.DUMMYFUNCTION("IF(D108="""", """", IFERROR(VLOOKUP(TO_TEXT(D108), '💻 EQUIPOS'!B:H, 7, 0), """"))"),"Bloqueada")</f>
        <v>Bloqueada</v>
      </c>
      <c r="J108" s="98" t="s">
        <v>161</v>
      </c>
      <c r="K108" s="98" t="s">
        <v>161</v>
      </c>
      <c r="L108" s="94" t="s">
        <v>395</v>
      </c>
      <c r="M108" s="29"/>
      <c r="N108" s="94" t="s">
        <v>88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20"/>
    </row>
    <row r="109">
      <c r="A109" s="130">
        <v>106.0</v>
      </c>
      <c r="B109" s="52" t="str">
        <f t="shared" si="1"/>
        <v>OT-2026-106</v>
      </c>
      <c r="C109" s="103">
        <v>46217.0</v>
      </c>
      <c r="D109" s="104" t="s">
        <v>398</v>
      </c>
      <c r="E109" s="61" t="str">
        <f>IFERROR(__xludf.DUMMYFUNCTION("IF(D109="""", """", IF(REGEXMATCH(TO_TEXT(D109), ""^(AA\d{10}|EDU\d{7}|\d+|SZSES10IS\d{9})$""), ""✅"", ""⚠️""))"),"✅")</f>
        <v>✅</v>
      </c>
      <c r="F109" s="105" t="s">
        <v>77</v>
      </c>
      <c r="G109" s="98" t="s">
        <v>104</v>
      </c>
      <c r="H109" s="99" t="s">
        <v>33</v>
      </c>
      <c r="I109" s="78" t="str">
        <f>IFERROR(__xludf.DUMMYFUNCTION("IF(D109="""", """", IFERROR(VLOOKUP(TO_TEXT(D109), '💻 EQUIPOS'!B:H, 7, 0), """"))"),"Bloqueada")</f>
        <v>Bloqueada</v>
      </c>
      <c r="J109" s="98" t="s">
        <v>161</v>
      </c>
      <c r="K109" s="98" t="s">
        <v>161</v>
      </c>
      <c r="L109" s="94" t="s">
        <v>395</v>
      </c>
      <c r="M109" s="29"/>
      <c r="N109" s="94" t="s">
        <v>88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20"/>
    </row>
    <row r="110">
      <c r="A110" s="130">
        <v>107.0</v>
      </c>
      <c r="B110" s="52" t="str">
        <f t="shared" si="1"/>
        <v>OT-2026-107</v>
      </c>
      <c r="C110" s="103">
        <v>46218.0</v>
      </c>
      <c r="D110" s="104" t="s">
        <v>399</v>
      </c>
      <c r="E110" s="61" t="str">
        <f>IFERROR(__xludf.DUMMYFUNCTION("IF(D110="""", """", IF(REGEXMATCH(TO_TEXT(D110), ""^(AA\d{10}|EDU\d{7}|\d+|SZSES10IS\d{9})$""), ""✅"", ""⚠️""))"),"✅")</f>
        <v>✅</v>
      </c>
      <c r="F110" s="105" t="s">
        <v>400</v>
      </c>
      <c r="G110" s="98" t="s">
        <v>104</v>
      </c>
      <c r="H110" s="99" t="s">
        <v>34</v>
      </c>
      <c r="I110" s="78" t="str">
        <f>IFERROR(__xludf.DUMMYFUNCTION("IF(D110="""", """", IFERROR(VLOOKUP(TO_TEXT(D110), '💻 EQUIPOS'!B:H, 7, 0), """"))"),"Bloqueada")</f>
        <v>Bloqueada</v>
      </c>
      <c r="J110" s="98" t="s">
        <v>268</v>
      </c>
      <c r="K110" s="89"/>
      <c r="L110" s="94" t="s">
        <v>361</v>
      </c>
      <c r="M110" s="94" t="s">
        <v>361</v>
      </c>
      <c r="N110" s="94" t="s">
        <v>88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20"/>
    </row>
    <row r="111">
      <c r="A111" s="130">
        <v>108.0</v>
      </c>
      <c r="B111" s="52" t="str">
        <f t="shared" si="1"/>
        <v>OT-2026-108</v>
      </c>
      <c r="C111" s="103">
        <v>46218.0</v>
      </c>
      <c r="D111" s="104" t="s">
        <v>401</v>
      </c>
      <c r="E111" s="61" t="str">
        <f>IFERROR(__xludf.DUMMYFUNCTION("IF(D111="""", """", IF(REGEXMATCH(TO_TEXT(D111), ""^(AA\d{10}|EDU\d{7}|\d+|SZSES10IS\d{9})$""), ""✅"", ""⚠️""))"),"✅")</f>
        <v>✅</v>
      </c>
      <c r="F111" s="105" t="s">
        <v>400</v>
      </c>
      <c r="G111" s="98" t="s">
        <v>104</v>
      </c>
      <c r="H111" s="99" t="s">
        <v>36</v>
      </c>
      <c r="I111" s="78" t="str">
        <f>IFERROR(__xludf.DUMMYFUNCTION("IF(D111="""", """", IFERROR(VLOOKUP(TO_TEXT(D111), '💻 EQUIPOS'!B:H, 7, 0), """"))"),"Diagnosticada")</f>
        <v>Diagnosticada</v>
      </c>
      <c r="J111" s="98" t="s">
        <v>268</v>
      </c>
      <c r="K111" s="89"/>
      <c r="L111" s="94" t="s">
        <v>402</v>
      </c>
      <c r="M111" s="94" t="s">
        <v>403</v>
      </c>
      <c r="N111" s="94" t="s">
        <v>88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20"/>
    </row>
    <row r="112">
      <c r="A112" s="130">
        <v>109.0</v>
      </c>
      <c r="B112" s="52" t="str">
        <f t="shared" si="1"/>
        <v>OT-2026-109</v>
      </c>
      <c r="C112" s="103">
        <v>46218.0</v>
      </c>
      <c r="D112" s="104" t="s">
        <v>404</v>
      </c>
      <c r="E112" s="61" t="str">
        <f>IFERROR(__xludf.DUMMYFUNCTION("IF(D112="""", """", IF(REGEXMATCH(TO_TEXT(D112), ""^(AA\d{10}|EDU\d{7}|\d+|SZSES10IS\d{9})$""), ""✅"", ""⚠️""))"),"✅")</f>
        <v>✅</v>
      </c>
      <c r="F112" s="105" t="s">
        <v>77</v>
      </c>
      <c r="G112" s="98" t="s">
        <v>104</v>
      </c>
      <c r="H112" s="99" t="s">
        <v>36</v>
      </c>
      <c r="I112" s="78" t="str">
        <f>IFERROR(__xludf.DUMMYFUNCTION("IF(D112="""", """", IFERROR(VLOOKUP(TO_TEXT(D112), '💻 EQUIPOS'!B:H, 7, 0), """"))"),"Bloqueada")</f>
        <v>Bloqueada</v>
      </c>
      <c r="J112" s="98" t="s">
        <v>161</v>
      </c>
      <c r="K112" s="89"/>
      <c r="L112" s="29"/>
      <c r="M112" s="94" t="s">
        <v>405</v>
      </c>
      <c r="N112" s="94" t="s">
        <v>88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20"/>
    </row>
    <row r="113">
      <c r="A113" s="130">
        <v>110.0</v>
      </c>
      <c r="B113" s="52" t="str">
        <f t="shared" si="1"/>
        <v>OT-2026-110</v>
      </c>
      <c r="C113" s="103">
        <v>46218.0</v>
      </c>
      <c r="D113" s="104" t="s">
        <v>406</v>
      </c>
      <c r="E113" s="61" t="str">
        <f>IFERROR(__xludf.DUMMYFUNCTION("IF(D113="""", """", IF(REGEXMATCH(TO_TEXT(D113), ""^(AA\d{10}|EDU\d{7}|\d+|SZSES10IS\d{9})$""), ""✅"", ""⚠️""))"),"✅")</f>
        <v>✅</v>
      </c>
      <c r="F113" s="105" t="s">
        <v>400</v>
      </c>
      <c r="G113" s="98" t="s">
        <v>104</v>
      </c>
      <c r="H113" s="99" t="s">
        <v>34</v>
      </c>
      <c r="I113" s="78" t="str">
        <f>IFERROR(__xludf.DUMMYFUNCTION("IF(D113="""", """", IFERROR(VLOOKUP(TO_TEXT(D113), '💻 EQUIPOS'!B:H, 7, 0), """"))"),"Bloqueada")</f>
        <v>Bloqueada</v>
      </c>
      <c r="J113" s="98" t="s">
        <v>179</v>
      </c>
      <c r="K113" s="98" t="s">
        <v>268</v>
      </c>
      <c r="L113" s="94" t="s">
        <v>407</v>
      </c>
      <c r="M113" s="29"/>
      <c r="N113" s="94" t="s">
        <v>88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20"/>
    </row>
    <row r="114">
      <c r="A114" s="130">
        <v>111.0</v>
      </c>
      <c r="B114" s="52" t="str">
        <f t="shared" si="1"/>
        <v>OT-2026-111</v>
      </c>
      <c r="C114" s="103">
        <v>46218.0</v>
      </c>
      <c r="D114" s="104" t="s">
        <v>408</v>
      </c>
      <c r="E114" s="61" t="str">
        <f>IFERROR(__xludf.DUMMYFUNCTION("IF(D114="""", """", IF(REGEXMATCH(TO_TEXT(D114), ""^(AA\d{10}|EDU\d{7}|\d+|SZSES10IS\d{9})$""), ""✅"", ""⚠️""))"),"✅")</f>
        <v>✅</v>
      </c>
      <c r="F114" s="105" t="s">
        <v>400</v>
      </c>
      <c r="G114" s="98" t="s">
        <v>104</v>
      </c>
      <c r="H114" s="99" t="s">
        <v>34</v>
      </c>
      <c r="I114" s="78" t="str">
        <f>IFERROR(__xludf.DUMMYFUNCTION("IF(D114="""", """", IFERROR(VLOOKUP(TO_TEXT(D114), '💻 EQUIPOS'!B:H, 7, 0), """"))"),"Bloqueada")</f>
        <v>Bloqueada</v>
      </c>
      <c r="J114" s="98" t="s">
        <v>242</v>
      </c>
      <c r="K114" s="98" t="s">
        <v>317</v>
      </c>
      <c r="L114" s="94" t="s">
        <v>361</v>
      </c>
      <c r="M114" s="94" t="s">
        <v>409</v>
      </c>
      <c r="N114" s="94" t="s">
        <v>88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20"/>
    </row>
    <row r="115">
      <c r="A115" s="130">
        <v>112.0</v>
      </c>
      <c r="B115" s="52" t="str">
        <f t="shared" si="1"/>
        <v>OT-2026-112</v>
      </c>
      <c r="C115" s="103">
        <v>46218.0</v>
      </c>
      <c r="D115" s="104" t="s">
        <v>410</v>
      </c>
      <c r="E115" s="61" t="str">
        <f>IFERROR(__xludf.DUMMYFUNCTION("IF(D115="""", """", IF(REGEXMATCH(TO_TEXT(D115), ""^(AA\d{10}|EDU\d{7}|\d+|SZSES10IS\d{9})$""), ""✅"", ""⚠️""))"),"✅")</f>
        <v>✅</v>
      </c>
      <c r="F115" s="105" t="s">
        <v>400</v>
      </c>
      <c r="G115" s="98" t="s">
        <v>104</v>
      </c>
      <c r="H115" s="99" t="s">
        <v>34</v>
      </c>
      <c r="I115" s="78" t="str">
        <f>IFERROR(__xludf.DUMMYFUNCTION("IF(D115="""", """", IFERROR(VLOOKUP(TO_TEXT(D115), '💻 EQUIPOS'!B:H, 7, 0), """"))"),"Bloqueada")</f>
        <v>Bloqueada</v>
      </c>
      <c r="J115" s="98" t="s">
        <v>242</v>
      </c>
      <c r="K115" s="98" t="s">
        <v>317</v>
      </c>
      <c r="L115" s="94" t="s">
        <v>361</v>
      </c>
      <c r="M115" s="94" t="s">
        <v>407</v>
      </c>
      <c r="N115" s="94" t="s">
        <v>88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20"/>
    </row>
    <row r="116">
      <c r="A116" s="130">
        <v>113.0</v>
      </c>
      <c r="B116" s="52" t="str">
        <f t="shared" si="1"/>
        <v>OT-2026-113</v>
      </c>
      <c r="C116" s="103">
        <v>46218.0</v>
      </c>
      <c r="D116" s="104" t="s">
        <v>411</v>
      </c>
      <c r="E116" s="61" t="str">
        <f>IFERROR(__xludf.DUMMYFUNCTION("IF(D116="""", """", IF(REGEXMATCH(TO_TEXT(D116), ""^(AA\d{10}|EDU\d{7}|\d+|SZSES10IS\d{9})$""), ""✅"", ""⚠️""))"),"✅")</f>
        <v>✅</v>
      </c>
      <c r="F116" s="105" t="s">
        <v>77</v>
      </c>
      <c r="G116" s="98" t="s">
        <v>104</v>
      </c>
      <c r="H116" s="99" t="s">
        <v>36</v>
      </c>
      <c r="I116" s="78" t="str">
        <f>IFERROR(__xludf.DUMMYFUNCTION("IF(D116="""", """", IFERROR(VLOOKUP(TO_TEXT(D116), '💻 EQUIPOS'!B:H, 7, 0), """"))"),"Bloqueada")</f>
        <v>Bloqueada</v>
      </c>
      <c r="J116" s="98" t="s">
        <v>412</v>
      </c>
      <c r="K116" s="98" t="s">
        <v>105</v>
      </c>
      <c r="L116" s="94" t="s">
        <v>413</v>
      </c>
      <c r="M116" s="94" t="s">
        <v>407</v>
      </c>
      <c r="N116" s="94" t="s">
        <v>88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20"/>
    </row>
    <row r="117">
      <c r="A117" s="130">
        <v>114.0</v>
      </c>
      <c r="B117" s="52" t="str">
        <f t="shared" si="1"/>
        <v>OT-2026-114</v>
      </c>
      <c r="C117" s="103">
        <v>46218.0</v>
      </c>
      <c r="D117" s="104" t="s">
        <v>414</v>
      </c>
      <c r="E117" s="61" t="str">
        <f>IFERROR(__xludf.DUMMYFUNCTION("IF(D117="""", """", IF(REGEXMATCH(TO_TEXT(D117), ""^(AA\d{10}|EDU\d{7}|\d+|SZSES10IS\d{9})$""), ""✅"", ""⚠️""))"),"✅")</f>
        <v>✅</v>
      </c>
      <c r="F117" s="105" t="s">
        <v>77</v>
      </c>
      <c r="G117" s="98" t="s">
        <v>104</v>
      </c>
      <c r="H117" s="99" t="s">
        <v>34</v>
      </c>
      <c r="I117" s="78" t="str">
        <f>IFERROR(__xludf.DUMMYFUNCTION("IF(D117="""", """", IFERROR(VLOOKUP(TO_TEXT(D117), '💻 EQUIPOS'!B:H, 7, 0), """"))"),"Bloqueada")</f>
        <v>Bloqueada</v>
      </c>
      <c r="J117" s="98" t="s">
        <v>105</v>
      </c>
      <c r="K117" s="98" t="s">
        <v>105</v>
      </c>
      <c r="L117" s="94" t="s">
        <v>382</v>
      </c>
      <c r="M117" s="94"/>
      <c r="N117" s="94" t="s">
        <v>88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20"/>
    </row>
    <row r="118">
      <c r="A118" s="130">
        <v>115.0</v>
      </c>
      <c r="B118" s="52" t="str">
        <f t="shared" si="1"/>
        <v>OT-2026-115</v>
      </c>
      <c r="C118" s="103">
        <v>46219.0</v>
      </c>
      <c r="D118" s="104" t="s">
        <v>415</v>
      </c>
      <c r="E118" s="61" t="str">
        <f>IFERROR(__xludf.DUMMYFUNCTION("IF(D118="""", """", IF(REGEXMATCH(TO_TEXT(D118), ""^(AA\d{10}|EDU\d{7}|\d+|SZSES10IS\d{9})$""), ""✅"", ""⚠️""))"),"✅")</f>
        <v>✅</v>
      </c>
      <c r="F118" s="105" t="s">
        <v>77</v>
      </c>
      <c r="G118" s="98" t="s">
        <v>78</v>
      </c>
      <c r="H118" s="99" t="s">
        <v>111</v>
      </c>
      <c r="I118" s="78" t="str">
        <f>IFERROR(__xludf.DUMMYFUNCTION("IF(D118="""", """", IFERROR(VLOOKUP(TO_TEXT(D118), '💻 EQUIPOS'!B:H, 7, 0), """"))"),"Bloqueada")</f>
        <v>Bloqueada</v>
      </c>
      <c r="J118" s="98" t="s">
        <v>105</v>
      </c>
      <c r="K118" s="98" t="s">
        <v>161</v>
      </c>
      <c r="L118" s="94" t="s">
        <v>382</v>
      </c>
      <c r="M118" s="29"/>
      <c r="N118" s="94" t="s">
        <v>88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20"/>
    </row>
    <row r="119">
      <c r="A119" s="130">
        <v>116.0</v>
      </c>
      <c r="B119" s="52" t="str">
        <f t="shared" si="1"/>
        <v>OT-2026-116</v>
      </c>
      <c r="C119" s="103">
        <v>46219.0</v>
      </c>
      <c r="D119" s="104" t="s">
        <v>416</v>
      </c>
      <c r="E119" s="61" t="str">
        <f>IFERROR(__xludf.DUMMYFUNCTION("IF(D119="""", """", IF(REGEXMATCH(TO_TEXT(D119), ""^(AA\d{10}|EDU\d{7}|\d+|SZSES10IS\d{9})$""), ""✅"", ""⚠️""))"),"✅")</f>
        <v>✅</v>
      </c>
      <c r="F119" s="105" t="s">
        <v>77</v>
      </c>
      <c r="G119" s="98" t="s">
        <v>78</v>
      </c>
      <c r="H119" s="99" t="s">
        <v>84</v>
      </c>
      <c r="I119" s="78" t="str">
        <f>IFERROR(__xludf.DUMMYFUNCTION("IF(D119="""", """", IFERROR(VLOOKUP(TO_TEXT(D119), '💻 EQUIPOS'!B:H, 7, 0), """"))"),"Bloqueada")</f>
        <v>Bloqueada</v>
      </c>
      <c r="J119" s="98" t="s">
        <v>161</v>
      </c>
      <c r="K119" s="98" t="s">
        <v>161</v>
      </c>
      <c r="L119" s="94" t="s">
        <v>382</v>
      </c>
      <c r="M119" s="29"/>
      <c r="N119" s="94" t="s">
        <v>88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20"/>
    </row>
    <row r="120">
      <c r="A120" s="130">
        <v>117.0</v>
      </c>
      <c r="B120" s="52" t="str">
        <f t="shared" si="1"/>
        <v>OT-2026-117</v>
      </c>
      <c r="C120" s="103">
        <v>46219.0</v>
      </c>
      <c r="D120" s="104" t="s">
        <v>417</v>
      </c>
      <c r="E120" s="61" t="str">
        <f>IFERROR(__xludf.DUMMYFUNCTION("IF(D120="""", """", IF(REGEXMATCH(TO_TEXT(D120), ""^(AA\d{10}|EDU\d{7}|\d+|SZSES10IS\d{9})$""), ""✅"", ""⚠️""))"),"✅")</f>
        <v>✅</v>
      </c>
      <c r="F120" s="105" t="s">
        <v>77</v>
      </c>
      <c r="G120" s="98" t="s">
        <v>78</v>
      </c>
      <c r="H120" s="99" t="s">
        <v>120</v>
      </c>
      <c r="I120" s="78" t="str">
        <f>IFERROR(__xludf.DUMMYFUNCTION("IF(D120="""", """", IFERROR(VLOOKUP(TO_TEXT(D120), '💻 EQUIPOS'!B:H, 7, 0), """"))"),"Bloqueada")</f>
        <v>Bloqueada</v>
      </c>
      <c r="J120" s="98" t="s">
        <v>161</v>
      </c>
      <c r="K120" s="98" t="s">
        <v>268</v>
      </c>
      <c r="L120" s="94" t="s">
        <v>418</v>
      </c>
      <c r="M120" s="29"/>
      <c r="N120" s="94" t="s">
        <v>88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20"/>
    </row>
    <row r="121">
      <c r="A121" s="130">
        <v>118.0</v>
      </c>
      <c r="B121" s="52" t="str">
        <f t="shared" si="1"/>
        <v>OT-2026-118</v>
      </c>
      <c r="C121" s="103">
        <v>46219.0</v>
      </c>
      <c r="D121" s="104" t="s">
        <v>419</v>
      </c>
      <c r="E121" s="61" t="str">
        <f>IFERROR(__xludf.DUMMYFUNCTION("IF(D121="""", """", IF(REGEXMATCH(TO_TEXT(D121), ""^(AA\d{10}|EDU\d{7}|\d+|SZSES10IS\d{9})$""), ""✅"", ""⚠️""))"),"✅")</f>
        <v>✅</v>
      </c>
      <c r="F121" s="105" t="s">
        <v>77</v>
      </c>
      <c r="G121" s="98" t="s">
        <v>78</v>
      </c>
      <c r="H121" s="99" t="s">
        <v>111</v>
      </c>
      <c r="I121" s="78" t="str">
        <f>IFERROR(__xludf.DUMMYFUNCTION("IF(D121="""", """", IFERROR(VLOOKUP(TO_TEXT(D121), '💻 EQUIPOS'!B:H, 7, 0), """"))"),"Bloqueada")</f>
        <v>Bloqueada</v>
      </c>
      <c r="J121" s="98" t="s">
        <v>161</v>
      </c>
      <c r="K121" s="98" t="s">
        <v>247</v>
      </c>
      <c r="L121" s="94" t="s">
        <v>418</v>
      </c>
      <c r="M121" s="29"/>
      <c r="N121" s="94" t="s">
        <v>88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20"/>
    </row>
    <row r="122">
      <c r="A122" s="130">
        <v>119.0</v>
      </c>
      <c r="B122" s="52" t="str">
        <f t="shared" si="1"/>
        <v>OT-2026-119</v>
      </c>
      <c r="C122" s="103">
        <v>46219.0</v>
      </c>
      <c r="D122" s="104" t="s">
        <v>420</v>
      </c>
      <c r="E122" s="61" t="str">
        <f>IFERROR(__xludf.DUMMYFUNCTION("IF(D122="""", """", IF(REGEXMATCH(TO_TEXT(D122), ""^(AA\d{10}|EDU\d{7}|\d+|SZSES10IS\d{9})$""), ""✅"", ""⚠️""))"),"✅")</f>
        <v>✅</v>
      </c>
      <c r="F122" s="105" t="s">
        <v>77</v>
      </c>
      <c r="G122" s="98" t="s">
        <v>78</v>
      </c>
      <c r="H122" s="99" t="s">
        <v>84</v>
      </c>
      <c r="I122" s="78" t="str">
        <f>IFERROR(__xludf.DUMMYFUNCTION("IF(D122="""", """", IFERROR(VLOOKUP(TO_TEXT(D122), '💻 EQUIPOS'!B:H, 7, 0), """"))"),"Bloqueada")</f>
        <v>Bloqueada</v>
      </c>
      <c r="J122" s="98" t="s">
        <v>268</v>
      </c>
      <c r="K122" s="98" t="s">
        <v>255</v>
      </c>
      <c r="L122" s="94" t="s">
        <v>418</v>
      </c>
      <c r="M122" s="29"/>
      <c r="N122" s="94" t="s">
        <v>88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20"/>
    </row>
    <row r="123">
      <c r="A123" s="130">
        <v>120.0</v>
      </c>
      <c r="B123" s="52" t="str">
        <f t="shared" si="1"/>
        <v>OT-2026-120</v>
      </c>
      <c r="C123" s="103">
        <v>46219.0</v>
      </c>
      <c r="D123" s="104" t="s">
        <v>421</v>
      </c>
      <c r="E123" s="61" t="str">
        <f>IFERROR(__xludf.DUMMYFUNCTION("IF(D123="""", """", IF(REGEXMATCH(TO_TEXT(D123), ""^(AA\d{10}|EDU\d{7}|\d+|SZSES10IS\d{9})$""), ""✅"", ""⚠️""))"),"✅")</f>
        <v>✅</v>
      </c>
      <c r="F123" s="105" t="s">
        <v>77</v>
      </c>
      <c r="G123" s="98" t="s">
        <v>78</v>
      </c>
      <c r="H123" s="99" t="s">
        <v>120</v>
      </c>
      <c r="I123" s="78" t="str">
        <f>IFERROR(__xludf.DUMMYFUNCTION("IF(D123="""", """", IFERROR(VLOOKUP(TO_TEXT(D123), '💻 EQUIPOS'!B:H, 7, 0), """"))"),"Bloqueada")</f>
        <v>Bloqueada</v>
      </c>
      <c r="J123" s="98" t="s">
        <v>247</v>
      </c>
      <c r="K123" s="98" t="s">
        <v>268</v>
      </c>
      <c r="L123" s="94" t="s">
        <v>418</v>
      </c>
      <c r="M123" s="94" t="s">
        <v>422</v>
      </c>
      <c r="N123" s="94" t="s">
        <v>112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20"/>
    </row>
    <row r="124">
      <c r="A124" s="130">
        <v>121.0</v>
      </c>
      <c r="B124" s="52" t="str">
        <f t="shared" si="1"/>
        <v>OT-2026-121</v>
      </c>
      <c r="C124" s="103">
        <v>46219.0</v>
      </c>
      <c r="D124" s="104" t="s">
        <v>423</v>
      </c>
      <c r="E124" s="61" t="str">
        <f>IFERROR(__xludf.DUMMYFUNCTION("IF(D124="""", """", IF(REGEXMATCH(TO_TEXT(D124), ""^(AA\d{10}|EDU\d{7}|\d+|SZSES10IS\d{9})$""), ""✅"", ""⚠️""))"),"✅")</f>
        <v>✅</v>
      </c>
      <c r="F124" s="105" t="s">
        <v>77</v>
      </c>
      <c r="G124" s="98" t="s">
        <v>78</v>
      </c>
      <c r="H124" s="99" t="s">
        <v>111</v>
      </c>
      <c r="I124" s="78" t="str">
        <f>IFERROR(__xludf.DUMMYFUNCTION("IF(D124="""", """", IFERROR(VLOOKUP(TO_TEXT(D124), '💻 EQUIPOS'!B:H, 7, 0), """"))"),"Bloqueada")</f>
        <v>Bloqueada</v>
      </c>
      <c r="J124" s="98" t="s">
        <v>161</v>
      </c>
      <c r="K124" s="98" t="s">
        <v>247</v>
      </c>
      <c r="L124" s="94" t="s">
        <v>418</v>
      </c>
      <c r="M124" s="29"/>
      <c r="N124" s="94" t="s">
        <v>88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20"/>
    </row>
    <row r="125">
      <c r="A125" s="130">
        <v>122.0</v>
      </c>
      <c r="B125" s="52" t="str">
        <f t="shared" si="1"/>
        <v>OT-2026-122</v>
      </c>
      <c r="C125" s="103">
        <v>46219.0</v>
      </c>
      <c r="D125" s="104" t="s">
        <v>424</v>
      </c>
      <c r="E125" s="61" t="str">
        <f>IFERROR(__xludf.DUMMYFUNCTION("IF(D125="""", """", IF(REGEXMATCH(TO_TEXT(D125), ""^(AA\d{10}|EDU\d{7}|\d+|SZSES10IS\d{9})$""), ""✅"", ""⚠️""))"),"✅")</f>
        <v>✅</v>
      </c>
      <c r="F125" s="105" t="s">
        <v>77</v>
      </c>
      <c r="G125" s="98" t="s">
        <v>78</v>
      </c>
      <c r="H125" s="99" t="s">
        <v>120</v>
      </c>
      <c r="I125" s="78" t="str">
        <f>IFERROR(__xludf.DUMMYFUNCTION("IF(D125="""", """", IFERROR(VLOOKUP(TO_TEXT(D125), '💻 EQUIPOS'!B:H, 7, 0), """"))"),"Bloqueada")</f>
        <v>Bloqueada</v>
      </c>
      <c r="J125" s="98" t="s">
        <v>161</v>
      </c>
      <c r="K125" s="98" t="s">
        <v>425</v>
      </c>
      <c r="L125" s="94" t="s">
        <v>418</v>
      </c>
      <c r="M125" s="29"/>
      <c r="N125" s="94" t="s">
        <v>88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20"/>
    </row>
    <row r="126">
      <c r="A126" s="130">
        <v>123.0</v>
      </c>
      <c r="B126" s="52" t="str">
        <f t="shared" si="1"/>
        <v>OT-2026-123</v>
      </c>
      <c r="C126" s="103">
        <v>46219.0</v>
      </c>
      <c r="D126" s="104" t="s">
        <v>426</v>
      </c>
      <c r="E126" s="61" t="str">
        <f>IFERROR(__xludf.DUMMYFUNCTION("IF(D126="""", """", IF(REGEXMATCH(TO_TEXT(D126), ""^(AA\d{10}|EDU\d{7}|\d+|SZSES10IS\d{9})$""), ""✅"", ""⚠️""))"),"✅")</f>
        <v>✅</v>
      </c>
      <c r="F126" s="105" t="s">
        <v>77</v>
      </c>
      <c r="G126" s="98" t="s">
        <v>78</v>
      </c>
      <c r="H126" s="99" t="s">
        <v>111</v>
      </c>
      <c r="I126" s="78" t="str">
        <f>IFERROR(__xludf.DUMMYFUNCTION("IF(D126="""", """", IFERROR(VLOOKUP(TO_TEXT(D126), '💻 EQUIPOS'!B:H, 7, 0), """"))"),"Bloqueada")</f>
        <v>Bloqueada</v>
      </c>
      <c r="J126" s="98" t="s">
        <v>161</v>
      </c>
      <c r="K126" s="98" t="s">
        <v>427</v>
      </c>
      <c r="L126" s="94" t="s">
        <v>418</v>
      </c>
      <c r="M126" s="29"/>
      <c r="N126" s="94" t="s">
        <v>88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20"/>
    </row>
    <row r="127">
      <c r="A127" s="130">
        <v>124.0</v>
      </c>
      <c r="B127" s="52" t="str">
        <f t="shared" si="1"/>
        <v>OT-2026-124</v>
      </c>
      <c r="C127" s="103">
        <v>46244.0</v>
      </c>
      <c r="D127" s="104" t="s">
        <v>428</v>
      </c>
      <c r="E127" s="61" t="str">
        <f>IFERROR(__xludf.DUMMYFUNCTION("IF(D127="""", """", IF(REGEXMATCH(TO_TEXT(D127), ""^(AA\d{10}|EDU\d{7}|\d+|SZSES10IS\d{9})$""), ""✅"", ""⚠️""))"),"✅")</f>
        <v>✅</v>
      </c>
      <c r="F127" s="105" t="s">
        <v>77</v>
      </c>
      <c r="G127" s="98" t="s">
        <v>78</v>
      </c>
      <c r="H127" s="99" t="s">
        <v>111</v>
      </c>
      <c r="I127" s="78" t="str">
        <f>IFERROR(__xludf.DUMMYFUNCTION("IF(D127="""", """", IFERROR(VLOOKUP(TO_TEXT(D127), '💻 EQUIPOS'!B:H, 7, 0), """"))"),"Bloqueada")</f>
        <v>Bloqueada</v>
      </c>
      <c r="J127" s="98" t="s">
        <v>161</v>
      </c>
      <c r="K127" s="98" t="s">
        <v>242</v>
      </c>
      <c r="L127" s="94" t="s">
        <v>87</v>
      </c>
      <c r="M127" s="94" t="s">
        <v>429</v>
      </c>
      <c r="N127" s="94" t="s">
        <v>88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20"/>
    </row>
    <row r="128">
      <c r="A128" s="130">
        <v>125.0</v>
      </c>
      <c r="B128" s="52" t="str">
        <f t="shared" si="1"/>
        <v>OT-2026-125</v>
      </c>
      <c r="C128" s="132">
        <v>46244.0</v>
      </c>
      <c r="D128" s="104" t="s">
        <v>430</v>
      </c>
      <c r="E128" s="61" t="str">
        <f>IFERROR(__xludf.DUMMYFUNCTION("IF(D128="""", """", IF(REGEXMATCH(TO_TEXT(D128), ""^(AA\d{10}|EDU\d{7}|\d+|SZSES10IS\d{9})$""), ""✅"", ""⚠️""))"),"✅")</f>
        <v>✅</v>
      </c>
      <c r="F128" s="105" t="s">
        <v>77</v>
      </c>
      <c r="G128" s="98" t="s">
        <v>104</v>
      </c>
      <c r="H128" s="99" t="s">
        <v>32</v>
      </c>
      <c r="I128" s="78" t="str">
        <f>IFERROR(__xludf.DUMMYFUNCTION("IF(D128="""", """", IFERROR(VLOOKUP(TO_TEXT(D128), '💻 EQUIPOS'!B:H, 7, 0), """"))"),"Bloqueada")</f>
        <v>Bloqueada</v>
      </c>
      <c r="J128" s="98" t="s">
        <v>161</v>
      </c>
      <c r="K128" s="98" t="s">
        <v>349</v>
      </c>
      <c r="L128" s="94" t="s">
        <v>87</v>
      </c>
      <c r="M128" s="94" t="s">
        <v>431</v>
      </c>
      <c r="N128" s="94" t="s">
        <v>112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20"/>
    </row>
    <row r="129">
      <c r="A129" s="130">
        <v>126.0</v>
      </c>
      <c r="B129" s="52" t="str">
        <f t="shared" si="1"/>
        <v>OT-2026-126</v>
      </c>
      <c r="C129" s="103">
        <v>46244.0</v>
      </c>
      <c r="D129" s="104" t="s">
        <v>432</v>
      </c>
      <c r="E129" s="61" t="str">
        <f>IFERROR(__xludf.DUMMYFUNCTION("IF(D129="""", """", IF(REGEXMATCH(TO_TEXT(D129), ""^(AA\d{10}|EDU\d{7}|\d+|SZSES10IS\d{9})$""), ""✅"", ""⚠️""))"),"✅")</f>
        <v>✅</v>
      </c>
      <c r="F129" s="105" t="s">
        <v>77</v>
      </c>
      <c r="G129" s="98" t="s">
        <v>104</v>
      </c>
      <c r="H129" s="99" t="s">
        <v>36</v>
      </c>
      <c r="I129" s="78" t="str">
        <f>IFERROR(__xludf.DUMMYFUNCTION("IF(D129="""", """", IFERROR(VLOOKUP(TO_TEXT(D129), '💻 EQUIPOS'!B:H, 7, 0), """"))"),"Bloqueada")</f>
        <v>Bloqueada</v>
      </c>
      <c r="J129" s="98" t="s">
        <v>161</v>
      </c>
      <c r="K129" s="98" t="s">
        <v>268</v>
      </c>
      <c r="L129" s="94" t="s">
        <v>87</v>
      </c>
      <c r="M129" s="94" t="s">
        <v>433</v>
      </c>
      <c r="N129" s="94" t="s">
        <v>88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20"/>
    </row>
    <row r="130">
      <c r="A130" s="130">
        <v>127.0</v>
      </c>
      <c r="B130" s="52" t="str">
        <f t="shared" si="1"/>
        <v>OT-2026-127</v>
      </c>
      <c r="C130" s="103">
        <v>46244.0</v>
      </c>
      <c r="D130" s="104" t="s">
        <v>434</v>
      </c>
      <c r="E130" s="61" t="str">
        <f>IFERROR(__xludf.DUMMYFUNCTION("IF(D130="""", """", IF(REGEXMATCH(TO_TEXT(D130), ""^(AA\d{10}|EDU\d{7}|\d+|SZSES10IS\d{9})$""), ""✅"", ""⚠️""))"),"✅")</f>
        <v>✅</v>
      </c>
      <c r="F130" s="105" t="s">
        <v>77</v>
      </c>
      <c r="G130" s="98" t="s">
        <v>78</v>
      </c>
      <c r="H130" s="99" t="s">
        <v>82</v>
      </c>
      <c r="I130" s="78" t="str">
        <f>IFERROR(__xludf.DUMMYFUNCTION("IF(D130="""", """", IFERROR(VLOOKUP(TO_TEXT(D130), '💻 EQUIPOS'!B:H, 7, 0), """"))"),"Bloqueada")</f>
        <v>Bloqueada</v>
      </c>
      <c r="J130" s="98" t="s">
        <v>179</v>
      </c>
      <c r="K130" s="98" t="s">
        <v>161</v>
      </c>
      <c r="L130" s="94" t="s">
        <v>87</v>
      </c>
      <c r="M130" s="94" t="s">
        <v>435</v>
      </c>
      <c r="N130" s="94" t="s">
        <v>88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20"/>
    </row>
    <row r="131">
      <c r="A131" s="130">
        <v>128.0</v>
      </c>
      <c r="B131" s="52" t="str">
        <f t="shared" si="1"/>
        <v>OT-2026-128</v>
      </c>
      <c r="C131" s="103">
        <v>46244.0</v>
      </c>
      <c r="D131" s="104" t="s">
        <v>436</v>
      </c>
      <c r="E131" s="61" t="str">
        <f>IFERROR(__xludf.DUMMYFUNCTION("IF(D131="""", """", IF(REGEXMATCH(TO_TEXT(D131), ""^(AA\d{10}|EDU\d{7}|\d+|SZSES10IS\d{9})$""), ""✅"", ""⚠️""))"),"✅")</f>
        <v>✅</v>
      </c>
      <c r="F131" s="105" t="s">
        <v>77</v>
      </c>
      <c r="G131" s="98" t="s">
        <v>104</v>
      </c>
      <c r="H131" s="99" t="s">
        <v>36</v>
      </c>
      <c r="I131" s="78" t="str">
        <f>IFERROR(__xludf.DUMMYFUNCTION("IF(D131="""", """", IFERROR(VLOOKUP(TO_TEXT(D131), '💻 EQUIPOS'!B:H, 7, 0), """"))"),"Bloqueada")</f>
        <v>Bloqueada</v>
      </c>
      <c r="J131" s="98" t="s">
        <v>161</v>
      </c>
      <c r="K131" s="89"/>
      <c r="M131" s="29"/>
      <c r="N131" s="94" t="s">
        <v>88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20"/>
    </row>
    <row r="132">
      <c r="A132" s="130">
        <v>129.0</v>
      </c>
      <c r="B132" s="52" t="str">
        <f t="shared" si="1"/>
        <v>OT-2026-129</v>
      </c>
      <c r="C132" s="103">
        <v>46244.0</v>
      </c>
      <c r="D132" s="104" t="s">
        <v>437</v>
      </c>
      <c r="E132" s="61" t="str">
        <f>IFERROR(__xludf.DUMMYFUNCTION("IF(D132="""", """", IF(REGEXMATCH(TO_TEXT(D132), ""^(AA\d{10}|EDU\d{7}|\d+|SZSES10IS\d{9})$""), ""✅"", ""⚠️""))"),"✅")</f>
        <v>✅</v>
      </c>
      <c r="F132" s="105" t="s">
        <v>77</v>
      </c>
      <c r="G132" s="98" t="s">
        <v>78</v>
      </c>
      <c r="H132" s="99" t="s">
        <v>111</v>
      </c>
      <c r="I132" s="78" t="str">
        <f>IFERROR(__xludf.DUMMYFUNCTION("IF(D132="""", """", IFERROR(VLOOKUP(TO_TEXT(D132), '💻 EQUIPOS'!B:H, 7, 0), """"))"),"Bloqueada")</f>
        <v>Bloqueada</v>
      </c>
      <c r="J132" s="98" t="s">
        <v>161</v>
      </c>
      <c r="K132" s="89"/>
      <c r="L132" s="94" t="s">
        <v>87</v>
      </c>
      <c r="N132" s="94" t="s">
        <v>88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20"/>
    </row>
    <row r="133">
      <c r="A133" s="130">
        <v>130.0</v>
      </c>
      <c r="B133" s="52" t="str">
        <f t="shared" si="1"/>
        <v>OT-2026-130</v>
      </c>
      <c r="C133" s="103">
        <v>46245.0</v>
      </c>
      <c r="D133" s="104" t="s">
        <v>438</v>
      </c>
      <c r="E133" s="61" t="str">
        <f>IFERROR(__xludf.DUMMYFUNCTION("IF(D133="""", """", IF(REGEXMATCH(TO_TEXT(D133), ""^(AA\d{10}|EDU\d{7}|\d+|SZSES10IS\d{9})$""), ""✅"", ""⚠️""))"),"✅")</f>
        <v>✅</v>
      </c>
      <c r="F133" s="105" t="s">
        <v>77</v>
      </c>
      <c r="G133" s="98" t="s">
        <v>78</v>
      </c>
      <c r="H133" s="99" t="s">
        <v>120</v>
      </c>
      <c r="I133" s="78" t="str">
        <f>IFERROR(__xludf.DUMMYFUNCTION("IF(D133="""", """", IFERROR(VLOOKUP(TO_TEXT(D133), '💻 EQUIPOS'!B:H, 7, 0), """"))"),"Bloqueada")</f>
        <v>Bloqueada</v>
      </c>
      <c r="J133" s="98" t="s">
        <v>285</v>
      </c>
      <c r="K133" s="89"/>
      <c r="L133" s="29"/>
      <c r="N133" s="94" t="s">
        <v>88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20"/>
    </row>
    <row r="134">
      <c r="A134" s="130">
        <v>131.0</v>
      </c>
      <c r="B134" s="52" t="str">
        <f t="shared" si="1"/>
        <v>OT-2026-131</v>
      </c>
      <c r="C134" s="103">
        <v>46245.0</v>
      </c>
      <c r="D134" s="104" t="s">
        <v>439</v>
      </c>
      <c r="E134" s="61" t="str">
        <f>IFERROR(__xludf.DUMMYFUNCTION("IF(D134="""", """", IF(REGEXMATCH(TO_TEXT(D134), ""^(AA\d{10}|EDU\d{7}|\d+|SZSES10IS\d{9})$""), ""✅"", ""⚠️""))"),"✅")</f>
        <v>✅</v>
      </c>
      <c r="F134" s="105" t="s">
        <v>77</v>
      </c>
      <c r="G134" s="98" t="s">
        <v>78</v>
      </c>
      <c r="H134" s="99" t="s">
        <v>82</v>
      </c>
      <c r="I134" s="78" t="str">
        <f>IFERROR(__xludf.DUMMYFUNCTION("IF(D134="""", """", IFERROR(VLOOKUP(TO_TEXT(D134), '💻 EQUIPOS'!B:H, 7, 0), """"))"),"Bloqueada")</f>
        <v>Bloqueada</v>
      </c>
      <c r="J134" s="98" t="s">
        <v>285</v>
      </c>
      <c r="K134" s="89"/>
      <c r="L134" s="29"/>
      <c r="M134" s="29"/>
      <c r="N134" s="94" t="s">
        <v>88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20"/>
    </row>
    <row r="135">
      <c r="A135" s="130">
        <v>132.0</v>
      </c>
      <c r="B135" s="52" t="str">
        <f t="shared" si="1"/>
        <v>OT-2026-132</v>
      </c>
      <c r="C135" s="133">
        <v>46247.0</v>
      </c>
      <c r="D135" s="104" t="s">
        <v>440</v>
      </c>
      <c r="E135" s="61" t="str">
        <f>IFERROR(__xludf.DUMMYFUNCTION("IF(D135="""", """", IF(REGEXMATCH(TO_TEXT(D135), ""^(AA\d{10}|EDU\d{7}|\d+|SZSES10IS\d{9})$""), ""✅"", ""⚠️""))"),"✅")</f>
        <v>✅</v>
      </c>
      <c r="F135" s="105" t="s">
        <v>77</v>
      </c>
      <c r="G135" s="98" t="s">
        <v>78</v>
      </c>
      <c r="H135" s="99" t="s">
        <v>120</v>
      </c>
      <c r="I135" s="78" t="str">
        <f>IFERROR(__xludf.DUMMYFUNCTION("IF(D135="""", """", IFERROR(VLOOKUP(TO_TEXT(D135), '💻 EQUIPOS'!B:H, 7, 0), """"))"),"Bloqueada")</f>
        <v>Bloqueada</v>
      </c>
      <c r="J135" s="98" t="s">
        <v>285</v>
      </c>
      <c r="K135" s="89"/>
      <c r="L135" s="29"/>
      <c r="M135" s="94" t="s">
        <v>441</v>
      </c>
      <c r="N135" s="94" t="s">
        <v>112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20"/>
    </row>
    <row r="136">
      <c r="A136" s="130">
        <v>133.0</v>
      </c>
      <c r="B136" s="52" t="str">
        <f t="shared" si="1"/>
        <v>OT-2026-133</v>
      </c>
      <c r="C136" s="133">
        <v>46247.0</v>
      </c>
      <c r="D136" s="104" t="s">
        <v>442</v>
      </c>
      <c r="E136" s="61" t="str">
        <f>IFERROR(__xludf.DUMMYFUNCTION("IF(D136="""", """", IF(REGEXMATCH(TO_TEXT(D136), ""^(AA\d{10}|EDU\d{7}|\d+|SZSES10IS\d{9})$""), ""✅"", ""⚠️""))"),"✅")</f>
        <v>✅</v>
      </c>
      <c r="F136" s="105" t="s">
        <v>77</v>
      </c>
      <c r="G136" s="98" t="s">
        <v>78</v>
      </c>
      <c r="H136" s="99" t="s">
        <v>84</v>
      </c>
      <c r="I136" s="78" t="str">
        <f>IFERROR(__xludf.DUMMYFUNCTION("IF(D136="""", """", IFERROR(VLOOKUP(TO_TEXT(D136), '💻 EQUIPOS'!B:H, 7, 0), """"))"),"Bloqueada")</f>
        <v>Bloqueada</v>
      </c>
      <c r="J136" s="98" t="s">
        <v>285</v>
      </c>
      <c r="K136" s="98" t="s">
        <v>161</v>
      </c>
      <c r="L136" s="29"/>
      <c r="M136" s="29"/>
      <c r="N136" s="94" t="s">
        <v>112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20"/>
    </row>
    <row r="137">
      <c r="A137" s="130">
        <v>134.0</v>
      </c>
      <c r="B137" s="52" t="str">
        <f t="shared" si="1"/>
        <v>OT-2026-134</v>
      </c>
      <c r="C137" s="103">
        <v>46247.0</v>
      </c>
      <c r="D137" s="104" t="s">
        <v>443</v>
      </c>
      <c r="E137" s="61" t="str">
        <f>IFERROR(__xludf.DUMMYFUNCTION("IF(D137="""", """", IF(REGEXMATCH(TO_TEXT(D137), ""^(AA\d{10}|EDU\d{7}|\d+|SZSES10IS\d{9})$""), ""✅"", ""⚠️""))"),"✅")</f>
        <v>✅</v>
      </c>
      <c r="F137" s="105" t="s">
        <v>77</v>
      </c>
      <c r="G137" s="98" t="s">
        <v>78</v>
      </c>
      <c r="H137" s="99" t="s">
        <v>120</v>
      </c>
      <c r="I137" s="78" t="str">
        <f>IFERROR(__xludf.DUMMYFUNCTION("IF(D137="""", """", IFERROR(VLOOKUP(TO_TEXT(D137), '💻 EQUIPOS'!B:H, 7, 0), """"))"),"Bloqueada")</f>
        <v>Bloqueada</v>
      </c>
      <c r="J137" s="98" t="s">
        <v>161</v>
      </c>
      <c r="K137" s="98" t="s">
        <v>161</v>
      </c>
      <c r="L137" s="29"/>
      <c r="M137" s="29"/>
      <c r="N137" s="94" t="s">
        <v>444</v>
      </c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20"/>
    </row>
    <row r="138">
      <c r="A138" s="130">
        <v>135.0</v>
      </c>
      <c r="B138" s="52" t="str">
        <f t="shared" si="1"/>
        <v>OT-2026-135</v>
      </c>
      <c r="C138" s="103">
        <v>46247.0</v>
      </c>
      <c r="D138" s="104" t="s">
        <v>445</v>
      </c>
      <c r="E138" s="61" t="str">
        <f>IFERROR(__xludf.DUMMYFUNCTION("IF(D138="""", """", IF(REGEXMATCH(TO_TEXT(D138), ""^(AA\d{10}|EDU\d{7}|\d+|SZSES10IS\d{9})$""), ""✅"", ""⚠️""))"),"✅")</f>
        <v>✅</v>
      </c>
      <c r="F138" s="105" t="s">
        <v>77</v>
      </c>
      <c r="G138" s="98" t="s">
        <v>78</v>
      </c>
      <c r="H138" s="99" t="s">
        <v>120</v>
      </c>
      <c r="I138" s="78" t="str">
        <f>IFERROR(__xludf.DUMMYFUNCTION("IF(D138="""", """", IFERROR(VLOOKUP(TO_TEXT(D138), '💻 EQUIPOS'!B:H, 7, 0), """"))"),"Bloqueada")</f>
        <v>Bloqueada</v>
      </c>
      <c r="J138" s="98" t="s">
        <v>446</v>
      </c>
      <c r="K138" s="98" t="s">
        <v>161</v>
      </c>
      <c r="L138" s="29"/>
      <c r="M138" s="29"/>
      <c r="N138" s="94" t="s">
        <v>149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20"/>
    </row>
    <row r="139">
      <c r="A139" s="130">
        <v>136.0</v>
      </c>
      <c r="B139" s="52" t="str">
        <f t="shared" si="1"/>
        <v>OT-2026-136</v>
      </c>
      <c r="C139" s="103">
        <v>46247.0</v>
      </c>
      <c r="D139" s="134" t="s">
        <v>447</v>
      </c>
      <c r="E139" s="61" t="str">
        <f>IFERROR(__xludf.DUMMYFUNCTION("IF(D139="""", """", IF(REGEXMATCH(TO_TEXT(D139), ""^(AA\d{10}|EDU\d{7}|\d+|SZSES10IS\d{9})$""), ""✅"", ""⚠️""))"),"✅")</f>
        <v>✅</v>
      </c>
      <c r="F139" s="105" t="s">
        <v>77</v>
      </c>
      <c r="G139" s="98" t="s">
        <v>78</v>
      </c>
      <c r="H139" s="99" t="s">
        <v>84</v>
      </c>
      <c r="I139" s="78" t="str">
        <f>IFERROR(__xludf.DUMMYFUNCTION("IF(D139="""", """", IFERROR(VLOOKUP(TO_TEXT(D139), '💻 EQUIPOS'!B:H, 7, 0), """"))"),"Bloqueada")</f>
        <v>Bloqueada</v>
      </c>
      <c r="J139" s="98" t="s">
        <v>285</v>
      </c>
      <c r="K139" s="98" t="s">
        <v>161</v>
      </c>
      <c r="L139" s="29"/>
      <c r="M139" s="29"/>
      <c r="N139" s="94" t="s">
        <v>112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20"/>
    </row>
    <row r="140">
      <c r="A140" s="130">
        <v>137.0</v>
      </c>
      <c r="B140" s="52" t="str">
        <f t="shared" si="1"/>
        <v/>
      </c>
      <c r="C140" s="85"/>
      <c r="D140" s="87"/>
      <c r="E140" s="61" t="str">
        <f>IFERROR(__xludf.DUMMYFUNCTION("IF(D140="""", """", IF(REGEXMATCH(TO_TEXT(D140), ""^(AA\d{10}|EDU\d{7}|\d+|SZSES10IS\d{9})$""), ""✅"", ""⚠️""))"),"")</f>
        <v/>
      </c>
      <c r="F140" s="88"/>
      <c r="G140" s="89"/>
      <c r="H140" s="90"/>
      <c r="I140" s="78" t="str">
        <f>IFERROR(__xludf.DUMMYFUNCTION("IF(D140="""", """", IFERROR(VLOOKUP(TO_TEXT(D140), '💻 EQUIPOS'!B:H, 7, 0), """"))"),"")</f>
        <v/>
      </c>
      <c r="J140" s="89"/>
      <c r="K140" s="89"/>
      <c r="L140" s="29"/>
      <c r="M140" s="29"/>
      <c r="N140" s="29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20"/>
    </row>
    <row r="141">
      <c r="A141" s="130">
        <v>138.0</v>
      </c>
      <c r="B141" s="52" t="str">
        <f t="shared" si="1"/>
        <v/>
      </c>
      <c r="C141" s="85"/>
      <c r="D141" s="87"/>
      <c r="E141" s="61" t="str">
        <f>IFERROR(__xludf.DUMMYFUNCTION("IF(D141="""", """", IF(REGEXMATCH(TO_TEXT(D141), ""^(AA\d{10}|EDU\d{7}|\d+|SZSES10IS\d{9})$""), ""✅"", ""⚠️""))"),"")</f>
        <v/>
      </c>
      <c r="F141" s="88"/>
      <c r="G141" s="89"/>
      <c r="H141" s="90"/>
      <c r="I141" s="78" t="str">
        <f>IFERROR(__xludf.DUMMYFUNCTION("IF(D141="""", """", IFERROR(VLOOKUP(TO_TEXT(D141), '💻 EQUIPOS'!B:H, 7, 0), """"))"),"")</f>
        <v/>
      </c>
      <c r="J141" s="89"/>
      <c r="K141" s="89"/>
      <c r="L141" s="29"/>
      <c r="M141" s="29"/>
      <c r="N141" s="29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20"/>
    </row>
    <row r="142">
      <c r="A142" s="130">
        <v>139.0</v>
      </c>
      <c r="B142" s="52" t="str">
        <f t="shared" si="1"/>
        <v/>
      </c>
      <c r="C142" s="85"/>
      <c r="D142" s="87"/>
      <c r="E142" s="61" t="str">
        <f>IFERROR(__xludf.DUMMYFUNCTION("IF(D142="""", """", IF(REGEXMATCH(TO_TEXT(D142), ""^(AA\d{10}|EDU\d{7}|\d+|SZSES10IS\d{9})$""), ""✅"", ""⚠️""))"),"")</f>
        <v/>
      </c>
      <c r="F142" s="88"/>
      <c r="G142" s="89"/>
      <c r="H142" s="90"/>
      <c r="I142" s="78" t="str">
        <f>IFERROR(__xludf.DUMMYFUNCTION("IF(D142="""", """", IFERROR(VLOOKUP(TO_TEXT(D142), '💻 EQUIPOS'!B:H, 7, 0), """"))"),"")</f>
        <v/>
      </c>
      <c r="J142" s="89"/>
      <c r="K142" s="89"/>
      <c r="L142" s="29"/>
      <c r="M142" s="29"/>
      <c r="N142" s="29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20"/>
    </row>
    <row r="143">
      <c r="A143" s="130">
        <v>140.0</v>
      </c>
      <c r="B143" s="52" t="str">
        <f t="shared" si="1"/>
        <v/>
      </c>
      <c r="C143" s="85"/>
      <c r="D143" s="87"/>
      <c r="E143" s="61" t="str">
        <f>IFERROR(__xludf.DUMMYFUNCTION("IF(D143="""", """", IF(REGEXMATCH(TO_TEXT(D143), ""^(AA\d{10}|EDU\d{7}|\d+|SZSES10IS\d{9})$""), ""✅"", ""⚠️""))"),"")</f>
        <v/>
      </c>
      <c r="F143" s="88"/>
      <c r="G143" s="89"/>
      <c r="H143" s="90"/>
      <c r="I143" s="78" t="str">
        <f>IFERROR(__xludf.DUMMYFUNCTION("IF(D143="""", """", IFERROR(VLOOKUP(TO_TEXT(D143), '💻 EQUIPOS'!B:H, 7, 0), """"))"),"")</f>
        <v/>
      </c>
      <c r="J143" s="89"/>
      <c r="K143" s="89"/>
      <c r="L143" s="29"/>
      <c r="M143" s="29"/>
      <c r="N143" s="29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20"/>
    </row>
    <row r="144">
      <c r="A144" s="130">
        <v>141.0</v>
      </c>
      <c r="B144" s="52" t="str">
        <f t="shared" si="1"/>
        <v/>
      </c>
      <c r="C144" s="85"/>
      <c r="D144" s="87"/>
      <c r="E144" s="61" t="str">
        <f>IFERROR(__xludf.DUMMYFUNCTION("IF(D144="""", """", IF(REGEXMATCH(TO_TEXT(D144), ""^(AA\d{10}|EDU\d{7}|\d+|SZSES10IS\d{9})$""), ""✅"", ""⚠️""))"),"")</f>
        <v/>
      </c>
      <c r="F144" s="88"/>
      <c r="G144" s="89"/>
      <c r="H144" s="90"/>
      <c r="I144" s="78" t="str">
        <f>IFERROR(__xludf.DUMMYFUNCTION("IF(D144="""", """", IFERROR(VLOOKUP(TO_TEXT(D144), '💻 EQUIPOS'!B:H, 7, 0), """"))"),"")</f>
        <v/>
      </c>
      <c r="J144" s="89"/>
      <c r="K144" s="89"/>
      <c r="L144" s="29"/>
      <c r="M144" s="29"/>
      <c r="N144" s="29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20"/>
    </row>
    <row r="145">
      <c r="A145" s="130">
        <v>142.0</v>
      </c>
      <c r="B145" s="52" t="str">
        <f t="shared" si="1"/>
        <v/>
      </c>
      <c r="C145" s="85"/>
      <c r="D145" s="87"/>
      <c r="E145" s="61" t="str">
        <f>IFERROR(__xludf.DUMMYFUNCTION("IF(D145="""", """", IF(REGEXMATCH(TO_TEXT(D145), ""^(AA\d{10}|EDU\d{7}|\d+|SZSES10IS\d{9})$""), ""✅"", ""⚠️""))"),"")</f>
        <v/>
      </c>
      <c r="F145" s="88"/>
      <c r="G145" s="89"/>
      <c r="H145" s="90"/>
      <c r="I145" s="78" t="str">
        <f>IFERROR(__xludf.DUMMYFUNCTION("IF(D145="""", """", IFERROR(VLOOKUP(TO_TEXT(D145), '💻 EQUIPOS'!B:H, 7, 0), """"))"),"")</f>
        <v/>
      </c>
      <c r="J145" s="89"/>
      <c r="K145" s="89"/>
      <c r="L145" s="29"/>
      <c r="M145" s="29"/>
      <c r="N145" s="29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20"/>
    </row>
    <row r="146">
      <c r="A146" s="130">
        <v>143.0</v>
      </c>
      <c r="B146" s="52" t="str">
        <f t="shared" si="1"/>
        <v/>
      </c>
      <c r="C146" s="85"/>
      <c r="D146" s="87"/>
      <c r="E146" s="61" t="str">
        <f>IFERROR(__xludf.DUMMYFUNCTION("IF(D146="""", """", IF(REGEXMATCH(TO_TEXT(D146), ""^(AA\d{10}|EDU\d{7}|\d+|SZSES10IS\d{9})$""), ""✅"", ""⚠️""))"),"")</f>
        <v/>
      </c>
      <c r="F146" s="88"/>
      <c r="G146" s="89"/>
      <c r="H146" s="90"/>
      <c r="I146" s="78" t="str">
        <f>IFERROR(__xludf.DUMMYFUNCTION("IF(D146="""", """", IFERROR(VLOOKUP(TO_TEXT(D146), '💻 EQUIPOS'!B:H, 7, 0), """"))"),"")</f>
        <v/>
      </c>
      <c r="J146" s="89"/>
      <c r="K146" s="89"/>
      <c r="L146" s="29"/>
      <c r="M146" s="29"/>
      <c r="N146" s="29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20"/>
    </row>
    <row r="147">
      <c r="A147" s="130">
        <v>144.0</v>
      </c>
      <c r="B147" s="52" t="str">
        <f t="shared" si="1"/>
        <v/>
      </c>
      <c r="C147" s="85"/>
      <c r="D147" s="87"/>
      <c r="E147" s="61" t="str">
        <f>IFERROR(__xludf.DUMMYFUNCTION("IF(D147="""", """", IF(REGEXMATCH(TO_TEXT(D147), ""^(AA\d{10}|EDU\d{7}|\d+|SZSES10IS\d{9})$""), ""✅"", ""⚠️""))"),"")</f>
        <v/>
      </c>
      <c r="F147" s="88"/>
      <c r="G147" s="89"/>
      <c r="H147" s="90"/>
      <c r="I147" s="78" t="str">
        <f>IFERROR(__xludf.DUMMYFUNCTION("IF(D147="""", """", IFERROR(VLOOKUP(TO_TEXT(D147), '💻 EQUIPOS'!B:H, 7, 0), """"))"),"")</f>
        <v/>
      </c>
      <c r="J147" s="89"/>
      <c r="K147" s="89"/>
      <c r="L147" s="29"/>
      <c r="M147" s="29"/>
      <c r="N147" s="29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20"/>
    </row>
    <row r="148">
      <c r="A148" s="130">
        <v>145.0</v>
      </c>
      <c r="B148" s="52" t="str">
        <f t="shared" si="1"/>
        <v/>
      </c>
      <c r="C148" s="85"/>
      <c r="D148" s="87"/>
      <c r="E148" s="61" t="str">
        <f>IFERROR(__xludf.DUMMYFUNCTION("IF(D148="""", """", IF(REGEXMATCH(TO_TEXT(D148), ""^(AA\d{10}|EDU\d{7}|\d+|SZSES10IS\d{9})$""), ""✅"", ""⚠️""))"),"")</f>
        <v/>
      </c>
      <c r="F148" s="88"/>
      <c r="G148" s="89"/>
      <c r="H148" s="90"/>
      <c r="I148" s="78" t="str">
        <f>IFERROR(__xludf.DUMMYFUNCTION("IF(D148="""", """", IFERROR(VLOOKUP(TO_TEXT(D148), '💻 EQUIPOS'!B:H, 7, 0), """"))"),"")</f>
        <v/>
      </c>
      <c r="J148" s="89"/>
      <c r="K148" s="89"/>
      <c r="L148" s="29"/>
      <c r="M148" s="29"/>
      <c r="N148" s="29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20"/>
    </row>
    <row r="149">
      <c r="A149" s="130">
        <v>146.0</v>
      </c>
      <c r="B149" s="52" t="str">
        <f t="shared" si="1"/>
        <v/>
      </c>
      <c r="C149" s="85"/>
      <c r="D149" s="87"/>
      <c r="E149" s="61" t="str">
        <f>IFERROR(__xludf.DUMMYFUNCTION("IF(D149="""", """", IF(REGEXMATCH(TO_TEXT(D149), ""^(AA\d{10}|EDU\d{7}|\d+|SZSES10IS\d{9})$""), ""✅"", ""⚠️""))"),"")</f>
        <v/>
      </c>
      <c r="F149" s="88"/>
      <c r="G149" s="89"/>
      <c r="H149" s="90"/>
      <c r="I149" s="78" t="str">
        <f>IFERROR(__xludf.DUMMYFUNCTION("IF(D149="""", """", IFERROR(VLOOKUP(TO_TEXT(D149), '💻 EQUIPOS'!B:H, 7, 0), """"))"),"")</f>
        <v/>
      </c>
      <c r="J149" s="89"/>
      <c r="K149" s="89"/>
      <c r="L149" s="29"/>
      <c r="M149" s="29"/>
      <c r="N149" s="29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20"/>
    </row>
    <row r="150">
      <c r="A150" s="130">
        <v>147.0</v>
      </c>
      <c r="B150" s="52" t="str">
        <f t="shared" si="1"/>
        <v/>
      </c>
      <c r="C150" s="85"/>
      <c r="D150" s="87"/>
      <c r="E150" s="61" t="str">
        <f>IFERROR(__xludf.DUMMYFUNCTION("IF(D150="""", """", IF(REGEXMATCH(TO_TEXT(D150), ""^(AA\d{10}|EDU\d{7}|\d+|SZSES10IS\d{9})$""), ""✅"", ""⚠️""))"),"")</f>
        <v/>
      </c>
      <c r="F150" s="88"/>
      <c r="G150" s="89"/>
      <c r="H150" s="90"/>
      <c r="I150" s="78" t="str">
        <f>IFERROR(__xludf.DUMMYFUNCTION("IF(D150="""", """", IFERROR(VLOOKUP(TO_TEXT(D150), '💻 EQUIPOS'!B:H, 7, 0), """"))"),"")</f>
        <v/>
      </c>
      <c r="J150" s="89"/>
      <c r="K150" s="89"/>
      <c r="L150" s="29"/>
      <c r="M150" s="29"/>
      <c r="N150" s="29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20"/>
    </row>
    <row r="151">
      <c r="A151" s="135"/>
      <c r="B151" s="136" t="str">
        <f t="shared" si="1"/>
        <v/>
      </c>
      <c r="C151" s="137"/>
      <c r="D151" s="138"/>
      <c r="E151" s="61" t="str">
        <f>IFERROR(__xludf.DUMMYFUNCTION("IF(D151="""", """", IF(REGEXMATCH(TO_TEXT(D151), ""^(AA\d{10}|EDU\d{7}|\d+|SZSES10IS\d{9})$""), ""✅"", ""⚠️""))"),"")</f>
        <v/>
      </c>
      <c r="F151" s="139"/>
      <c r="G151" s="139"/>
      <c r="H151" s="140"/>
      <c r="I151" s="141"/>
      <c r="J151" s="139"/>
      <c r="K151" s="139"/>
      <c r="L151" s="140"/>
      <c r="M151" s="140"/>
      <c r="N151" s="140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20"/>
    </row>
    <row r="152">
      <c r="A152" s="135"/>
      <c r="B152" s="136" t="str">
        <f t="shared" si="1"/>
        <v/>
      </c>
      <c r="C152" s="137"/>
      <c r="D152" s="138"/>
      <c r="E152" s="61" t="str">
        <f>IFERROR(__xludf.DUMMYFUNCTION("IF(D152="""", """", IF(REGEXMATCH(TO_TEXT(D152), ""^(AA\d{10}|EDU\d{7}|\d+|SZSES10IS\d{9})$""), ""✅"", ""⚠️""))"),"")</f>
        <v/>
      </c>
      <c r="F152" s="139"/>
      <c r="G152" s="139"/>
      <c r="H152" s="140"/>
      <c r="I152" s="141"/>
      <c r="J152" s="139"/>
      <c r="K152" s="139"/>
      <c r="L152" s="140"/>
      <c r="M152" s="140"/>
      <c r="N152" s="140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20"/>
    </row>
    <row r="153">
      <c r="A153" s="135"/>
      <c r="B153" s="136" t="str">
        <f t="shared" si="1"/>
        <v/>
      </c>
      <c r="C153" s="137"/>
      <c r="D153" s="138"/>
      <c r="E153" s="61" t="str">
        <f>IFERROR(__xludf.DUMMYFUNCTION("IF(D153="""", """", IF(REGEXMATCH(TO_TEXT(D153), ""^(AA\d{10}|EDU\d{7}|\d+|SZSES10IS\d{9})$""), ""✅"", ""⚠️""))"),"")</f>
        <v/>
      </c>
      <c r="F153" s="139"/>
      <c r="G153" s="139"/>
      <c r="H153" s="140"/>
      <c r="I153" s="141"/>
      <c r="J153" s="139"/>
      <c r="K153" s="139"/>
      <c r="L153" s="140"/>
      <c r="M153" s="140"/>
      <c r="N153" s="140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20"/>
    </row>
    <row r="154">
      <c r="A154" s="135"/>
      <c r="B154" s="136" t="str">
        <f t="shared" si="1"/>
        <v/>
      </c>
      <c r="C154" s="137"/>
      <c r="D154" s="138"/>
      <c r="E154" s="61" t="str">
        <f>IFERROR(__xludf.DUMMYFUNCTION("IF(D154="""", """", IF(REGEXMATCH(TO_TEXT(D154), ""^(AA\d{10}|EDU\d{7}|\d+|SZSES10IS\d{9})$""), ""✅"", ""⚠️""))"),"")</f>
        <v/>
      </c>
      <c r="F154" s="139"/>
      <c r="G154" s="139"/>
      <c r="H154" s="140"/>
      <c r="I154" s="141"/>
      <c r="J154" s="139"/>
      <c r="K154" s="139"/>
      <c r="L154" s="140"/>
      <c r="M154" s="140"/>
      <c r="N154" s="140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20"/>
    </row>
    <row r="155">
      <c r="A155" s="135"/>
      <c r="B155" s="136" t="str">
        <f t="shared" si="1"/>
        <v/>
      </c>
      <c r="C155" s="137"/>
      <c r="D155" s="138"/>
      <c r="E155" s="61" t="str">
        <f>IFERROR(__xludf.DUMMYFUNCTION("IF(D155="""", """", IF(REGEXMATCH(TO_TEXT(D155), ""^(AA\d{10}|EDU\d{7}|\d+|SZSES10IS\d{9})$""), ""✅"", ""⚠️""))"),"")</f>
        <v/>
      </c>
      <c r="F155" s="139"/>
      <c r="G155" s="139"/>
      <c r="H155" s="140"/>
      <c r="I155" s="141"/>
      <c r="J155" s="139"/>
      <c r="K155" s="139"/>
      <c r="L155" s="140"/>
      <c r="M155" s="140"/>
      <c r="N155" s="140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20"/>
    </row>
    <row r="156">
      <c r="A156" s="135"/>
      <c r="B156" s="136" t="str">
        <f t="shared" si="1"/>
        <v/>
      </c>
      <c r="C156" s="137"/>
      <c r="D156" s="138"/>
      <c r="E156" s="61" t="str">
        <f>IFERROR(__xludf.DUMMYFUNCTION("IF(D156="""", """", IF(REGEXMATCH(TO_TEXT(D156), ""^(AA\d{10}|EDU\d{7}|\d+|SZSES10IS\d{9})$""), ""✅"", ""⚠️""))"),"")</f>
        <v/>
      </c>
      <c r="F156" s="139"/>
      <c r="G156" s="139"/>
      <c r="H156" s="140"/>
      <c r="I156" s="141"/>
      <c r="J156" s="139"/>
      <c r="K156" s="139"/>
      <c r="L156" s="140"/>
      <c r="M156" s="140"/>
      <c r="N156" s="140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20"/>
    </row>
    <row r="157">
      <c r="A157" s="135"/>
      <c r="B157" s="136" t="str">
        <f t="shared" si="1"/>
        <v/>
      </c>
      <c r="C157" s="137"/>
      <c r="D157" s="138"/>
      <c r="E157" s="61" t="str">
        <f>IFERROR(__xludf.DUMMYFUNCTION("IF(D157="""", """", IF(REGEXMATCH(TO_TEXT(D157), ""^(AA\d{10}|EDU\d{7}|\d+|SZSES10IS\d{9})$""), ""✅"", ""⚠️""))"),"")</f>
        <v/>
      </c>
      <c r="F157" s="139"/>
      <c r="G157" s="139"/>
      <c r="H157" s="140"/>
      <c r="I157" s="141"/>
      <c r="J157" s="139"/>
      <c r="K157" s="139"/>
      <c r="L157" s="140"/>
      <c r="M157" s="140"/>
      <c r="N157" s="140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20"/>
    </row>
    <row r="158">
      <c r="A158" s="135"/>
      <c r="B158" s="136" t="str">
        <f t="shared" si="1"/>
        <v/>
      </c>
      <c r="C158" s="137"/>
      <c r="D158" s="138"/>
      <c r="E158" s="61" t="str">
        <f>IFERROR(__xludf.DUMMYFUNCTION("IF(D158="""", """", IF(REGEXMATCH(TO_TEXT(D158), ""^(AA\d{10}|EDU\d{7}|\d+|SZSES10IS\d{9})$""), ""✅"", ""⚠️""))"),"")</f>
        <v/>
      </c>
      <c r="F158" s="139"/>
      <c r="G158" s="139"/>
      <c r="H158" s="140"/>
      <c r="I158" s="141"/>
      <c r="J158" s="139"/>
      <c r="K158" s="139"/>
      <c r="L158" s="140"/>
      <c r="M158" s="140"/>
      <c r="N158" s="140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20"/>
    </row>
    <row r="159">
      <c r="A159" s="135"/>
      <c r="B159" s="136" t="str">
        <f t="shared" si="1"/>
        <v/>
      </c>
      <c r="C159" s="137"/>
      <c r="D159" s="138"/>
      <c r="E159" s="61" t="str">
        <f>IFERROR(__xludf.DUMMYFUNCTION("IF(D159="""", """", IF(REGEXMATCH(TO_TEXT(D159), ""^(AA\d{10}|EDU\d{7}|\d+|SZSES10IS\d{9})$""), ""✅"", ""⚠️""))"),"")</f>
        <v/>
      </c>
      <c r="F159" s="139"/>
      <c r="G159" s="139"/>
      <c r="H159" s="140"/>
      <c r="I159" s="141"/>
      <c r="J159" s="139"/>
      <c r="K159" s="139"/>
      <c r="L159" s="140"/>
      <c r="M159" s="140"/>
      <c r="N159" s="140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20"/>
    </row>
    <row r="160">
      <c r="A160" s="135"/>
      <c r="B160" s="136" t="str">
        <f t="shared" si="1"/>
        <v/>
      </c>
      <c r="C160" s="137"/>
      <c r="D160" s="138"/>
      <c r="E160" s="61" t="str">
        <f>IFERROR(__xludf.DUMMYFUNCTION("IF(D160="""", """", IF(REGEXMATCH(TO_TEXT(D160), ""^(AA\d{10}|EDU\d{7}|\d+|SZSES10IS\d{9})$""), ""✅"", ""⚠️""))"),"")</f>
        <v/>
      </c>
      <c r="F160" s="139"/>
      <c r="G160" s="139"/>
      <c r="H160" s="140"/>
      <c r="I160" s="141"/>
      <c r="J160" s="139"/>
      <c r="K160" s="139"/>
      <c r="L160" s="140"/>
      <c r="M160" s="140"/>
      <c r="N160" s="140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20"/>
    </row>
    <row r="161">
      <c r="A161" s="135"/>
      <c r="B161" s="136" t="str">
        <f t="shared" si="1"/>
        <v/>
      </c>
      <c r="C161" s="137"/>
      <c r="D161" s="138"/>
      <c r="E161" s="61" t="str">
        <f>IFERROR(__xludf.DUMMYFUNCTION("IF(D161="""", """", IF(REGEXMATCH(TO_TEXT(D161), ""^(AA\d{10}|EDU\d{7}|\d+|SZSES10IS\d{9})$""), ""✅"", ""⚠️""))"),"")</f>
        <v/>
      </c>
      <c r="F161" s="139"/>
      <c r="G161" s="139"/>
      <c r="H161" s="140"/>
      <c r="I161" s="141"/>
      <c r="J161" s="139"/>
      <c r="K161" s="139"/>
      <c r="L161" s="140"/>
      <c r="M161" s="140"/>
      <c r="N161" s="140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20"/>
    </row>
    <row r="162">
      <c r="A162" s="135"/>
      <c r="B162" s="136" t="str">
        <f t="shared" si="1"/>
        <v/>
      </c>
      <c r="C162" s="137"/>
      <c r="D162" s="138"/>
      <c r="E162" s="61" t="str">
        <f>IFERROR(__xludf.DUMMYFUNCTION("IF(D162="""", """", IF(REGEXMATCH(TO_TEXT(D162), ""^(AA\d{10}|EDU\d{7}|\d+|SZSES10IS\d{9})$""), ""✅"", ""⚠️""))"),"")</f>
        <v/>
      </c>
      <c r="F162" s="139"/>
      <c r="G162" s="139"/>
      <c r="H162" s="140"/>
      <c r="I162" s="141"/>
      <c r="J162" s="139"/>
      <c r="K162" s="139"/>
      <c r="L162" s="140"/>
      <c r="M162" s="140"/>
      <c r="N162" s="140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20"/>
    </row>
    <row r="163">
      <c r="A163" s="135"/>
      <c r="B163" s="136" t="str">
        <f t="shared" si="1"/>
        <v/>
      </c>
      <c r="C163" s="137"/>
      <c r="D163" s="138"/>
      <c r="E163" s="61" t="str">
        <f>IFERROR(__xludf.DUMMYFUNCTION("IF(D163="""", """", IF(REGEXMATCH(TO_TEXT(D163), ""^(AA\d{10}|EDU\d{7}|\d+|SZSES10IS\d{9})$""), ""✅"", ""⚠️""))"),"")</f>
        <v/>
      </c>
      <c r="F163" s="139"/>
      <c r="G163" s="139"/>
      <c r="H163" s="140"/>
      <c r="I163" s="141"/>
      <c r="J163" s="139"/>
      <c r="K163" s="139"/>
      <c r="L163" s="140"/>
      <c r="M163" s="140"/>
      <c r="N163" s="140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20"/>
    </row>
    <row r="164">
      <c r="A164" s="135"/>
      <c r="B164" s="136" t="str">
        <f t="shared" si="1"/>
        <v/>
      </c>
      <c r="C164" s="137"/>
      <c r="D164" s="138"/>
      <c r="E164" s="61" t="str">
        <f>IFERROR(__xludf.DUMMYFUNCTION("IF(D164="""", """", IF(REGEXMATCH(TO_TEXT(D164), ""^(AA\d{10}|EDU\d{7}|\d+|SZSES10IS\d{9})$""), ""✅"", ""⚠️""))"),"")</f>
        <v/>
      </c>
      <c r="F164" s="139"/>
      <c r="G164" s="139"/>
      <c r="H164" s="140"/>
      <c r="I164" s="141"/>
      <c r="J164" s="139"/>
      <c r="K164" s="139"/>
      <c r="L164" s="140"/>
      <c r="M164" s="140"/>
      <c r="N164" s="140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20"/>
    </row>
    <row r="165">
      <c r="A165" s="135"/>
      <c r="B165" s="136" t="str">
        <f t="shared" si="1"/>
        <v/>
      </c>
      <c r="C165" s="137"/>
      <c r="D165" s="138"/>
      <c r="E165" s="61" t="str">
        <f>IFERROR(__xludf.DUMMYFUNCTION("IF(D165="""", """", IF(REGEXMATCH(TO_TEXT(D165), ""^(AA\d{10}|EDU\d{7}|\d+|SZSES10IS\d{9})$""), ""✅"", ""⚠️""))"),"")</f>
        <v/>
      </c>
      <c r="F165" s="139"/>
      <c r="G165" s="139"/>
      <c r="H165" s="140"/>
      <c r="I165" s="141"/>
      <c r="J165" s="139"/>
      <c r="K165" s="139"/>
      <c r="L165" s="140"/>
      <c r="M165" s="140"/>
      <c r="N165" s="140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20"/>
    </row>
    <row r="166">
      <c r="A166" s="135"/>
      <c r="B166" s="136" t="str">
        <f t="shared" si="1"/>
        <v/>
      </c>
      <c r="C166" s="137"/>
      <c r="D166" s="138"/>
      <c r="E166" s="61" t="str">
        <f>IFERROR(__xludf.DUMMYFUNCTION("IF(D166="""", """", IF(REGEXMATCH(TO_TEXT(D166), ""^(AA\d{10}|EDU\d{7}|\d+|SZSES10IS\d{9})$""), ""✅"", ""⚠️""))"),"")</f>
        <v/>
      </c>
      <c r="F166" s="139"/>
      <c r="G166" s="139"/>
      <c r="H166" s="140"/>
      <c r="I166" s="141"/>
      <c r="J166" s="139"/>
      <c r="K166" s="139"/>
      <c r="L166" s="140"/>
      <c r="M166" s="140"/>
      <c r="N166" s="140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20"/>
    </row>
    <row r="167">
      <c r="A167" s="135"/>
      <c r="B167" s="136" t="str">
        <f t="shared" si="1"/>
        <v/>
      </c>
      <c r="C167" s="137"/>
      <c r="D167" s="138"/>
      <c r="E167" s="61" t="str">
        <f>IFERROR(__xludf.DUMMYFUNCTION("IF(D167="""", """", IF(REGEXMATCH(TO_TEXT(D167), ""^(AA\d{10}|EDU\d{7}|\d+|SZSES10IS\d{9})$""), ""✅"", ""⚠️""))"),"")</f>
        <v/>
      </c>
      <c r="F167" s="139"/>
      <c r="G167" s="139"/>
      <c r="H167" s="140"/>
      <c r="I167" s="141"/>
      <c r="J167" s="139"/>
      <c r="K167" s="139"/>
      <c r="L167" s="140"/>
      <c r="M167" s="140"/>
      <c r="N167" s="140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20"/>
    </row>
    <row r="168">
      <c r="A168" s="135"/>
      <c r="B168" s="136" t="str">
        <f t="shared" si="1"/>
        <v/>
      </c>
      <c r="C168" s="137"/>
      <c r="D168" s="138"/>
      <c r="E168" s="61" t="str">
        <f>IFERROR(__xludf.DUMMYFUNCTION("IF(D168="""", """", IF(REGEXMATCH(TO_TEXT(D168), ""^(AA\d{10}|EDU\d{7}|\d+|SZSES10IS\d{9})$""), ""✅"", ""⚠️""))"),"")</f>
        <v/>
      </c>
      <c r="F168" s="139"/>
      <c r="G168" s="139"/>
      <c r="H168" s="140"/>
      <c r="I168" s="141"/>
      <c r="J168" s="139"/>
      <c r="K168" s="139"/>
      <c r="L168" s="140"/>
      <c r="M168" s="140"/>
      <c r="N168" s="140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20"/>
    </row>
    <row r="169">
      <c r="A169" s="142"/>
      <c r="B169" s="136" t="str">
        <f t="shared" si="1"/>
        <v/>
      </c>
      <c r="C169" s="143"/>
      <c r="D169" s="144"/>
      <c r="E169" s="61" t="str">
        <f>IFERROR(__xludf.DUMMYFUNCTION("IF(D169="""", """", IF(REGEXMATCH(TO_TEXT(D169), ""^(AA\d{10}|EDU\d{7}|\d+|SZSES10IS\d{9})$""), ""✅"", ""⚠️""))"),"")</f>
        <v/>
      </c>
      <c r="F169" s="145"/>
      <c r="G169" s="145"/>
      <c r="H169" s="146"/>
      <c r="I169" s="147"/>
      <c r="J169" s="145"/>
      <c r="K169" s="145"/>
      <c r="L169" s="146"/>
      <c r="M169" s="146"/>
      <c r="N169" s="14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20"/>
    </row>
    <row r="170">
      <c r="A170" s="142"/>
      <c r="B170" s="136" t="str">
        <f t="shared" si="1"/>
        <v/>
      </c>
      <c r="C170" s="143"/>
      <c r="D170" s="144"/>
      <c r="E170" s="61" t="str">
        <f>IFERROR(__xludf.DUMMYFUNCTION("IF(D170="""", """", IF(REGEXMATCH(TO_TEXT(D170), ""^(AA\d{10}|EDU\d{7}|\d+|SZSES10IS\d{9})$""), ""✅"", ""⚠️""))"),"")</f>
        <v/>
      </c>
      <c r="F170" s="145"/>
      <c r="G170" s="145"/>
      <c r="H170" s="146"/>
      <c r="I170" s="147"/>
      <c r="J170" s="145"/>
      <c r="K170" s="145"/>
      <c r="L170" s="146"/>
      <c r="M170" s="146"/>
      <c r="N170" s="14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20"/>
    </row>
    <row r="171">
      <c r="A171" s="142"/>
      <c r="B171" s="136" t="str">
        <f t="shared" si="1"/>
        <v/>
      </c>
      <c r="C171" s="143"/>
      <c r="D171" s="144"/>
      <c r="E171" s="61" t="str">
        <f>IFERROR(__xludf.DUMMYFUNCTION("IF(D171="""", """", IF(REGEXMATCH(TO_TEXT(D171), ""^(AA\d{10}|EDU\d{7}|\d+|SZSES10IS\d{9})$""), ""✅"", ""⚠️""))"),"")</f>
        <v/>
      </c>
      <c r="F171" s="145"/>
      <c r="G171" s="145"/>
      <c r="H171" s="146"/>
      <c r="I171" s="147"/>
      <c r="J171" s="145"/>
      <c r="K171" s="145"/>
      <c r="L171" s="146"/>
      <c r="M171" s="146"/>
      <c r="N171" s="14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20"/>
    </row>
    <row r="172">
      <c r="A172" s="142"/>
      <c r="B172" s="136" t="str">
        <f t="shared" si="1"/>
        <v/>
      </c>
      <c r="C172" s="143"/>
      <c r="D172" s="144"/>
      <c r="E172" s="61" t="str">
        <f>IFERROR(__xludf.DUMMYFUNCTION("IF(D172="""", """", IF(REGEXMATCH(TO_TEXT(D172), ""^(AA\d{10}|EDU\d{7}|\d+|SZSES10IS\d{9})$""), ""✅"", ""⚠️""))"),"")</f>
        <v/>
      </c>
      <c r="F172" s="145"/>
      <c r="G172" s="145"/>
      <c r="H172" s="146"/>
      <c r="I172" s="147"/>
      <c r="J172" s="145"/>
      <c r="K172" s="145"/>
      <c r="L172" s="146"/>
      <c r="M172" s="146"/>
      <c r="N172" s="14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20"/>
    </row>
    <row r="173">
      <c r="A173" s="142"/>
      <c r="B173" s="136" t="str">
        <f t="shared" si="1"/>
        <v/>
      </c>
      <c r="C173" s="143"/>
      <c r="D173" s="144"/>
      <c r="E173" s="61" t="str">
        <f>IFERROR(__xludf.DUMMYFUNCTION("IF(D173="""", """", IF(REGEXMATCH(TO_TEXT(D173), ""^(AA\d{10}|EDU\d{7}|\d+|SZSES10IS\d{9})$""), ""✅"", ""⚠️""))"),"")</f>
        <v/>
      </c>
      <c r="F173" s="145"/>
      <c r="G173" s="145"/>
      <c r="H173" s="146"/>
      <c r="I173" s="147"/>
      <c r="J173" s="145"/>
      <c r="K173" s="145"/>
      <c r="L173" s="146"/>
      <c r="M173" s="146"/>
      <c r="N173" s="14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20"/>
    </row>
    <row r="174">
      <c r="A174" s="142"/>
      <c r="B174" s="136" t="str">
        <f t="shared" si="1"/>
        <v/>
      </c>
      <c r="C174" s="143"/>
      <c r="D174" s="144"/>
      <c r="E174" s="61" t="str">
        <f>IFERROR(__xludf.DUMMYFUNCTION("IF(D174="""", """", IF(REGEXMATCH(TO_TEXT(D174), ""^(AA\d{10}|EDU\d{7}|\d+|SZSES10IS\d{9})$""), ""✅"", ""⚠️""))"),"")</f>
        <v/>
      </c>
      <c r="F174" s="145"/>
      <c r="G174" s="145"/>
      <c r="H174" s="146"/>
      <c r="I174" s="147"/>
      <c r="J174" s="145"/>
      <c r="K174" s="145"/>
      <c r="L174" s="146"/>
      <c r="M174" s="146"/>
      <c r="N174" s="146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20"/>
    </row>
    <row r="175">
      <c r="A175" s="142"/>
      <c r="B175" s="136" t="str">
        <f t="shared" si="1"/>
        <v/>
      </c>
      <c r="C175" s="143"/>
      <c r="D175" s="144"/>
      <c r="E175" s="61" t="str">
        <f>IFERROR(__xludf.DUMMYFUNCTION("IF(D175="""", """", IF(REGEXMATCH(TO_TEXT(D175), ""^(AA\d{10}|EDU\d{7}|\d+|SZSES10IS\d{9})$""), ""✅"", ""⚠️""))"),"")</f>
        <v/>
      </c>
      <c r="F175" s="145"/>
      <c r="G175" s="145"/>
      <c r="H175" s="146"/>
      <c r="I175" s="147"/>
      <c r="J175" s="145"/>
      <c r="K175" s="145"/>
      <c r="L175" s="146"/>
      <c r="M175" s="146"/>
      <c r="N175" s="146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20"/>
    </row>
    <row r="176">
      <c r="A176" s="142"/>
      <c r="B176" s="136" t="str">
        <f t="shared" si="1"/>
        <v/>
      </c>
      <c r="C176" s="143"/>
      <c r="D176" s="144"/>
      <c r="E176" s="61" t="str">
        <f>IFERROR(__xludf.DUMMYFUNCTION("IF(D176="""", """", IF(REGEXMATCH(TO_TEXT(D176), ""^(AA\d{10}|EDU\d{7}|\d+|SZSES10IS\d{9})$""), ""✅"", ""⚠️""))"),"")</f>
        <v/>
      </c>
      <c r="F176" s="145"/>
      <c r="G176" s="145"/>
      <c r="H176" s="146"/>
      <c r="I176" s="147"/>
      <c r="J176" s="145"/>
      <c r="K176" s="145"/>
      <c r="L176" s="146"/>
      <c r="M176" s="146"/>
      <c r="N176" s="146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20"/>
    </row>
    <row r="177">
      <c r="A177" s="142"/>
      <c r="B177" s="136" t="str">
        <f t="shared" si="1"/>
        <v/>
      </c>
      <c r="C177" s="143"/>
      <c r="D177" s="144"/>
      <c r="E177" s="61" t="str">
        <f>IFERROR(__xludf.DUMMYFUNCTION("IF(D177="""", """", IF(REGEXMATCH(TO_TEXT(D177), ""^(AA\d{10}|EDU\d{7}|\d+|SZSES10IS\d{9})$""), ""✅"", ""⚠️""))"),"")</f>
        <v/>
      </c>
      <c r="F177" s="145"/>
      <c r="G177" s="145"/>
      <c r="H177" s="146"/>
      <c r="I177" s="147"/>
      <c r="J177" s="145"/>
      <c r="K177" s="145"/>
      <c r="L177" s="146"/>
      <c r="M177" s="146"/>
      <c r="N177" s="146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20"/>
    </row>
    <row r="178">
      <c r="A178" s="142"/>
      <c r="B178" s="136" t="str">
        <f t="shared" si="1"/>
        <v/>
      </c>
      <c r="C178" s="143"/>
      <c r="D178" s="144"/>
      <c r="E178" s="145"/>
      <c r="F178" s="145"/>
      <c r="G178" s="145"/>
      <c r="H178" s="146"/>
      <c r="I178" s="147"/>
      <c r="J178" s="145"/>
      <c r="K178" s="145"/>
      <c r="L178" s="146"/>
      <c r="M178" s="146"/>
      <c r="N178" s="146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20"/>
    </row>
    <row r="179">
      <c r="A179" s="142"/>
      <c r="B179" s="136" t="str">
        <f t="shared" si="1"/>
        <v/>
      </c>
      <c r="C179" s="143"/>
      <c r="D179" s="144"/>
      <c r="E179" s="145"/>
      <c r="F179" s="145"/>
      <c r="G179" s="145"/>
      <c r="H179" s="146"/>
      <c r="I179" s="147"/>
      <c r="J179" s="145"/>
      <c r="K179" s="145"/>
      <c r="L179" s="146"/>
      <c r="M179" s="146"/>
      <c r="N179" s="146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20"/>
    </row>
    <row r="180">
      <c r="A180" s="142"/>
      <c r="B180" s="136" t="str">
        <f t="shared" si="1"/>
        <v/>
      </c>
      <c r="C180" s="143"/>
      <c r="D180" s="144"/>
      <c r="E180" s="145"/>
      <c r="F180" s="145"/>
      <c r="G180" s="145"/>
      <c r="H180" s="146"/>
      <c r="I180" s="147"/>
      <c r="J180" s="145"/>
      <c r="K180" s="145"/>
      <c r="L180" s="146"/>
      <c r="M180" s="146"/>
      <c r="N180" s="146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20"/>
    </row>
    <row r="181">
      <c r="A181" s="142"/>
      <c r="B181" s="136" t="str">
        <f t="shared" si="1"/>
        <v/>
      </c>
      <c r="C181" s="143"/>
      <c r="D181" s="144"/>
      <c r="E181" s="145"/>
      <c r="F181" s="145"/>
      <c r="G181" s="145"/>
      <c r="H181" s="146"/>
      <c r="I181" s="147"/>
      <c r="J181" s="145"/>
      <c r="K181" s="145"/>
      <c r="L181" s="146"/>
      <c r="M181" s="146"/>
      <c r="N181" s="14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20"/>
    </row>
    <row r="182">
      <c r="A182" s="142"/>
      <c r="B182" s="136" t="str">
        <f t="shared" si="1"/>
        <v/>
      </c>
      <c r="C182" s="143"/>
      <c r="D182" s="144"/>
      <c r="E182" s="145"/>
      <c r="F182" s="145"/>
      <c r="G182" s="145"/>
      <c r="H182" s="146"/>
      <c r="I182" s="147"/>
      <c r="J182" s="145"/>
      <c r="K182" s="145"/>
      <c r="L182" s="146"/>
      <c r="M182" s="146"/>
      <c r="N182" s="146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20"/>
    </row>
    <row r="183">
      <c r="A183" s="142"/>
      <c r="B183" s="136" t="str">
        <f t="shared" si="1"/>
        <v/>
      </c>
      <c r="C183" s="143"/>
      <c r="D183" s="144"/>
      <c r="E183" s="145"/>
      <c r="F183" s="145"/>
      <c r="G183" s="145"/>
      <c r="H183" s="146"/>
      <c r="I183" s="147"/>
      <c r="J183" s="145"/>
      <c r="K183" s="145"/>
      <c r="L183" s="146"/>
      <c r="M183" s="146"/>
      <c r="N183" s="146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20"/>
    </row>
    <row r="184">
      <c r="A184" s="142"/>
      <c r="B184" s="136" t="str">
        <f t="shared" si="1"/>
        <v/>
      </c>
      <c r="C184" s="143"/>
      <c r="D184" s="144"/>
      <c r="E184" s="145"/>
      <c r="F184" s="145"/>
      <c r="G184" s="145"/>
      <c r="H184" s="146"/>
      <c r="I184" s="147"/>
      <c r="J184" s="145"/>
      <c r="K184" s="145"/>
      <c r="L184" s="146"/>
      <c r="M184" s="146"/>
      <c r="N184" s="146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20"/>
    </row>
    <row r="185">
      <c r="A185" s="142"/>
      <c r="B185" s="136" t="str">
        <f t="shared" si="1"/>
        <v/>
      </c>
      <c r="C185" s="143"/>
      <c r="D185" s="144"/>
      <c r="E185" s="145"/>
      <c r="F185" s="145"/>
      <c r="G185" s="145"/>
      <c r="H185" s="146"/>
      <c r="I185" s="147"/>
      <c r="J185" s="145"/>
      <c r="K185" s="145"/>
      <c r="L185" s="146"/>
      <c r="M185" s="146"/>
      <c r="N185" s="14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20"/>
    </row>
    <row r="186">
      <c r="A186" s="142"/>
      <c r="B186" s="136" t="str">
        <f t="shared" si="1"/>
        <v/>
      </c>
      <c r="C186" s="143"/>
      <c r="D186" s="144"/>
      <c r="E186" s="145"/>
      <c r="F186" s="145"/>
      <c r="G186" s="145"/>
      <c r="H186" s="146"/>
      <c r="I186" s="147"/>
      <c r="J186" s="145"/>
      <c r="K186" s="145"/>
      <c r="L186" s="146"/>
      <c r="M186" s="146"/>
      <c r="N186" s="146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20"/>
    </row>
    <row r="187">
      <c r="A187" s="142"/>
      <c r="B187" s="136" t="str">
        <f t="shared" si="1"/>
        <v/>
      </c>
      <c r="C187" s="143"/>
      <c r="D187" s="144"/>
      <c r="E187" s="145"/>
      <c r="F187" s="145"/>
      <c r="G187" s="145"/>
      <c r="H187" s="146"/>
      <c r="I187" s="147"/>
      <c r="J187" s="145"/>
      <c r="K187" s="145"/>
      <c r="L187" s="146"/>
      <c r="M187" s="146"/>
      <c r="N187" s="14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20"/>
    </row>
    <row r="188">
      <c r="A188" s="142"/>
      <c r="B188" s="136" t="str">
        <f t="shared" si="1"/>
        <v/>
      </c>
      <c r="C188" s="143"/>
      <c r="D188" s="144"/>
      <c r="E188" s="145"/>
      <c r="F188" s="145"/>
      <c r="G188" s="145"/>
      <c r="H188" s="146"/>
      <c r="I188" s="147"/>
      <c r="J188" s="145"/>
      <c r="K188" s="145"/>
      <c r="L188" s="146"/>
      <c r="M188" s="146"/>
      <c r="N188" s="146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20"/>
    </row>
    <row r="189">
      <c r="A189" s="142"/>
      <c r="B189" s="136" t="str">
        <f t="shared" si="1"/>
        <v/>
      </c>
      <c r="C189" s="143"/>
      <c r="D189" s="144"/>
      <c r="E189" s="145"/>
      <c r="F189" s="145"/>
      <c r="G189" s="145"/>
      <c r="H189" s="146"/>
      <c r="I189" s="147"/>
      <c r="J189" s="145"/>
      <c r="K189" s="145"/>
      <c r="L189" s="146"/>
      <c r="M189" s="146"/>
      <c r="N189" s="146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20"/>
    </row>
    <row r="190">
      <c r="A190" s="142"/>
      <c r="B190" s="136" t="str">
        <f t="shared" si="1"/>
        <v/>
      </c>
      <c r="C190" s="143"/>
      <c r="D190" s="144"/>
      <c r="E190" s="145"/>
      <c r="F190" s="145"/>
      <c r="G190" s="145"/>
      <c r="H190" s="146"/>
      <c r="I190" s="147"/>
      <c r="J190" s="145"/>
      <c r="K190" s="145"/>
      <c r="L190" s="146"/>
      <c r="M190" s="146"/>
      <c r="N190" s="14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20"/>
    </row>
    <row r="191">
      <c r="A191" s="142"/>
      <c r="B191" s="136" t="str">
        <f t="shared" si="1"/>
        <v/>
      </c>
      <c r="C191" s="143"/>
      <c r="D191" s="144"/>
      <c r="E191" s="145"/>
      <c r="F191" s="145"/>
      <c r="G191" s="145"/>
      <c r="H191" s="146"/>
      <c r="I191" s="147"/>
      <c r="J191" s="145"/>
      <c r="K191" s="145"/>
      <c r="L191" s="146"/>
      <c r="M191" s="146"/>
      <c r="N191" s="146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20"/>
    </row>
    <row r="192">
      <c r="A192" s="142"/>
      <c r="B192" s="136" t="str">
        <f t="shared" si="1"/>
        <v/>
      </c>
      <c r="C192" s="143"/>
      <c r="D192" s="144"/>
      <c r="E192" s="145"/>
      <c r="F192" s="145"/>
      <c r="G192" s="145"/>
      <c r="H192" s="146"/>
      <c r="I192" s="147"/>
      <c r="J192" s="145"/>
      <c r="K192" s="145"/>
      <c r="L192" s="146"/>
      <c r="M192" s="146"/>
      <c r="N192" s="14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20"/>
    </row>
    <row r="193">
      <c r="A193" s="142"/>
      <c r="B193" s="136" t="str">
        <f t="shared" si="1"/>
        <v/>
      </c>
      <c r="C193" s="143"/>
      <c r="D193" s="144"/>
      <c r="E193" s="145"/>
      <c r="F193" s="145"/>
      <c r="G193" s="145"/>
      <c r="H193" s="146"/>
      <c r="I193" s="147"/>
      <c r="J193" s="145"/>
      <c r="K193" s="145"/>
      <c r="L193" s="146"/>
      <c r="M193" s="146"/>
      <c r="N193" s="146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20"/>
    </row>
    <row r="194">
      <c r="A194" s="142"/>
      <c r="B194" s="136" t="str">
        <f t="shared" si="1"/>
        <v/>
      </c>
      <c r="C194" s="143"/>
      <c r="D194" s="144"/>
      <c r="E194" s="145"/>
      <c r="F194" s="145"/>
      <c r="G194" s="145"/>
      <c r="H194" s="146"/>
      <c r="I194" s="147"/>
      <c r="J194" s="145"/>
      <c r="K194" s="145"/>
      <c r="L194" s="146"/>
      <c r="M194" s="146"/>
      <c r="N194" s="14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20"/>
    </row>
    <row r="195">
      <c r="A195" s="142"/>
      <c r="B195" s="136" t="str">
        <f t="shared" si="1"/>
        <v/>
      </c>
      <c r="C195" s="143"/>
      <c r="D195" s="144"/>
      <c r="E195" s="145"/>
      <c r="F195" s="145"/>
      <c r="G195" s="145"/>
      <c r="H195" s="146"/>
      <c r="I195" s="147"/>
      <c r="J195" s="145"/>
      <c r="K195" s="145"/>
      <c r="L195" s="146"/>
      <c r="M195" s="146"/>
      <c r="N195" s="146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20"/>
    </row>
    <row r="196">
      <c r="A196" s="142"/>
      <c r="B196" s="136" t="str">
        <f t="shared" si="1"/>
        <v/>
      </c>
      <c r="C196" s="143"/>
      <c r="D196" s="144"/>
      <c r="E196" s="145"/>
      <c r="F196" s="145"/>
      <c r="G196" s="145"/>
      <c r="H196" s="146"/>
      <c r="I196" s="147"/>
      <c r="J196" s="145"/>
      <c r="K196" s="145"/>
      <c r="L196" s="146"/>
      <c r="M196" s="146"/>
      <c r="N196" s="146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20"/>
    </row>
    <row r="197">
      <c r="A197" s="142"/>
      <c r="B197" s="136" t="str">
        <f t="shared" si="1"/>
        <v/>
      </c>
      <c r="C197" s="143"/>
      <c r="D197" s="144"/>
      <c r="E197" s="145"/>
      <c r="F197" s="145"/>
      <c r="G197" s="145"/>
      <c r="H197" s="146"/>
      <c r="I197" s="147"/>
      <c r="J197" s="145"/>
      <c r="K197" s="145"/>
      <c r="L197" s="146"/>
      <c r="M197" s="146"/>
      <c r="N197" s="146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20"/>
    </row>
    <row r="198">
      <c r="A198" s="142"/>
      <c r="B198" s="136" t="str">
        <f t="shared" si="1"/>
        <v/>
      </c>
      <c r="C198" s="143"/>
      <c r="D198" s="144"/>
      <c r="E198" s="145"/>
      <c r="F198" s="145"/>
      <c r="G198" s="145"/>
      <c r="H198" s="146"/>
      <c r="I198" s="147"/>
      <c r="J198" s="145"/>
      <c r="K198" s="145"/>
      <c r="L198" s="146"/>
      <c r="M198" s="146"/>
      <c r="N198" s="146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20"/>
    </row>
    <row r="199">
      <c r="A199" s="142"/>
      <c r="B199" s="136" t="str">
        <f t="shared" si="1"/>
        <v/>
      </c>
      <c r="C199" s="143"/>
      <c r="D199" s="144"/>
      <c r="E199" s="145"/>
      <c r="F199" s="145"/>
      <c r="G199" s="145"/>
      <c r="H199" s="146"/>
      <c r="I199" s="147"/>
      <c r="J199" s="145"/>
      <c r="K199" s="145"/>
      <c r="L199" s="146"/>
      <c r="M199" s="146"/>
      <c r="N199" s="146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20"/>
    </row>
    <row r="200">
      <c r="A200" s="142"/>
      <c r="B200" s="136" t="str">
        <f t="shared" si="1"/>
        <v/>
      </c>
      <c r="C200" s="143"/>
      <c r="D200" s="144"/>
      <c r="E200" s="145"/>
      <c r="F200" s="145"/>
      <c r="G200" s="145"/>
      <c r="H200" s="146"/>
      <c r="I200" s="147"/>
      <c r="J200" s="145"/>
      <c r="K200" s="145"/>
      <c r="L200" s="146"/>
      <c r="M200" s="146"/>
      <c r="N200" s="146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20"/>
    </row>
    <row r="201">
      <c r="A201" s="14"/>
      <c r="B201" s="148" t="str">
        <f t="shared" si="1"/>
        <v/>
      </c>
      <c r="C201" s="149"/>
      <c r="D201" s="150"/>
      <c r="E201" s="151"/>
      <c r="F201" s="151"/>
      <c r="G201" s="151"/>
      <c r="H201" s="10"/>
      <c r="I201" s="152"/>
      <c r="J201" s="151"/>
      <c r="K201" s="151"/>
      <c r="L201" s="10"/>
      <c r="M201" s="10"/>
      <c r="N201" s="10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20"/>
    </row>
    <row r="202">
      <c r="A202" s="14"/>
      <c r="B202" s="148" t="str">
        <f t="shared" si="1"/>
        <v/>
      </c>
      <c r="C202" s="149"/>
      <c r="D202" s="150"/>
      <c r="E202" s="151"/>
      <c r="F202" s="151"/>
      <c r="G202" s="151"/>
      <c r="H202" s="10"/>
      <c r="I202" s="152"/>
      <c r="J202" s="151"/>
      <c r="K202" s="151"/>
      <c r="L202" s="10"/>
      <c r="M202" s="10"/>
      <c r="N202" s="10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20"/>
    </row>
    <row r="203">
      <c r="A203" s="14"/>
      <c r="B203" s="148" t="str">
        <f t="shared" si="1"/>
        <v/>
      </c>
      <c r="C203" s="149"/>
      <c r="D203" s="150"/>
      <c r="E203" s="151"/>
      <c r="F203" s="151"/>
      <c r="G203" s="151"/>
      <c r="H203" s="10"/>
      <c r="I203" s="152"/>
      <c r="J203" s="151"/>
      <c r="K203" s="151"/>
      <c r="L203" s="10"/>
      <c r="M203" s="10"/>
      <c r="N203" s="10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20"/>
    </row>
    <row r="204">
      <c r="A204" s="14"/>
      <c r="B204" s="148" t="str">
        <f t="shared" si="1"/>
        <v/>
      </c>
      <c r="C204" s="149"/>
      <c r="D204" s="150"/>
      <c r="E204" s="151"/>
      <c r="F204" s="151"/>
      <c r="G204" s="151"/>
      <c r="H204" s="10"/>
      <c r="I204" s="152"/>
      <c r="J204" s="151"/>
      <c r="K204" s="151"/>
      <c r="L204" s="10"/>
      <c r="M204" s="10"/>
      <c r="N204" s="10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20"/>
    </row>
    <row r="205">
      <c r="A205" s="14"/>
      <c r="B205" s="148" t="str">
        <f t="shared" si="1"/>
        <v/>
      </c>
      <c r="C205" s="149"/>
      <c r="D205" s="150"/>
      <c r="E205" s="151"/>
      <c r="F205" s="151"/>
      <c r="G205" s="151"/>
      <c r="H205" s="10"/>
      <c r="I205" s="152"/>
      <c r="J205" s="151"/>
      <c r="K205" s="151"/>
      <c r="L205" s="10"/>
      <c r="M205" s="10"/>
      <c r="N205" s="10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20"/>
    </row>
    <row r="206">
      <c r="A206" s="14"/>
      <c r="B206" s="148" t="str">
        <f t="shared" si="1"/>
        <v/>
      </c>
      <c r="C206" s="149"/>
      <c r="D206" s="150"/>
      <c r="E206" s="151"/>
      <c r="F206" s="151"/>
      <c r="G206" s="151"/>
      <c r="H206" s="10"/>
      <c r="I206" s="152"/>
      <c r="J206" s="151"/>
      <c r="K206" s="151"/>
      <c r="L206" s="10"/>
      <c r="M206" s="10"/>
      <c r="N206" s="10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20"/>
    </row>
    <row r="207">
      <c r="A207" s="14"/>
      <c r="B207" s="148" t="str">
        <f t="shared" si="1"/>
        <v/>
      </c>
      <c r="C207" s="149"/>
      <c r="D207" s="150"/>
      <c r="E207" s="151"/>
      <c r="F207" s="151"/>
      <c r="G207" s="151"/>
      <c r="H207" s="10"/>
      <c r="I207" s="152"/>
      <c r="J207" s="151"/>
      <c r="K207" s="151"/>
      <c r="L207" s="10"/>
      <c r="M207" s="10"/>
      <c r="N207" s="10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20"/>
    </row>
    <row r="208">
      <c r="A208" s="14"/>
      <c r="B208" s="148" t="str">
        <f t="shared" si="1"/>
        <v/>
      </c>
      <c r="C208" s="149"/>
      <c r="D208" s="150"/>
      <c r="E208" s="151"/>
      <c r="F208" s="151"/>
      <c r="G208" s="151"/>
      <c r="H208" s="10"/>
      <c r="I208" s="152"/>
      <c r="J208" s="151"/>
      <c r="K208" s="151"/>
      <c r="L208" s="10"/>
      <c r="M208" s="10"/>
      <c r="N208" s="10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20"/>
    </row>
    <row r="209">
      <c r="A209" s="14"/>
      <c r="B209" s="148" t="str">
        <f t="shared" si="1"/>
        <v/>
      </c>
      <c r="C209" s="149"/>
      <c r="D209" s="150"/>
      <c r="E209" s="151"/>
      <c r="F209" s="151"/>
      <c r="G209" s="151"/>
      <c r="H209" s="10"/>
      <c r="I209" s="152"/>
      <c r="J209" s="151"/>
      <c r="K209" s="151"/>
      <c r="L209" s="10"/>
      <c r="M209" s="10"/>
      <c r="N209" s="10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20"/>
    </row>
    <row r="210">
      <c r="A210" s="14"/>
      <c r="B210" s="148" t="str">
        <f t="shared" si="1"/>
        <v/>
      </c>
      <c r="C210" s="149"/>
      <c r="D210" s="150"/>
      <c r="E210" s="151"/>
      <c r="F210" s="151"/>
      <c r="G210" s="151"/>
      <c r="H210" s="10"/>
      <c r="I210" s="152"/>
      <c r="J210" s="151"/>
      <c r="K210" s="151"/>
      <c r="L210" s="10"/>
      <c r="M210" s="10"/>
      <c r="N210" s="10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20"/>
    </row>
    <row r="211">
      <c r="A211" s="14"/>
      <c r="B211" s="148" t="str">
        <f t="shared" si="1"/>
        <v/>
      </c>
      <c r="C211" s="149"/>
      <c r="D211" s="150"/>
      <c r="E211" s="151"/>
      <c r="F211" s="151"/>
      <c r="G211" s="151"/>
      <c r="H211" s="10"/>
      <c r="I211" s="152"/>
      <c r="J211" s="151"/>
      <c r="K211" s="151"/>
      <c r="L211" s="10"/>
      <c r="M211" s="10"/>
      <c r="N211" s="10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20"/>
    </row>
    <row r="212">
      <c r="A212" s="14"/>
      <c r="B212" s="148" t="str">
        <f t="shared" si="1"/>
        <v/>
      </c>
      <c r="C212" s="149"/>
      <c r="D212" s="150"/>
      <c r="E212" s="151"/>
      <c r="F212" s="151"/>
      <c r="G212" s="151"/>
      <c r="H212" s="10"/>
      <c r="I212" s="152"/>
      <c r="J212" s="151"/>
      <c r="K212" s="151"/>
      <c r="L212" s="10"/>
      <c r="M212" s="10"/>
      <c r="N212" s="10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20"/>
    </row>
    <row r="213">
      <c r="A213" s="14"/>
      <c r="B213" s="148" t="str">
        <f t="shared" si="1"/>
        <v/>
      </c>
      <c r="C213" s="149"/>
      <c r="D213" s="150"/>
      <c r="E213" s="151"/>
      <c r="F213" s="151"/>
      <c r="G213" s="151"/>
      <c r="H213" s="10"/>
      <c r="I213" s="152"/>
      <c r="J213" s="151"/>
      <c r="K213" s="151"/>
      <c r="L213" s="10"/>
      <c r="M213" s="10"/>
      <c r="N213" s="10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20"/>
    </row>
    <row r="214">
      <c r="A214" s="14"/>
      <c r="B214" s="148" t="str">
        <f t="shared" si="1"/>
        <v/>
      </c>
      <c r="C214" s="149"/>
      <c r="D214" s="150"/>
      <c r="E214" s="151"/>
      <c r="F214" s="151"/>
      <c r="G214" s="151"/>
      <c r="H214" s="10"/>
      <c r="I214" s="152"/>
      <c r="J214" s="151"/>
      <c r="K214" s="151"/>
      <c r="L214" s="10"/>
      <c r="M214" s="10"/>
      <c r="N214" s="10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20"/>
    </row>
    <row r="215">
      <c r="A215" s="14"/>
      <c r="B215" s="148" t="str">
        <f t="shared" si="1"/>
        <v/>
      </c>
      <c r="C215" s="149"/>
      <c r="D215" s="150"/>
      <c r="E215" s="151"/>
      <c r="F215" s="151"/>
      <c r="G215" s="151"/>
      <c r="H215" s="10"/>
      <c r="I215" s="152"/>
      <c r="J215" s="151"/>
      <c r="K215" s="151"/>
      <c r="L215" s="10"/>
      <c r="M215" s="10"/>
      <c r="N215" s="10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20"/>
    </row>
    <row r="216">
      <c r="A216" s="14"/>
      <c r="B216" s="148" t="str">
        <f t="shared" si="1"/>
        <v/>
      </c>
      <c r="C216" s="149"/>
      <c r="D216" s="150"/>
      <c r="E216" s="151"/>
      <c r="F216" s="151"/>
      <c r="G216" s="151"/>
      <c r="H216" s="10"/>
      <c r="I216" s="152"/>
      <c r="J216" s="151"/>
      <c r="K216" s="151"/>
      <c r="L216" s="10"/>
      <c r="M216" s="10"/>
      <c r="N216" s="10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20"/>
    </row>
    <row r="217">
      <c r="A217" s="14"/>
      <c r="B217" s="148" t="str">
        <f t="shared" si="1"/>
        <v/>
      </c>
      <c r="C217" s="149"/>
      <c r="D217" s="150"/>
      <c r="E217" s="151"/>
      <c r="F217" s="151"/>
      <c r="G217" s="151"/>
      <c r="H217" s="10"/>
      <c r="I217" s="152"/>
      <c r="J217" s="151"/>
      <c r="K217" s="151"/>
      <c r="L217" s="10"/>
      <c r="M217" s="10"/>
      <c r="N217" s="10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20"/>
    </row>
    <row r="218">
      <c r="A218" s="14"/>
      <c r="B218" s="148" t="str">
        <f t="shared" si="1"/>
        <v/>
      </c>
      <c r="C218" s="149"/>
      <c r="D218" s="150"/>
      <c r="E218" s="151"/>
      <c r="F218" s="151"/>
      <c r="G218" s="151"/>
      <c r="H218" s="10"/>
      <c r="I218" s="152"/>
      <c r="J218" s="151"/>
      <c r="K218" s="151"/>
      <c r="L218" s="10"/>
      <c r="M218" s="10"/>
      <c r="N218" s="10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20"/>
    </row>
    <row r="219">
      <c r="A219" s="14"/>
      <c r="B219" s="148" t="str">
        <f t="shared" si="1"/>
        <v/>
      </c>
      <c r="C219" s="149"/>
      <c r="D219" s="150"/>
      <c r="E219" s="151"/>
      <c r="F219" s="151"/>
      <c r="G219" s="151"/>
      <c r="H219" s="10"/>
      <c r="I219" s="152"/>
      <c r="J219" s="151"/>
      <c r="K219" s="151"/>
      <c r="L219" s="10"/>
      <c r="M219" s="10"/>
      <c r="N219" s="10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20"/>
    </row>
    <row r="220">
      <c r="A220" s="14"/>
      <c r="B220" s="148" t="str">
        <f t="shared" si="1"/>
        <v/>
      </c>
      <c r="C220" s="149"/>
      <c r="D220" s="150"/>
      <c r="E220" s="151"/>
      <c r="F220" s="151"/>
      <c r="G220" s="151"/>
      <c r="H220" s="10"/>
      <c r="I220" s="152"/>
      <c r="J220" s="151"/>
      <c r="K220" s="151"/>
      <c r="L220" s="10"/>
      <c r="M220" s="10"/>
      <c r="N220" s="10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20"/>
    </row>
    <row r="221">
      <c r="A221" s="14"/>
      <c r="B221" s="148" t="str">
        <f t="shared" si="1"/>
        <v/>
      </c>
      <c r="C221" s="149"/>
      <c r="D221" s="150"/>
      <c r="E221" s="151"/>
      <c r="F221" s="151"/>
      <c r="G221" s="151"/>
      <c r="H221" s="10"/>
      <c r="I221" s="152"/>
      <c r="J221" s="151"/>
      <c r="K221" s="151"/>
      <c r="L221" s="10"/>
      <c r="M221" s="10"/>
      <c r="N221" s="10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20"/>
    </row>
    <row r="222">
      <c r="A222" s="14"/>
      <c r="B222" s="148" t="str">
        <f t="shared" si="1"/>
        <v/>
      </c>
      <c r="C222" s="149"/>
      <c r="D222" s="150"/>
      <c r="E222" s="151"/>
      <c r="F222" s="151"/>
      <c r="G222" s="151"/>
      <c r="H222" s="10"/>
      <c r="I222" s="152"/>
      <c r="J222" s="151"/>
      <c r="K222" s="151"/>
      <c r="L222" s="10"/>
      <c r="M222" s="10"/>
      <c r="N222" s="10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20"/>
    </row>
    <row r="223">
      <c r="A223" s="14"/>
      <c r="B223" s="148" t="str">
        <f t="shared" si="1"/>
        <v/>
      </c>
      <c r="C223" s="149"/>
      <c r="D223" s="150"/>
      <c r="E223" s="151"/>
      <c r="F223" s="151"/>
      <c r="G223" s="151"/>
      <c r="H223" s="10"/>
      <c r="I223" s="152"/>
      <c r="J223" s="151"/>
      <c r="K223" s="151"/>
      <c r="L223" s="10"/>
      <c r="M223" s="10"/>
      <c r="N223" s="10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20"/>
    </row>
    <row r="224">
      <c r="A224" s="14"/>
      <c r="B224" s="148" t="str">
        <f t="shared" si="1"/>
        <v/>
      </c>
      <c r="C224" s="149"/>
      <c r="D224" s="150"/>
      <c r="E224" s="151"/>
      <c r="F224" s="151"/>
      <c r="G224" s="151"/>
      <c r="H224" s="10"/>
      <c r="I224" s="152"/>
      <c r="J224" s="151"/>
      <c r="K224" s="151"/>
      <c r="L224" s="10"/>
      <c r="M224" s="10"/>
      <c r="N224" s="10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20"/>
    </row>
    <row r="225">
      <c r="A225" s="14"/>
      <c r="B225" s="148" t="str">
        <f t="shared" si="1"/>
        <v/>
      </c>
      <c r="C225" s="149"/>
      <c r="D225" s="150"/>
      <c r="E225" s="151"/>
      <c r="F225" s="151"/>
      <c r="G225" s="151"/>
      <c r="H225" s="10"/>
      <c r="I225" s="152"/>
      <c r="J225" s="151"/>
      <c r="K225" s="151"/>
      <c r="L225" s="10"/>
      <c r="M225" s="10"/>
      <c r="N225" s="10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20"/>
    </row>
    <row r="226">
      <c r="A226" s="14"/>
      <c r="B226" s="148" t="str">
        <f t="shared" si="1"/>
        <v/>
      </c>
      <c r="C226" s="149"/>
      <c r="D226" s="150"/>
      <c r="E226" s="151"/>
      <c r="F226" s="151"/>
      <c r="G226" s="151"/>
      <c r="H226" s="10"/>
      <c r="I226" s="152"/>
      <c r="J226" s="151"/>
      <c r="K226" s="151"/>
      <c r="L226" s="10"/>
      <c r="M226" s="10"/>
      <c r="N226" s="10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20"/>
    </row>
    <row r="227">
      <c r="A227" s="14"/>
      <c r="B227" s="148" t="str">
        <f t="shared" si="1"/>
        <v/>
      </c>
      <c r="C227" s="149"/>
      <c r="D227" s="150"/>
      <c r="E227" s="151"/>
      <c r="F227" s="151"/>
      <c r="G227" s="151"/>
      <c r="H227" s="10"/>
      <c r="I227" s="152"/>
      <c r="J227" s="151"/>
      <c r="K227" s="151"/>
      <c r="L227" s="10"/>
      <c r="M227" s="10"/>
      <c r="N227" s="10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20"/>
    </row>
    <row r="228">
      <c r="A228" s="14"/>
      <c r="B228" s="148" t="str">
        <f t="shared" si="1"/>
        <v/>
      </c>
      <c r="C228" s="149"/>
      <c r="D228" s="150"/>
      <c r="E228" s="151"/>
      <c r="F228" s="151"/>
      <c r="G228" s="151"/>
      <c r="H228" s="10"/>
      <c r="I228" s="152"/>
      <c r="J228" s="151"/>
      <c r="K228" s="151"/>
      <c r="L228" s="10"/>
      <c r="M228" s="10"/>
      <c r="N228" s="10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20"/>
    </row>
    <row r="229">
      <c r="A229" s="14"/>
      <c r="B229" s="148" t="str">
        <f t="shared" si="1"/>
        <v/>
      </c>
      <c r="C229" s="149"/>
      <c r="D229" s="150"/>
      <c r="E229" s="151"/>
      <c r="F229" s="151"/>
      <c r="G229" s="151"/>
      <c r="H229" s="10"/>
      <c r="I229" s="152"/>
      <c r="J229" s="151"/>
      <c r="K229" s="151"/>
      <c r="L229" s="10"/>
      <c r="M229" s="10"/>
      <c r="N229" s="10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20"/>
    </row>
    <row r="230">
      <c r="A230" s="14"/>
      <c r="B230" s="148" t="str">
        <f t="shared" si="1"/>
        <v/>
      </c>
      <c r="C230" s="149"/>
      <c r="D230" s="150"/>
      <c r="E230" s="151"/>
      <c r="F230" s="151"/>
      <c r="G230" s="151"/>
      <c r="H230" s="10"/>
      <c r="I230" s="152"/>
      <c r="J230" s="151"/>
      <c r="K230" s="151"/>
      <c r="L230" s="10"/>
      <c r="M230" s="10"/>
      <c r="N230" s="10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20"/>
    </row>
    <row r="231">
      <c r="A231" s="14"/>
      <c r="B231" s="148" t="str">
        <f t="shared" si="1"/>
        <v/>
      </c>
      <c r="C231" s="149"/>
      <c r="D231" s="150"/>
      <c r="E231" s="151"/>
      <c r="F231" s="151"/>
      <c r="G231" s="151"/>
      <c r="H231" s="10"/>
      <c r="I231" s="152"/>
      <c r="J231" s="151"/>
      <c r="K231" s="151"/>
      <c r="L231" s="10"/>
      <c r="M231" s="10"/>
      <c r="N231" s="10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20"/>
    </row>
    <row r="232">
      <c r="A232" s="14"/>
      <c r="B232" s="148" t="str">
        <f t="shared" si="1"/>
        <v/>
      </c>
      <c r="C232" s="149"/>
      <c r="D232" s="150"/>
      <c r="E232" s="151"/>
      <c r="F232" s="151"/>
      <c r="G232" s="151"/>
      <c r="H232" s="10"/>
      <c r="I232" s="152"/>
      <c r="J232" s="151"/>
      <c r="K232" s="151"/>
      <c r="L232" s="10"/>
      <c r="M232" s="10"/>
      <c r="N232" s="10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20"/>
    </row>
    <row r="233">
      <c r="A233" s="14"/>
      <c r="B233" s="148" t="str">
        <f t="shared" si="1"/>
        <v/>
      </c>
      <c r="C233" s="149"/>
      <c r="D233" s="150"/>
      <c r="E233" s="151"/>
      <c r="F233" s="151"/>
      <c r="G233" s="151"/>
      <c r="H233" s="10"/>
      <c r="I233" s="152"/>
      <c r="J233" s="151"/>
      <c r="K233" s="151"/>
      <c r="L233" s="10"/>
      <c r="M233" s="10"/>
      <c r="N233" s="10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20"/>
    </row>
    <row r="234">
      <c r="A234" s="14"/>
      <c r="B234" s="148" t="str">
        <f t="shared" si="1"/>
        <v/>
      </c>
      <c r="C234" s="149"/>
      <c r="D234" s="150"/>
      <c r="E234" s="151"/>
      <c r="F234" s="151"/>
      <c r="G234" s="151"/>
      <c r="H234" s="10"/>
      <c r="I234" s="152"/>
      <c r="J234" s="151"/>
      <c r="K234" s="151"/>
      <c r="L234" s="10"/>
      <c r="M234" s="10"/>
      <c r="N234" s="10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20"/>
    </row>
    <row r="235">
      <c r="A235" s="14"/>
      <c r="B235" s="148" t="str">
        <f t="shared" si="1"/>
        <v/>
      </c>
      <c r="C235" s="149"/>
      <c r="D235" s="150"/>
      <c r="E235" s="151"/>
      <c r="F235" s="151"/>
      <c r="G235" s="151"/>
      <c r="H235" s="10"/>
      <c r="I235" s="152"/>
      <c r="J235" s="151"/>
      <c r="K235" s="151"/>
      <c r="L235" s="10"/>
      <c r="M235" s="10"/>
      <c r="N235" s="10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20"/>
    </row>
    <row r="236">
      <c r="A236" s="14"/>
      <c r="B236" s="148" t="str">
        <f t="shared" si="1"/>
        <v/>
      </c>
      <c r="C236" s="149"/>
      <c r="D236" s="150"/>
      <c r="E236" s="151"/>
      <c r="F236" s="151"/>
      <c r="G236" s="151"/>
      <c r="H236" s="10"/>
      <c r="I236" s="152"/>
      <c r="J236" s="151"/>
      <c r="K236" s="151"/>
      <c r="L236" s="10"/>
      <c r="M236" s="10"/>
      <c r="N236" s="10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20"/>
    </row>
    <row r="237">
      <c r="A237" s="14"/>
      <c r="B237" s="148" t="str">
        <f t="shared" si="1"/>
        <v/>
      </c>
      <c r="C237" s="149"/>
      <c r="D237" s="150"/>
      <c r="E237" s="151"/>
      <c r="F237" s="151"/>
      <c r="G237" s="151"/>
      <c r="H237" s="10"/>
      <c r="I237" s="152"/>
      <c r="J237" s="151"/>
      <c r="K237" s="151"/>
      <c r="L237" s="10"/>
      <c r="M237" s="10"/>
      <c r="N237" s="10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20"/>
    </row>
    <row r="238">
      <c r="A238" s="14"/>
      <c r="B238" s="148" t="str">
        <f t="shared" si="1"/>
        <v/>
      </c>
      <c r="C238" s="149"/>
      <c r="D238" s="150"/>
      <c r="E238" s="151"/>
      <c r="F238" s="151"/>
      <c r="G238" s="151"/>
      <c r="H238" s="10"/>
      <c r="I238" s="152"/>
      <c r="J238" s="151"/>
      <c r="K238" s="151"/>
      <c r="L238" s="10"/>
      <c r="M238" s="10"/>
      <c r="N238" s="10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20"/>
    </row>
    <row r="239">
      <c r="A239" s="14"/>
      <c r="B239" s="148" t="str">
        <f t="shared" si="1"/>
        <v/>
      </c>
      <c r="C239" s="149"/>
      <c r="D239" s="150"/>
      <c r="E239" s="151"/>
      <c r="F239" s="151"/>
      <c r="G239" s="151"/>
      <c r="H239" s="10"/>
      <c r="I239" s="152"/>
      <c r="J239" s="151"/>
      <c r="K239" s="151"/>
      <c r="L239" s="10"/>
      <c r="M239" s="10"/>
      <c r="N239" s="10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20"/>
    </row>
    <row r="240">
      <c r="A240" s="14"/>
      <c r="B240" s="148" t="str">
        <f t="shared" si="1"/>
        <v/>
      </c>
      <c r="C240" s="149"/>
      <c r="D240" s="150"/>
      <c r="E240" s="151"/>
      <c r="F240" s="151"/>
      <c r="G240" s="151"/>
      <c r="H240" s="10"/>
      <c r="I240" s="152"/>
      <c r="J240" s="151"/>
      <c r="K240" s="151"/>
      <c r="L240" s="10"/>
      <c r="M240" s="10"/>
      <c r="N240" s="10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20"/>
    </row>
    <row r="241">
      <c r="A241" s="14"/>
      <c r="B241" s="148" t="str">
        <f t="shared" si="1"/>
        <v/>
      </c>
      <c r="C241" s="149"/>
      <c r="D241" s="150"/>
      <c r="E241" s="151"/>
      <c r="F241" s="151"/>
      <c r="G241" s="151"/>
      <c r="H241" s="10"/>
      <c r="I241" s="152"/>
      <c r="J241" s="151"/>
      <c r="K241" s="151"/>
      <c r="L241" s="10"/>
      <c r="M241" s="10"/>
      <c r="N241" s="10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20"/>
    </row>
    <row r="242">
      <c r="A242" s="14"/>
      <c r="B242" s="148" t="str">
        <f t="shared" si="1"/>
        <v/>
      </c>
      <c r="C242" s="149"/>
      <c r="D242" s="150"/>
      <c r="E242" s="151"/>
      <c r="F242" s="151"/>
      <c r="G242" s="151"/>
      <c r="H242" s="10"/>
      <c r="I242" s="152"/>
      <c r="J242" s="151"/>
      <c r="K242" s="151"/>
      <c r="L242" s="10"/>
      <c r="M242" s="10"/>
      <c r="N242" s="10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20"/>
    </row>
    <row r="243">
      <c r="A243" s="14"/>
      <c r="B243" s="148" t="str">
        <f t="shared" si="1"/>
        <v/>
      </c>
      <c r="C243" s="149"/>
      <c r="D243" s="150"/>
      <c r="E243" s="151"/>
      <c r="F243" s="151"/>
      <c r="G243" s="151"/>
      <c r="H243" s="10"/>
      <c r="I243" s="152"/>
      <c r="J243" s="151"/>
      <c r="K243" s="151"/>
      <c r="L243" s="10"/>
      <c r="M243" s="10"/>
      <c r="N243" s="10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20"/>
    </row>
    <row r="244">
      <c r="A244" s="14"/>
      <c r="B244" s="148" t="str">
        <f t="shared" si="1"/>
        <v/>
      </c>
      <c r="C244" s="149"/>
      <c r="D244" s="150"/>
      <c r="E244" s="151"/>
      <c r="F244" s="151"/>
      <c r="G244" s="151"/>
      <c r="H244" s="10"/>
      <c r="I244" s="152"/>
      <c r="J244" s="151"/>
      <c r="K244" s="151"/>
      <c r="L244" s="10"/>
      <c r="M244" s="10"/>
      <c r="N244" s="10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20"/>
    </row>
    <row r="245">
      <c r="A245" s="14"/>
      <c r="B245" s="148" t="str">
        <f t="shared" si="1"/>
        <v/>
      </c>
      <c r="C245" s="149"/>
      <c r="D245" s="150"/>
      <c r="E245" s="151"/>
      <c r="F245" s="151"/>
      <c r="G245" s="151"/>
      <c r="H245" s="10"/>
      <c r="I245" s="152"/>
      <c r="J245" s="151"/>
      <c r="K245" s="151"/>
      <c r="L245" s="10"/>
      <c r="M245" s="10"/>
      <c r="N245" s="10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20"/>
    </row>
    <row r="246">
      <c r="A246" s="14"/>
      <c r="B246" s="148" t="str">
        <f t="shared" si="1"/>
        <v/>
      </c>
      <c r="C246" s="149"/>
      <c r="D246" s="150"/>
      <c r="E246" s="151"/>
      <c r="F246" s="151"/>
      <c r="G246" s="151"/>
      <c r="H246" s="10"/>
      <c r="I246" s="152"/>
      <c r="J246" s="151"/>
      <c r="K246" s="151"/>
      <c r="L246" s="10"/>
      <c r="M246" s="10"/>
      <c r="N246" s="10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20"/>
    </row>
    <row r="247">
      <c r="A247" s="14"/>
      <c r="B247" s="148" t="str">
        <f t="shared" si="1"/>
        <v/>
      </c>
      <c r="C247" s="149"/>
      <c r="D247" s="150"/>
      <c r="E247" s="151"/>
      <c r="F247" s="151"/>
      <c r="G247" s="151"/>
      <c r="H247" s="10"/>
      <c r="I247" s="152"/>
      <c r="J247" s="151"/>
      <c r="K247" s="151"/>
      <c r="L247" s="10"/>
      <c r="M247" s="10"/>
      <c r="N247" s="10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20"/>
    </row>
    <row r="248">
      <c r="A248" s="14"/>
      <c r="B248" s="148" t="str">
        <f t="shared" si="1"/>
        <v/>
      </c>
      <c r="C248" s="149"/>
      <c r="D248" s="150"/>
      <c r="E248" s="151"/>
      <c r="F248" s="151"/>
      <c r="G248" s="151"/>
      <c r="H248" s="10"/>
      <c r="I248" s="152"/>
      <c r="J248" s="151"/>
      <c r="K248" s="151"/>
      <c r="L248" s="10"/>
      <c r="M248" s="10"/>
      <c r="N248" s="10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20"/>
    </row>
    <row r="249">
      <c r="A249" s="14"/>
      <c r="B249" s="148" t="str">
        <f t="shared" si="1"/>
        <v/>
      </c>
      <c r="C249" s="149"/>
      <c r="D249" s="150"/>
      <c r="E249" s="151"/>
      <c r="F249" s="151"/>
      <c r="G249" s="151"/>
      <c r="H249" s="10"/>
      <c r="I249" s="152"/>
      <c r="J249" s="151"/>
      <c r="K249" s="151"/>
      <c r="L249" s="10"/>
      <c r="M249" s="10"/>
      <c r="N249" s="10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20"/>
    </row>
    <row r="250">
      <c r="A250" s="14"/>
      <c r="B250" s="148" t="str">
        <f t="shared" si="1"/>
        <v/>
      </c>
      <c r="C250" s="149"/>
      <c r="D250" s="150"/>
      <c r="E250" s="151"/>
      <c r="F250" s="151"/>
      <c r="G250" s="151"/>
      <c r="H250" s="10"/>
      <c r="I250" s="152"/>
      <c r="J250" s="151"/>
      <c r="K250" s="151"/>
      <c r="L250" s="10"/>
      <c r="M250" s="10"/>
      <c r="N250" s="10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20"/>
    </row>
    <row r="251">
      <c r="A251" s="14"/>
      <c r="B251" s="148" t="str">
        <f t="shared" si="1"/>
        <v/>
      </c>
      <c r="C251" s="149"/>
      <c r="D251" s="150"/>
      <c r="E251" s="151"/>
      <c r="F251" s="151"/>
      <c r="G251" s="151"/>
      <c r="H251" s="10"/>
      <c r="I251" s="152"/>
      <c r="J251" s="151"/>
      <c r="K251" s="151"/>
      <c r="L251" s="10"/>
      <c r="M251" s="10"/>
      <c r="N251" s="10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20"/>
    </row>
    <row r="252">
      <c r="A252" s="14"/>
      <c r="B252" s="148" t="str">
        <f t="shared" si="1"/>
        <v/>
      </c>
      <c r="C252" s="149"/>
      <c r="D252" s="150"/>
      <c r="E252" s="151"/>
      <c r="F252" s="151"/>
      <c r="G252" s="151"/>
      <c r="H252" s="10"/>
      <c r="I252" s="152"/>
      <c r="J252" s="151"/>
      <c r="K252" s="151"/>
      <c r="L252" s="10"/>
      <c r="M252" s="10"/>
      <c r="N252" s="10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20"/>
    </row>
    <row r="253">
      <c r="A253" s="14"/>
      <c r="B253" s="148" t="str">
        <f t="shared" si="1"/>
        <v/>
      </c>
      <c r="C253" s="149"/>
      <c r="D253" s="150"/>
      <c r="E253" s="151"/>
      <c r="F253" s="151"/>
      <c r="G253" s="151"/>
      <c r="H253" s="10"/>
      <c r="I253" s="152"/>
      <c r="J253" s="151"/>
      <c r="K253" s="151"/>
      <c r="L253" s="10"/>
      <c r="M253" s="10"/>
      <c r="N253" s="10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20"/>
    </row>
    <row r="254">
      <c r="A254" s="14"/>
      <c r="B254" s="148" t="str">
        <f t="shared" si="1"/>
        <v/>
      </c>
      <c r="C254" s="149"/>
      <c r="D254" s="150"/>
      <c r="E254" s="151"/>
      <c r="F254" s="151"/>
      <c r="G254" s="151"/>
      <c r="H254" s="10"/>
      <c r="I254" s="152"/>
      <c r="J254" s="151"/>
      <c r="K254" s="151"/>
      <c r="L254" s="10"/>
      <c r="M254" s="10"/>
      <c r="N254" s="10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20"/>
    </row>
    <row r="255">
      <c r="A255" s="14"/>
      <c r="B255" s="148" t="str">
        <f t="shared" si="1"/>
        <v/>
      </c>
      <c r="C255" s="149"/>
      <c r="D255" s="150"/>
      <c r="E255" s="151"/>
      <c r="F255" s="151"/>
      <c r="G255" s="151"/>
      <c r="H255" s="10"/>
      <c r="I255" s="152"/>
      <c r="J255" s="151"/>
      <c r="K255" s="151"/>
      <c r="L255" s="10"/>
      <c r="M255" s="10"/>
      <c r="N255" s="10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20"/>
    </row>
    <row r="256">
      <c r="A256" s="14"/>
      <c r="B256" s="148" t="str">
        <f t="shared" si="1"/>
        <v/>
      </c>
      <c r="C256" s="149"/>
      <c r="D256" s="150"/>
      <c r="E256" s="151"/>
      <c r="F256" s="151"/>
      <c r="G256" s="151"/>
      <c r="H256" s="10"/>
      <c r="I256" s="152"/>
      <c r="J256" s="151"/>
      <c r="K256" s="151"/>
      <c r="L256" s="10"/>
      <c r="M256" s="10"/>
      <c r="N256" s="10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20"/>
    </row>
    <row r="257">
      <c r="A257" s="14"/>
      <c r="B257" s="148" t="str">
        <f t="shared" si="1"/>
        <v/>
      </c>
      <c r="C257" s="149"/>
      <c r="D257" s="150"/>
      <c r="E257" s="151"/>
      <c r="F257" s="151"/>
      <c r="G257" s="151"/>
      <c r="H257" s="10"/>
      <c r="I257" s="152"/>
      <c r="J257" s="151"/>
      <c r="K257" s="151"/>
      <c r="L257" s="10"/>
      <c r="M257" s="10"/>
      <c r="N257" s="10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20"/>
    </row>
    <row r="258">
      <c r="A258" s="14"/>
      <c r="B258" s="148" t="str">
        <f t="shared" si="1"/>
        <v/>
      </c>
      <c r="C258" s="149"/>
      <c r="D258" s="150"/>
      <c r="E258" s="151"/>
      <c r="F258" s="151"/>
      <c r="G258" s="151"/>
      <c r="H258" s="10"/>
      <c r="I258" s="152"/>
      <c r="J258" s="151"/>
      <c r="K258" s="151"/>
      <c r="L258" s="10"/>
      <c r="M258" s="10"/>
      <c r="N258" s="10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20"/>
    </row>
    <row r="259">
      <c r="A259" s="14"/>
      <c r="B259" s="148" t="str">
        <f t="shared" si="1"/>
        <v/>
      </c>
      <c r="C259" s="149"/>
      <c r="D259" s="150"/>
      <c r="E259" s="151"/>
      <c r="F259" s="151"/>
      <c r="G259" s="151"/>
      <c r="H259" s="10"/>
      <c r="I259" s="152"/>
      <c r="J259" s="151"/>
      <c r="K259" s="151"/>
      <c r="L259" s="10"/>
      <c r="M259" s="10"/>
      <c r="N259" s="10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20"/>
    </row>
    <row r="260">
      <c r="A260" s="14"/>
      <c r="B260" s="148" t="str">
        <f t="shared" si="1"/>
        <v/>
      </c>
      <c r="C260" s="149"/>
      <c r="D260" s="150"/>
      <c r="E260" s="151"/>
      <c r="F260" s="151"/>
      <c r="G260" s="151"/>
      <c r="H260" s="10"/>
      <c r="I260" s="152"/>
      <c r="J260" s="151"/>
      <c r="K260" s="151"/>
      <c r="L260" s="10"/>
      <c r="M260" s="10"/>
      <c r="N260" s="10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20"/>
    </row>
    <row r="261">
      <c r="A261" s="14"/>
      <c r="B261" s="148" t="str">
        <f t="shared" si="1"/>
        <v/>
      </c>
      <c r="C261" s="149"/>
      <c r="D261" s="150"/>
      <c r="E261" s="151"/>
      <c r="F261" s="151"/>
      <c r="G261" s="151"/>
      <c r="H261" s="10"/>
      <c r="I261" s="152"/>
      <c r="J261" s="151"/>
      <c r="K261" s="151"/>
      <c r="L261" s="10"/>
      <c r="M261" s="10"/>
      <c r="N261" s="10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20"/>
    </row>
    <row r="262">
      <c r="A262" s="14"/>
      <c r="B262" s="148" t="str">
        <f t="shared" si="1"/>
        <v/>
      </c>
      <c r="C262" s="149"/>
      <c r="D262" s="150"/>
      <c r="E262" s="151"/>
      <c r="F262" s="151"/>
      <c r="G262" s="151"/>
      <c r="H262" s="10"/>
      <c r="I262" s="152"/>
      <c r="J262" s="151"/>
      <c r="K262" s="151"/>
      <c r="L262" s="10"/>
      <c r="M262" s="10"/>
      <c r="N262" s="10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20"/>
    </row>
    <row r="263">
      <c r="A263" s="14"/>
      <c r="B263" s="148" t="str">
        <f t="shared" si="1"/>
        <v/>
      </c>
      <c r="C263" s="149"/>
      <c r="D263" s="150"/>
      <c r="E263" s="151"/>
      <c r="F263" s="151"/>
      <c r="G263" s="151"/>
      <c r="H263" s="10"/>
      <c r="I263" s="152"/>
      <c r="J263" s="151"/>
      <c r="K263" s="151"/>
      <c r="L263" s="10"/>
      <c r="M263" s="10"/>
      <c r="N263" s="10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20"/>
    </row>
    <row r="264">
      <c r="A264" s="14"/>
      <c r="B264" s="148" t="str">
        <f t="shared" si="1"/>
        <v/>
      </c>
      <c r="C264" s="149"/>
      <c r="D264" s="150"/>
      <c r="E264" s="151"/>
      <c r="F264" s="151"/>
      <c r="G264" s="151"/>
      <c r="H264" s="10"/>
      <c r="I264" s="152"/>
      <c r="J264" s="151"/>
      <c r="K264" s="151"/>
      <c r="L264" s="10"/>
      <c r="M264" s="10"/>
      <c r="N264" s="10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20"/>
    </row>
    <row r="265">
      <c r="A265" s="14"/>
      <c r="B265" s="148" t="str">
        <f t="shared" si="1"/>
        <v/>
      </c>
      <c r="C265" s="149"/>
      <c r="D265" s="150"/>
      <c r="E265" s="151"/>
      <c r="F265" s="151"/>
      <c r="G265" s="151"/>
      <c r="H265" s="10"/>
      <c r="I265" s="152"/>
      <c r="J265" s="151"/>
      <c r="K265" s="151"/>
      <c r="L265" s="10"/>
      <c r="M265" s="10"/>
      <c r="N265" s="10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20"/>
    </row>
    <row r="266">
      <c r="A266" s="14"/>
      <c r="B266" s="148" t="str">
        <f t="shared" si="1"/>
        <v/>
      </c>
      <c r="C266" s="149"/>
      <c r="D266" s="150"/>
      <c r="E266" s="151"/>
      <c r="F266" s="151"/>
      <c r="G266" s="151"/>
      <c r="H266" s="10"/>
      <c r="I266" s="152"/>
      <c r="J266" s="151"/>
      <c r="K266" s="151"/>
      <c r="L266" s="10"/>
      <c r="M266" s="10"/>
      <c r="N266" s="10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20"/>
    </row>
    <row r="267">
      <c r="A267" s="14"/>
      <c r="B267" s="148" t="str">
        <f t="shared" si="1"/>
        <v/>
      </c>
      <c r="C267" s="149"/>
      <c r="D267" s="150"/>
      <c r="E267" s="151"/>
      <c r="F267" s="151"/>
      <c r="G267" s="151"/>
      <c r="H267" s="10"/>
      <c r="I267" s="152"/>
      <c r="J267" s="151"/>
      <c r="K267" s="151"/>
      <c r="L267" s="10"/>
      <c r="M267" s="10"/>
      <c r="N267" s="10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20"/>
    </row>
    <row r="268">
      <c r="A268" s="14"/>
      <c r="B268" s="148" t="str">
        <f t="shared" si="1"/>
        <v/>
      </c>
      <c r="C268" s="149"/>
      <c r="D268" s="150"/>
      <c r="E268" s="151"/>
      <c r="F268" s="151"/>
      <c r="G268" s="151"/>
      <c r="H268" s="10"/>
      <c r="I268" s="152"/>
      <c r="J268" s="151"/>
      <c r="K268" s="151"/>
      <c r="L268" s="10"/>
      <c r="M268" s="10"/>
      <c r="N268" s="10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20"/>
    </row>
    <row r="269">
      <c r="A269" s="14"/>
      <c r="B269" s="148" t="str">
        <f t="shared" si="1"/>
        <v/>
      </c>
      <c r="C269" s="149"/>
      <c r="D269" s="150"/>
      <c r="E269" s="151"/>
      <c r="F269" s="151"/>
      <c r="G269" s="151"/>
      <c r="H269" s="10"/>
      <c r="I269" s="152"/>
      <c r="J269" s="151"/>
      <c r="K269" s="151"/>
      <c r="L269" s="10"/>
      <c r="M269" s="10"/>
      <c r="N269" s="10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20"/>
    </row>
    <row r="270">
      <c r="A270" s="14"/>
      <c r="B270" s="148" t="str">
        <f t="shared" si="1"/>
        <v/>
      </c>
      <c r="C270" s="149"/>
      <c r="D270" s="150"/>
      <c r="E270" s="151"/>
      <c r="F270" s="151"/>
      <c r="G270" s="151"/>
      <c r="H270" s="10"/>
      <c r="I270" s="152"/>
      <c r="J270" s="151"/>
      <c r="K270" s="151"/>
      <c r="L270" s="10"/>
      <c r="M270" s="10"/>
      <c r="N270" s="10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20"/>
    </row>
    <row r="271">
      <c r="A271" s="14"/>
      <c r="B271" s="148" t="str">
        <f t="shared" si="1"/>
        <v/>
      </c>
      <c r="C271" s="149"/>
      <c r="D271" s="150"/>
      <c r="E271" s="151"/>
      <c r="F271" s="151"/>
      <c r="G271" s="151"/>
      <c r="H271" s="10"/>
      <c r="I271" s="152"/>
      <c r="J271" s="151"/>
      <c r="K271" s="151"/>
      <c r="L271" s="10"/>
      <c r="M271" s="10"/>
      <c r="N271" s="10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20"/>
    </row>
    <row r="272">
      <c r="A272" s="14"/>
      <c r="B272" s="148" t="str">
        <f t="shared" si="1"/>
        <v/>
      </c>
      <c r="C272" s="149"/>
      <c r="D272" s="150"/>
      <c r="E272" s="151"/>
      <c r="F272" s="151"/>
      <c r="G272" s="151"/>
      <c r="H272" s="10"/>
      <c r="I272" s="152"/>
      <c r="J272" s="151"/>
      <c r="K272" s="151"/>
      <c r="L272" s="10"/>
      <c r="M272" s="10"/>
      <c r="N272" s="10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20"/>
    </row>
    <row r="273">
      <c r="A273" s="14"/>
      <c r="B273" s="148" t="str">
        <f t="shared" si="1"/>
        <v/>
      </c>
      <c r="C273" s="149"/>
      <c r="D273" s="150"/>
      <c r="E273" s="151"/>
      <c r="F273" s="151"/>
      <c r="G273" s="151"/>
      <c r="H273" s="10"/>
      <c r="I273" s="152"/>
      <c r="J273" s="151"/>
      <c r="K273" s="151"/>
      <c r="L273" s="10"/>
      <c r="M273" s="10"/>
      <c r="N273" s="10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20"/>
    </row>
    <row r="274">
      <c r="A274" s="14"/>
      <c r="B274" s="148" t="str">
        <f t="shared" si="1"/>
        <v/>
      </c>
      <c r="C274" s="149"/>
      <c r="D274" s="150"/>
      <c r="E274" s="151"/>
      <c r="F274" s="151"/>
      <c r="G274" s="151"/>
      <c r="H274" s="10"/>
      <c r="I274" s="152"/>
      <c r="J274" s="151"/>
      <c r="K274" s="151"/>
      <c r="L274" s="10"/>
      <c r="M274" s="10"/>
      <c r="N274" s="10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20"/>
    </row>
    <row r="275">
      <c r="A275" s="14"/>
      <c r="B275" s="148" t="str">
        <f t="shared" si="1"/>
        <v/>
      </c>
      <c r="C275" s="149"/>
      <c r="D275" s="150"/>
      <c r="E275" s="151"/>
      <c r="F275" s="151"/>
      <c r="G275" s="151"/>
      <c r="H275" s="10"/>
      <c r="I275" s="152"/>
      <c r="J275" s="151"/>
      <c r="K275" s="151"/>
      <c r="L275" s="10"/>
      <c r="M275" s="10"/>
      <c r="N275" s="10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20"/>
    </row>
    <row r="276">
      <c r="A276" s="14"/>
      <c r="B276" s="148" t="str">
        <f t="shared" si="1"/>
        <v/>
      </c>
      <c r="C276" s="149"/>
      <c r="D276" s="150"/>
      <c r="E276" s="151"/>
      <c r="F276" s="151"/>
      <c r="G276" s="151"/>
      <c r="H276" s="10"/>
      <c r="I276" s="152"/>
      <c r="J276" s="151"/>
      <c r="K276" s="151"/>
      <c r="L276" s="10"/>
      <c r="M276" s="10"/>
      <c r="N276" s="10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20"/>
    </row>
    <row r="277">
      <c r="A277" s="14"/>
      <c r="B277" s="148" t="str">
        <f t="shared" si="1"/>
        <v/>
      </c>
      <c r="C277" s="149"/>
      <c r="D277" s="150"/>
      <c r="E277" s="151"/>
      <c r="F277" s="151"/>
      <c r="G277" s="151"/>
      <c r="H277" s="10"/>
      <c r="I277" s="152"/>
      <c r="J277" s="151"/>
      <c r="K277" s="151"/>
      <c r="L277" s="10"/>
      <c r="M277" s="10"/>
      <c r="N277" s="10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20"/>
    </row>
    <row r="278">
      <c r="A278" s="14"/>
      <c r="B278" s="148" t="str">
        <f t="shared" si="1"/>
        <v/>
      </c>
      <c r="C278" s="149"/>
      <c r="D278" s="150"/>
      <c r="E278" s="151"/>
      <c r="F278" s="151"/>
      <c r="G278" s="151"/>
      <c r="H278" s="10"/>
      <c r="I278" s="152"/>
      <c r="J278" s="151"/>
      <c r="K278" s="151"/>
      <c r="L278" s="10"/>
      <c r="M278" s="10"/>
      <c r="N278" s="10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20"/>
    </row>
    <row r="279">
      <c r="A279" s="14"/>
      <c r="B279" s="148" t="str">
        <f t="shared" si="1"/>
        <v/>
      </c>
      <c r="C279" s="149"/>
      <c r="D279" s="150"/>
      <c r="E279" s="151"/>
      <c r="F279" s="151"/>
      <c r="G279" s="151"/>
      <c r="H279" s="10"/>
      <c r="I279" s="152"/>
      <c r="J279" s="151"/>
      <c r="K279" s="151"/>
      <c r="L279" s="10"/>
      <c r="M279" s="10"/>
      <c r="N279" s="10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20"/>
    </row>
    <row r="280">
      <c r="A280" s="14"/>
      <c r="B280" s="148" t="str">
        <f t="shared" si="1"/>
        <v/>
      </c>
      <c r="C280" s="149"/>
      <c r="D280" s="150"/>
      <c r="E280" s="151"/>
      <c r="F280" s="151"/>
      <c r="G280" s="151"/>
      <c r="H280" s="10"/>
      <c r="I280" s="152"/>
      <c r="J280" s="151"/>
      <c r="K280" s="151"/>
      <c r="L280" s="10"/>
      <c r="M280" s="10"/>
      <c r="N280" s="10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20"/>
    </row>
    <row r="281">
      <c r="A281" s="14"/>
      <c r="B281" s="148" t="str">
        <f t="shared" si="1"/>
        <v/>
      </c>
      <c r="C281" s="149"/>
      <c r="D281" s="150"/>
      <c r="E281" s="151"/>
      <c r="F281" s="151"/>
      <c r="G281" s="151"/>
      <c r="H281" s="10"/>
      <c r="I281" s="152"/>
      <c r="J281" s="151"/>
      <c r="K281" s="151"/>
      <c r="L281" s="10"/>
      <c r="M281" s="10"/>
      <c r="N281" s="10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20"/>
    </row>
    <row r="282">
      <c r="A282" s="14"/>
      <c r="B282" s="148" t="str">
        <f t="shared" si="1"/>
        <v/>
      </c>
      <c r="C282" s="149"/>
      <c r="D282" s="150"/>
      <c r="E282" s="151"/>
      <c r="F282" s="151"/>
      <c r="G282" s="151"/>
      <c r="H282" s="10"/>
      <c r="I282" s="152"/>
      <c r="J282" s="151"/>
      <c r="K282" s="151"/>
      <c r="L282" s="10"/>
      <c r="M282" s="10"/>
      <c r="N282" s="10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20"/>
    </row>
    <row r="283">
      <c r="A283" s="14"/>
      <c r="B283" s="148" t="str">
        <f t="shared" si="1"/>
        <v/>
      </c>
      <c r="C283" s="149"/>
      <c r="D283" s="150"/>
      <c r="E283" s="151"/>
      <c r="F283" s="151"/>
      <c r="G283" s="151"/>
      <c r="H283" s="10"/>
      <c r="I283" s="152"/>
      <c r="J283" s="151"/>
      <c r="K283" s="151"/>
      <c r="L283" s="10"/>
      <c r="M283" s="10"/>
      <c r="N283" s="10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20"/>
    </row>
    <row r="284">
      <c r="A284" s="14"/>
      <c r="B284" s="148" t="str">
        <f t="shared" si="1"/>
        <v/>
      </c>
      <c r="C284" s="149"/>
      <c r="D284" s="150"/>
      <c r="E284" s="151"/>
      <c r="F284" s="151"/>
      <c r="G284" s="151"/>
      <c r="H284" s="10"/>
      <c r="I284" s="152"/>
      <c r="J284" s="151"/>
      <c r="K284" s="151"/>
      <c r="L284" s="10"/>
      <c r="M284" s="10"/>
      <c r="N284" s="10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20"/>
    </row>
    <row r="285">
      <c r="A285" s="14"/>
      <c r="B285" s="148" t="str">
        <f t="shared" si="1"/>
        <v/>
      </c>
      <c r="C285" s="149"/>
      <c r="D285" s="150"/>
      <c r="E285" s="151"/>
      <c r="F285" s="151"/>
      <c r="G285" s="151"/>
      <c r="H285" s="10"/>
      <c r="I285" s="152"/>
      <c r="J285" s="151"/>
      <c r="K285" s="151"/>
      <c r="L285" s="10"/>
      <c r="M285" s="10"/>
      <c r="N285" s="10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20"/>
    </row>
    <row r="286">
      <c r="A286" s="14"/>
      <c r="B286" s="148" t="str">
        <f t="shared" si="1"/>
        <v/>
      </c>
      <c r="C286" s="149"/>
      <c r="D286" s="150"/>
      <c r="E286" s="151"/>
      <c r="F286" s="151"/>
      <c r="G286" s="151"/>
      <c r="H286" s="10"/>
      <c r="I286" s="152"/>
      <c r="J286" s="151"/>
      <c r="K286" s="151"/>
      <c r="L286" s="10"/>
      <c r="M286" s="10"/>
      <c r="N286" s="10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20"/>
    </row>
    <row r="287">
      <c r="A287" s="14"/>
      <c r="B287" s="148" t="str">
        <f t="shared" si="1"/>
        <v/>
      </c>
      <c r="C287" s="149"/>
      <c r="D287" s="150"/>
      <c r="E287" s="151"/>
      <c r="F287" s="151"/>
      <c r="G287" s="151"/>
      <c r="H287" s="10"/>
      <c r="I287" s="152"/>
      <c r="J287" s="151"/>
      <c r="K287" s="151"/>
      <c r="L287" s="10"/>
      <c r="M287" s="10"/>
      <c r="N287" s="10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20"/>
    </row>
    <row r="288">
      <c r="A288" s="14"/>
      <c r="B288" s="148" t="str">
        <f t="shared" si="1"/>
        <v/>
      </c>
      <c r="C288" s="149"/>
      <c r="D288" s="150"/>
      <c r="E288" s="151"/>
      <c r="F288" s="151"/>
      <c r="G288" s="151"/>
      <c r="H288" s="10"/>
      <c r="I288" s="152"/>
      <c r="J288" s="151"/>
      <c r="K288" s="151"/>
      <c r="L288" s="10"/>
      <c r="M288" s="10"/>
      <c r="N288" s="10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20"/>
    </row>
    <row r="289">
      <c r="A289" s="14"/>
      <c r="B289" s="148" t="str">
        <f t="shared" si="1"/>
        <v/>
      </c>
      <c r="C289" s="149"/>
      <c r="D289" s="150"/>
      <c r="E289" s="151"/>
      <c r="F289" s="151"/>
      <c r="G289" s="151"/>
      <c r="H289" s="10"/>
      <c r="I289" s="152"/>
      <c r="J289" s="151"/>
      <c r="K289" s="151"/>
      <c r="L289" s="10"/>
      <c r="M289" s="10"/>
      <c r="N289" s="10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20"/>
    </row>
    <row r="290">
      <c r="A290" s="14"/>
      <c r="B290" s="148" t="str">
        <f t="shared" si="1"/>
        <v/>
      </c>
      <c r="C290" s="149"/>
      <c r="D290" s="150"/>
      <c r="E290" s="151"/>
      <c r="F290" s="151"/>
      <c r="G290" s="151"/>
      <c r="H290" s="10"/>
      <c r="I290" s="152"/>
      <c r="J290" s="151"/>
      <c r="K290" s="151"/>
      <c r="L290" s="10"/>
      <c r="M290" s="10"/>
      <c r="N290" s="10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20"/>
    </row>
    <row r="291">
      <c r="A291" s="14"/>
      <c r="B291" s="148" t="str">
        <f t="shared" si="1"/>
        <v/>
      </c>
      <c r="C291" s="149"/>
      <c r="D291" s="150"/>
      <c r="E291" s="151"/>
      <c r="F291" s="151"/>
      <c r="G291" s="151"/>
      <c r="H291" s="10"/>
      <c r="I291" s="152"/>
      <c r="J291" s="151"/>
      <c r="K291" s="151"/>
      <c r="L291" s="10"/>
      <c r="M291" s="10"/>
      <c r="N291" s="10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20"/>
    </row>
    <row r="292">
      <c r="A292" s="14"/>
      <c r="B292" s="148" t="str">
        <f t="shared" si="1"/>
        <v/>
      </c>
      <c r="C292" s="149"/>
      <c r="D292" s="150"/>
      <c r="E292" s="151"/>
      <c r="F292" s="151"/>
      <c r="G292" s="151"/>
      <c r="H292" s="10"/>
      <c r="I292" s="152"/>
      <c r="J292" s="151"/>
      <c r="K292" s="151"/>
      <c r="L292" s="10"/>
      <c r="M292" s="10"/>
      <c r="N292" s="10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20"/>
    </row>
    <row r="293">
      <c r="A293" s="14"/>
      <c r="B293" s="148" t="str">
        <f t="shared" si="1"/>
        <v/>
      </c>
      <c r="C293" s="149"/>
      <c r="D293" s="150"/>
      <c r="E293" s="151"/>
      <c r="F293" s="151"/>
      <c r="G293" s="151"/>
      <c r="H293" s="10"/>
      <c r="I293" s="152"/>
      <c r="J293" s="151"/>
      <c r="K293" s="151"/>
      <c r="L293" s="10"/>
      <c r="M293" s="10"/>
      <c r="N293" s="10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20"/>
    </row>
    <row r="294">
      <c r="A294" s="14"/>
      <c r="B294" s="148" t="str">
        <f t="shared" si="1"/>
        <v/>
      </c>
      <c r="C294" s="149"/>
      <c r="D294" s="150"/>
      <c r="E294" s="151"/>
      <c r="F294" s="151"/>
      <c r="G294" s="151"/>
      <c r="H294" s="10"/>
      <c r="I294" s="152"/>
      <c r="J294" s="151"/>
      <c r="K294" s="151"/>
      <c r="L294" s="10"/>
      <c r="M294" s="10"/>
      <c r="N294" s="10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20"/>
    </row>
    <row r="295">
      <c r="A295" s="14"/>
      <c r="B295" s="148" t="str">
        <f t="shared" si="1"/>
        <v/>
      </c>
      <c r="C295" s="149"/>
      <c r="D295" s="150"/>
      <c r="E295" s="151"/>
      <c r="F295" s="151"/>
      <c r="G295" s="151"/>
      <c r="H295" s="10"/>
      <c r="I295" s="152"/>
      <c r="J295" s="151"/>
      <c r="K295" s="151"/>
      <c r="L295" s="10"/>
      <c r="M295" s="10"/>
      <c r="N295" s="10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20"/>
    </row>
    <row r="296">
      <c r="A296" s="14"/>
      <c r="B296" s="148" t="str">
        <f t="shared" si="1"/>
        <v/>
      </c>
      <c r="C296" s="149"/>
      <c r="D296" s="150"/>
      <c r="E296" s="151"/>
      <c r="F296" s="151"/>
      <c r="G296" s="151"/>
      <c r="H296" s="10"/>
      <c r="I296" s="152"/>
      <c r="J296" s="151"/>
      <c r="K296" s="151"/>
      <c r="L296" s="10"/>
      <c r="M296" s="10"/>
      <c r="N296" s="10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20"/>
    </row>
    <row r="297">
      <c r="A297" s="14"/>
      <c r="B297" s="148" t="str">
        <f t="shared" si="1"/>
        <v/>
      </c>
      <c r="C297" s="149"/>
      <c r="D297" s="150"/>
      <c r="E297" s="151"/>
      <c r="F297" s="151"/>
      <c r="G297" s="151"/>
      <c r="H297" s="10"/>
      <c r="I297" s="152"/>
      <c r="J297" s="151"/>
      <c r="K297" s="151"/>
      <c r="L297" s="10"/>
      <c r="M297" s="10"/>
      <c r="N297" s="10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20"/>
    </row>
    <row r="298">
      <c r="A298" s="14"/>
      <c r="B298" s="148" t="str">
        <f t="shared" si="1"/>
        <v/>
      </c>
      <c r="C298" s="149"/>
      <c r="D298" s="150"/>
      <c r="E298" s="151"/>
      <c r="F298" s="151"/>
      <c r="G298" s="151"/>
      <c r="H298" s="10"/>
      <c r="I298" s="152"/>
      <c r="J298" s="151"/>
      <c r="K298" s="151"/>
      <c r="L298" s="10"/>
      <c r="M298" s="10"/>
      <c r="N298" s="10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20"/>
    </row>
    <row r="299">
      <c r="A299" s="14"/>
      <c r="B299" s="148" t="str">
        <f t="shared" si="1"/>
        <v/>
      </c>
      <c r="C299" s="149"/>
      <c r="D299" s="150"/>
      <c r="E299" s="151"/>
      <c r="F299" s="151"/>
      <c r="G299" s="151"/>
      <c r="H299" s="10"/>
      <c r="I299" s="152"/>
      <c r="J299" s="151"/>
      <c r="K299" s="151"/>
      <c r="L299" s="10"/>
      <c r="M299" s="10"/>
      <c r="N299" s="10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20"/>
    </row>
    <row r="300">
      <c r="A300" s="14"/>
      <c r="B300" s="148" t="str">
        <f t="shared" si="1"/>
        <v/>
      </c>
      <c r="C300" s="149"/>
      <c r="D300" s="150"/>
      <c r="E300" s="151"/>
      <c r="F300" s="151"/>
      <c r="G300" s="151"/>
      <c r="H300" s="10"/>
      <c r="I300" s="152"/>
      <c r="J300" s="151"/>
      <c r="K300" s="151"/>
      <c r="L300" s="10"/>
      <c r="M300" s="10"/>
      <c r="N300" s="10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20"/>
    </row>
    <row r="301">
      <c r="A301" s="14"/>
      <c r="B301" s="148" t="str">
        <f t="shared" si="1"/>
        <v/>
      </c>
      <c r="C301" s="149"/>
      <c r="D301" s="150"/>
      <c r="E301" s="151"/>
      <c r="F301" s="151"/>
      <c r="G301" s="151"/>
      <c r="H301" s="10"/>
      <c r="I301" s="152"/>
      <c r="J301" s="151"/>
      <c r="K301" s="151"/>
      <c r="L301" s="10"/>
      <c r="M301" s="10"/>
      <c r="N301" s="10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20"/>
    </row>
    <row r="302">
      <c r="A302" s="14"/>
      <c r="B302" s="148" t="str">
        <f t="shared" si="1"/>
        <v/>
      </c>
      <c r="C302" s="149"/>
      <c r="D302" s="150"/>
      <c r="E302" s="151"/>
      <c r="F302" s="151"/>
      <c r="G302" s="151"/>
      <c r="H302" s="10"/>
      <c r="I302" s="152"/>
      <c r="J302" s="151"/>
      <c r="K302" s="151"/>
      <c r="L302" s="10"/>
      <c r="M302" s="10"/>
      <c r="N302" s="10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20"/>
    </row>
    <row r="303">
      <c r="A303" s="14"/>
      <c r="B303" s="148" t="str">
        <f t="shared" si="1"/>
        <v/>
      </c>
      <c r="C303" s="149"/>
      <c r="D303" s="150"/>
      <c r="E303" s="151"/>
      <c r="F303" s="151"/>
      <c r="G303" s="151"/>
      <c r="H303" s="10"/>
      <c r="I303" s="152"/>
      <c r="J303" s="151"/>
      <c r="K303" s="151"/>
      <c r="L303" s="10"/>
      <c r="M303" s="10"/>
      <c r="N303" s="10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20"/>
    </row>
    <row r="304">
      <c r="A304" s="14"/>
      <c r="B304" s="148" t="str">
        <f t="shared" si="1"/>
        <v/>
      </c>
      <c r="C304" s="149"/>
      <c r="D304" s="150"/>
      <c r="E304" s="151"/>
      <c r="F304" s="151"/>
      <c r="G304" s="151"/>
      <c r="H304" s="10"/>
      <c r="I304" s="152"/>
      <c r="J304" s="151"/>
      <c r="K304" s="151"/>
      <c r="L304" s="10"/>
      <c r="M304" s="10"/>
      <c r="N304" s="10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20"/>
    </row>
    <row r="305">
      <c r="A305" s="14"/>
      <c r="B305" s="148" t="str">
        <f t="shared" si="1"/>
        <v/>
      </c>
      <c r="C305" s="149"/>
      <c r="D305" s="150"/>
      <c r="E305" s="151"/>
      <c r="F305" s="151"/>
      <c r="G305" s="151"/>
      <c r="H305" s="10"/>
      <c r="I305" s="152"/>
      <c r="J305" s="151"/>
      <c r="K305" s="151"/>
      <c r="L305" s="10"/>
      <c r="M305" s="10"/>
      <c r="N305" s="10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20"/>
    </row>
    <row r="306">
      <c r="A306" s="14"/>
      <c r="B306" s="148" t="str">
        <f t="shared" si="1"/>
        <v/>
      </c>
      <c r="C306" s="149"/>
      <c r="D306" s="150"/>
      <c r="E306" s="151"/>
      <c r="F306" s="151"/>
      <c r="G306" s="151"/>
      <c r="H306" s="10"/>
      <c r="I306" s="152"/>
      <c r="J306" s="151"/>
      <c r="K306" s="151"/>
      <c r="L306" s="10"/>
      <c r="M306" s="10"/>
      <c r="N306" s="10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20"/>
    </row>
    <row r="307">
      <c r="A307" s="14"/>
      <c r="B307" s="148" t="str">
        <f t="shared" si="1"/>
        <v/>
      </c>
      <c r="C307" s="149"/>
      <c r="D307" s="150"/>
      <c r="E307" s="151"/>
      <c r="F307" s="151"/>
      <c r="G307" s="151"/>
      <c r="H307" s="10"/>
      <c r="I307" s="152"/>
      <c r="J307" s="151"/>
      <c r="K307" s="151"/>
      <c r="L307" s="10"/>
      <c r="M307" s="10"/>
      <c r="N307" s="10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20"/>
    </row>
    <row r="308">
      <c r="A308" s="14"/>
      <c r="B308" s="148" t="str">
        <f t="shared" si="1"/>
        <v/>
      </c>
      <c r="C308" s="149"/>
      <c r="D308" s="150"/>
      <c r="E308" s="151"/>
      <c r="F308" s="151"/>
      <c r="G308" s="151"/>
      <c r="H308" s="10"/>
      <c r="I308" s="152"/>
      <c r="J308" s="151"/>
      <c r="K308" s="151"/>
      <c r="L308" s="10"/>
      <c r="M308" s="10"/>
      <c r="N308" s="10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20"/>
    </row>
    <row r="309">
      <c r="A309" s="14"/>
      <c r="B309" s="148" t="str">
        <f t="shared" si="1"/>
        <v/>
      </c>
      <c r="C309" s="149"/>
      <c r="D309" s="150"/>
      <c r="E309" s="151"/>
      <c r="F309" s="151"/>
      <c r="G309" s="151"/>
      <c r="H309" s="10"/>
      <c r="I309" s="152"/>
      <c r="J309" s="151"/>
      <c r="K309" s="151"/>
      <c r="L309" s="10"/>
      <c r="M309" s="10"/>
      <c r="N309" s="10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20"/>
    </row>
    <row r="310">
      <c r="A310" s="14"/>
      <c r="B310" s="148" t="str">
        <f t="shared" si="1"/>
        <v/>
      </c>
      <c r="C310" s="149"/>
      <c r="D310" s="150"/>
      <c r="E310" s="151"/>
      <c r="F310" s="151"/>
      <c r="G310" s="151"/>
      <c r="H310" s="10"/>
      <c r="I310" s="152"/>
      <c r="J310" s="151"/>
      <c r="K310" s="151"/>
      <c r="L310" s="10"/>
      <c r="M310" s="10"/>
      <c r="N310" s="10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20"/>
    </row>
    <row r="311">
      <c r="A311" s="14"/>
      <c r="B311" s="148" t="str">
        <f t="shared" si="1"/>
        <v/>
      </c>
      <c r="C311" s="149"/>
      <c r="D311" s="150"/>
      <c r="E311" s="151"/>
      <c r="F311" s="151"/>
      <c r="G311" s="151"/>
      <c r="H311" s="10"/>
      <c r="I311" s="152"/>
      <c r="J311" s="151"/>
      <c r="K311" s="151"/>
      <c r="L311" s="10"/>
      <c r="M311" s="10"/>
      <c r="N311" s="10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20"/>
    </row>
    <row r="312">
      <c r="A312" s="14"/>
      <c r="B312" s="148" t="str">
        <f t="shared" si="1"/>
        <v/>
      </c>
      <c r="C312" s="149"/>
      <c r="D312" s="150"/>
      <c r="E312" s="151"/>
      <c r="F312" s="151"/>
      <c r="G312" s="151"/>
      <c r="H312" s="10"/>
      <c r="I312" s="152"/>
      <c r="J312" s="151"/>
      <c r="K312" s="151"/>
      <c r="L312" s="10"/>
      <c r="M312" s="10"/>
      <c r="N312" s="10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20"/>
    </row>
    <row r="313">
      <c r="A313" s="14"/>
      <c r="B313" s="148" t="str">
        <f t="shared" si="1"/>
        <v/>
      </c>
      <c r="C313" s="149"/>
      <c r="D313" s="150"/>
      <c r="E313" s="151"/>
      <c r="F313" s="151"/>
      <c r="G313" s="151"/>
      <c r="H313" s="10"/>
      <c r="I313" s="152"/>
      <c r="J313" s="151"/>
      <c r="K313" s="151"/>
      <c r="L313" s="10"/>
      <c r="M313" s="10"/>
      <c r="N313" s="10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20"/>
    </row>
    <row r="314">
      <c r="A314" s="14"/>
      <c r="B314" s="148" t="str">
        <f t="shared" si="1"/>
        <v/>
      </c>
      <c r="C314" s="149"/>
      <c r="D314" s="150"/>
      <c r="E314" s="151"/>
      <c r="F314" s="151"/>
      <c r="G314" s="151"/>
      <c r="H314" s="10"/>
      <c r="I314" s="152"/>
      <c r="J314" s="151"/>
      <c r="K314" s="151"/>
      <c r="L314" s="10"/>
      <c r="M314" s="10"/>
      <c r="N314" s="10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20"/>
    </row>
    <row r="315">
      <c r="A315" s="14"/>
      <c r="B315" s="148" t="str">
        <f t="shared" si="1"/>
        <v/>
      </c>
      <c r="C315" s="149"/>
      <c r="D315" s="150"/>
      <c r="E315" s="151"/>
      <c r="F315" s="151"/>
      <c r="G315" s="151"/>
      <c r="H315" s="10"/>
      <c r="I315" s="152"/>
      <c r="J315" s="151"/>
      <c r="K315" s="151"/>
      <c r="L315" s="10"/>
      <c r="M315" s="10"/>
      <c r="N315" s="10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20"/>
    </row>
    <row r="316">
      <c r="A316" s="14"/>
      <c r="B316" s="148" t="str">
        <f t="shared" si="1"/>
        <v/>
      </c>
      <c r="C316" s="149"/>
      <c r="D316" s="150"/>
      <c r="E316" s="151"/>
      <c r="F316" s="151"/>
      <c r="G316" s="151"/>
      <c r="H316" s="10"/>
      <c r="I316" s="152"/>
      <c r="J316" s="151"/>
      <c r="K316" s="151"/>
      <c r="L316" s="10"/>
      <c r="M316" s="10"/>
      <c r="N316" s="10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20"/>
    </row>
    <row r="317">
      <c r="A317" s="14"/>
      <c r="B317" s="148" t="str">
        <f t="shared" si="1"/>
        <v/>
      </c>
      <c r="C317" s="149"/>
      <c r="D317" s="150"/>
      <c r="E317" s="151"/>
      <c r="F317" s="151"/>
      <c r="G317" s="151"/>
      <c r="H317" s="10"/>
      <c r="I317" s="152"/>
      <c r="J317" s="151"/>
      <c r="K317" s="151"/>
      <c r="L317" s="10"/>
      <c r="M317" s="10"/>
      <c r="N317" s="10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20"/>
    </row>
    <row r="318">
      <c r="A318" s="14"/>
      <c r="B318" s="148" t="str">
        <f t="shared" si="1"/>
        <v/>
      </c>
      <c r="C318" s="149"/>
      <c r="D318" s="150"/>
      <c r="E318" s="151"/>
      <c r="F318" s="151"/>
      <c r="G318" s="151"/>
      <c r="H318" s="10"/>
      <c r="I318" s="152"/>
      <c r="J318" s="151"/>
      <c r="K318" s="151"/>
      <c r="L318" s="10"/>
      <c r="M318" s="10"/>
      <c r="N318" s="10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20"/>
    </row>
    <row r="319">
      <c r="A319" s="14"/>
      <c r="B319" s="148" t="str">
        <f t="shared" si="1"/>
        <v/>
      </c>
      <c r="C319" s="149"/>
      <c r="D319" s="150"/>
      <c r="E319" s="151"/>
      <c r="F319" s="151"/>
      <c r="G319" s="151"/>
      <c r="H319" s="10"/>
      <c r="I319" s="152"/>
      <c r="J319" s="151"/>
      <c r="K319" s="151"/>
      <c r="L319" s="10"/>
      <c r="M319" s="10"/>
      <c r="N319" s="10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20"/>
    </row>
    <row r="320">
      <c r="A320" s="14"/>
      <c r="B320" s="148" t="str">
        <f t="shared" si="1"/>
        <v/>
      </c>
      <c r="C320" s="149"/>
      <c r="D320" s="150"/>
      <c r="E320" s="151"/>
      <c r="F320" s="151"/>
      <c r="G320" s="151"/>
      <c r="H320" s="10"/>
      <c r="I320" s="152"/>
      <c r="J320" s="151"/>
      <c r="K320" s="151"/>
      <c r="L320" s="10"/>
      <c r="M320" s="10"/>
      <c r="N320" s="10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20"/>
    </row>
    <row r="321">
      <c r="A321" s="14"/>
      <c r="B321" s="148" t="str">
        <f t="shared" si="1"/>
        <v/>
      </c>
      <c r="C321" s="149"/>
      <c r="D321" s="150"/>
      <c r="E321" s="151"/>
      <c r="F321" s="151"/>
      <c r="G321" s="151"/>
      <c r="H321" s="10"/>
      <c r="I321" s="152"/>
      <c r="J321" s="151"/>
      <c r="K321" s="151"/>
      <c r="L321" s="10"/>
      <c r="M321" s="10"/>
      <c r="N321" s="10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20"/>
    </row>
    <row r="322">
      <c r="A322" s="14"/>
      <c r="B322" s="148" t="str">
        <f t="shared" si="1"/>
        <v/>
      </c>
      <c r="C322" s="149"/>
      <c r="D322" s="150"/>
      <c r="E322" s="151"/>
      <c r="F322" s="151"/>
      <c r="G322" s="151"/>
      <c r="H322" s="10"/>
      <c r="I322" s="152"/>
      <c r="J322" s="151"/>
      <c r="K322" s="151"/>
      <c r="L322" s="10"/>
      <c r="M322" s="10"/>
      <c r="N322" s="10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20"/>
    </row>
    <row r="323">
      <c r="A323" s="14"/>
      <c r="B323" s="148" t="str">
        <f t="shared" si="1"/>
        <v/>
      </c>
      <c r="C323" s="149"/>
      <c r="D323" s="150"/>
      <c r="E323" s="151"/>
      <c r="F323" s="151"/>
      <c r="G323" s="151"/>
      <c r="H323" s="10"/>
      <c r="I323" s="152"/>
      <c r="J323" s="151"/>
      <c r="K323" s="151"/>
      <c r="L323" s="10"/>
      <c r="M323" s="10"/>
      <c r="N323" s="10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20"/>
    </row>
    <row r="324">
      <c r="A324" s="14"/>
      <c r="B324" s="148" t="str">
        <f t="shared" si="1"/>
        <v/>
      </c>
      <c r="C324" s="149"/>
      <c r="D324" s="150"/>
      <c r="E324" s="151"/>
      <c r="F324" s="151"/>
      <c r="G324" s="151"/>
      <c r="H324" s="10"/>
      <c r="I324" s="152"/>
      <c r="J324" s="151"/>
      <c r="K324" s="151"/>
      <c r="L324" s="10"/>
      <c r="M324" s="10"/>
      <c r="N324" s="10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20"/>
    </row>
    <row r="325">
      <c r="A325" s="14"/>
      <c r="B325" s="148" t="str">
        <f t="shared" si="1"/>
        <v/>
      </c>
      <c r="C325" s="149"/>
      <c r="D325" s="150"/>
      <c r="E325" s="151"/>
      <c r="F325" s="151"/>
      <c r="G325" s="151"/>
      <c r="H325" s="10"/>
      <c r="I325" s="152"/>
      <c r="J325" s="151"/>
      <c r="K325" s="151"/>
      <c r="L325" s="10"/>
      <c r="M325" s="10"/>
      <c r="N325" s="10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20"/>
    </row>
    <row r="326">
      <c r="A326" s="14"/>
      <c r="B326" s="148" t="str">
        <f t="shared" si="1"/>
        <v/>
      </c>
      <c r="C326" s="149"/>
      <c r="D326" s="150"/>
      <c r="E326" s="151"/>
      <c r="F326" s="151"/>
      <c r="G326" s="151"/>
      <c r="H326" s="10"/>
      <c r="I326" s="152"/>
      <c r="J326" s="151"/>
      <c r="K326" s="151"/>
      <c r="L326" s="10"/>
      <c r="M326" s="10"/>
      <c r="N326" s="10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20"/>
    </row>
    <row r="327">
      <c r="A327" s="14"/>
      <c r="B327" s="148" t="str">
        <f t="shared" si="1"/>
        <v/>
      </c>
      <c r="C327" s="149"/>
      <c r="D327" s="150"/>
      <c r="E327" s="151"/>
      <c r="F327" s="151"/>
      <c r="G327" s="151"/>
      <c r="H327" s="10"/>
      <c r="I327" s="152"/>
      <c r="J327" s="151"/>
      <c r="K327" s="151"/>
      <c r="L327" s="10"/>
      <c r="M327" s="10"/>
      <c r="N327" s="10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20"/>
    </row>
    <row r="328">
      <c r="A328" s="14"/>
      <c r="B328" s="148" t="str">
        <f t="shared" si="1"/>
        <v/>
      </c>
      <c r="C328" s="149"/>
      <c r="D328" s="150"/>
      <c r="E328" s="151"/>
      <c r="F328" s="151"/>
      <c r="G328" s="151"/>
      <c r="H328" s="10"/>
      <c r="I328" s="152"/>
      <c r="J328" s="151"/>
      <c r="K328" s="151"/>
      <c r="L328" s="10"/>
      <c r="M328" s="10"/>
      <c r="N328" s="10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20"/>
    </row>
    <row r="329">
      <c r="A329" s="14"/>
      <c r="B329" s="148" t="str">
        <f t="shared" si="1"/>
        <v/>
      </c>
      <c r="C329" s="149"/>
      <c r="D329" s="150"/>
      <c r="E329" s="151"/>
      <c r="F329" s="151"/>
      <c r="G329" s="151"/>
      <c r="H329" s="10"/>
      <c r="I329" s="152"/>
      <c r="J329" s="151"/>
      <c r="K329" s="151"/>
      <c r="L329" s="10"/>
      <c r="M329" s="10"/>
      <c r="N329" s="10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20"/>
    </row>
    <row r="330">
      <c r="A330" s="14"/>
      <c r="B330" s="148" t="str">
        <f t="shared" si="1"/>
        <v/>
      </c>
      <c r="C330" s="149"/>
      <c r="D330" s="150"/>
      <c r="E330" s="151"/>
      <c r="F330" s="151"/>
      <c r="G330" s="151"/>
      <c r="H330" s="10"/>
      <c r="I330" s="152"/>
      <c r="J330" s="151"/>
      <c r="K330" s="151"/>
      <c r="L330" s="10"/>
      <c r="M330" s="10"/>
      <c r="N330" s="10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20"/>
    </row>
    <row r="331">
      <c r="A331" s="14"/>
      <c r="B331" s="148" t="str">
        <f t="shared" si="1"/>
        <v/>
      </c>
      <c r="C331" s="149"/>
      <c r="D331" s="150"/>
      <c r="E331" s="151"/>
      <c r="F331" s="151"/>
      <c r="G331" s="151"/>
      <c r="H331" s="10"/>
      <c r="I331" s="152"/>
      <c r="J331" s="151"/>
      <c r="K331" s="151"/>
      <c r="L331" s="10"/>
      <c r="M331" s="10"/>
      <c r="N331" s="10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20"/>
    </row>
    <row r="332">
      <c r="A332" s="14"/>
      <c r="B332" s="148" t="str">
        <f t="shared" si="1"/>
        <v/>
      </c>
      <c r="C332" s="149"/>
      <c r="D332" s="150"/>
      <c r="E332" s="151"/>
      <c r="F332" s="151"/>
      <c r="G332" s="151"/>
      <c r="H332" s="10"/>
      <c r="I332" s="152"/>
      <c r="J332" s="151"/>
      <c r="K332" s="151"/>
      <c r="L332" s="10"/>
      <c r="M332" s="10"/>
      <c r="N332" s="10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20"/>
    </row>
    <row r="333">
      <c r="A333" s="14"/>
      <c r="B333" s="148" t="str">
        <f t="shared" si="1"/>
        <v/>
      </c>
      <c r="C333" s="149"/>
      <c r="D333" s="150"/>
      <c r="E333" s="151"/>
      <c r="F333" s="151"/>
      <c r="G333" s="151"/>
      <c r="H333" s="10"/>
      <c r="I333" s="152"/>
      <c r="J333" s="151"/>
      <c r="K333" s="151"/>
      <c r="L333" s="10"/>
      <c r="M333" s="10"/>
      <c r="N333" s="10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20"/>
    </row>
    <row r="334">
      <c r="A334" s="14"/>
      <c r="B334" s="148" t="str">
        <f t="shared" si="1"/>
        <v/>
      </c>
      <c r="C334" s="149"/>
      <c r="D334" s="150"/>
      <c r="E334" s="151"/>
      <c r="F334" s="151"/>
      <c r="G334" s="151"/>
      <c r="H334" s="10"/>
      <c r="I334" s="152"/>
      <c r="J334" s="151"/>
      <c r="K334" s="151"/>
      <c r="L334" s="10"/>
      <c r="M334" s="10"/>
      <c r="N334" s="10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20"/>
    </row>
    <row r="335">
      <c r="A335" s="14"/>
      <c r="B335" s="148" t="str">
        <f t="shared" si="1"/>
        <v/>
      </c>
      <c r="C335" s="149"/>
      <c r="D335" s="150"/>
      <c r="E335" s="151"/>
      <c r="F335" s="151"/>
      <c r="G335" s="151"/>
      <c r="H335" s="10"/>
      <c r="I335" s="152"/>
      <c r="J335" s="151"/>
      <c r="K335" s="151"/>
      <c r="L335" s="10"/>
      <c r="M335" s="10"/>
      <c r="N335" s="10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20"/>
    </row>
    <row r="336">
      <c r="A336" s="14"/>
      <c r="B336" s="148" t="str">
        <f t="shared" si="1"/>
        <v/>
      </c>
      <c r="C336" s="149"/>
      <c r="D336" s="150"/>
      <c r="E336" s="151"/>
      <c r="F336" s="151"/>
      <c r="G336" s="151"/>
      <c r="H336" s="10"/>
      <c r="I336" s="152"/>
      <c r="J336" s="151"/>
      <c r="K336" s="151"/>
      <c r="L336" s="10"/>
      <c r="M336" s="10"/>
      <c r="N336" s="10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20"/>
    </row>
    <row r="337">
      <c r="A337" s="14"/>
      <c r="B337" s="148" t="str">
        <f t="shared" si="1"/>
        <v/>
      </c>
      <c r="C337" s="149"/>
      <c r="D337" s="150"/>
      <c r="E337" s="151"/>
      <c r="F337" s="151"/>
      <c r="G337" s="151"/>
      <c r="H337" s="10"/>
      <c r="I337" s="152"/>
      <c r="J337" s="151"/>
      <c r="K337" s="151"/>
      <c r="L337" s="10"/>
      <c r="M337" s="10"/>
      <c r="N337" s="10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20"/>
    </row>
    <row r="338">
      <c r="A338" s="14"/>
      <c r="B338" s="148" t="str">
        <f t="shared" si="1"/>
        <v/>
      </c>
      <c r="C338" s="149"/>
      <c r="D338" s="150"/>
      <c r="E338" s="151"/>
      <c r="F338" s="151"/>
      <c r="G338" s="151"/>
      <c r="H338" s="10"/>
      <c r="I338" s="152"/>
      <c r="J338" s="151"/>
      <c r="K338" s="151"/>
      <c r="L338" s="10"/>
      <c r="M338" s="10"/>
      <c r="N338" s="10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20"/>
    </row>
    <row r="339">
      <c r="A339" s="14"/>
      <c r="B339" s="148" t="str">
        <f t="shared" si="1"/>
        <v/>
      </c>
      <c r="C339" s="149"/>
      <c r="D339" s="150"/>
      <c r="E339" s="151"/>
      <c r="F339" s="151"/>
      <c r="G339" s="151"/>
      <c r="H339" s="10"/>
      <c r="I339" s="152"/>
      <c r="J339" s="151"/>
      <c r="K339" s="151"/>
      <c r="L339" s="10"/>
      <c r="M339" s="10"/>
      <c r="N339" s="10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20"/>
    </row>
    <row r="340">
      <c r="A340" s="14"/>
      <c r="B340" s="148" t="str">
        <f t="shared" si="1"/>
        <v/>
      </c>
      <c r="C340" s="149"/>
      <c r="D340" s="150"/>
      <c r="E340" s="151"/>
      <c r="F340" s="151"/>
      <c r="G340" s="151"/>
      <c r="H340" s="10"/>
      <c r="I340" s="152"/>
      <c r="J340" s="151"/>
      <c r="K340" s="151"/>
      <c r="L340" s="10"/>
      <c r="M340" s="10"/>
      <c r="N340" s="10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20"/>
    </row>
    <row r="341">
      <c r="A341" s="14"/>
      <c r="B341" s="148" t="str">
        <f t="shared" si="1"/>
        <v/>
      </c>
      <c r="C341" s="149"/>
      <c r="D341" s="150"/>
      <c r="E341" s="151"/>
      <c r="F341" s="151"/>
      <c r="G341" s="151"/>
      <c r="H341" s="10"/>
      <c r="I341" s="152"/>
      <c r="J341" s="151"/>
      <c r="K341" s="151"/>
      <c r="L341" s="10"/>
      <c r="M341" s="10"/>
      <c r="N341" s="10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20"/>
    </row>
    <row r="342">
      <c r="A342" s="14"/>
      <c r="B342" s="148" t="str">
        <f t="shared" si="1"/>
        <v/>
      </c>
      <c r="C342" s="149"/>
      <c r="D342" s="150"/>
      <c r="E342" s="151"/>
      <c r="F342" s="151"/>
      <c r="G342" s="151"/>
      <c r="H342" s="10"/>
      <c r="I342" s="152"/>
      <c r="J342" s="151"/>
      <c r="K342" s="151"/>
      <c r="L342" s="10"/>
      <c r="M342" s="10"/>
      <c r="N342" s="10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20"/>
    </row>
    <row r="343">
      <c r="A343" s="14"/>
      <c r="B343" s="148" t="str">
        <f t="shared" si="1"/>
        <v/>
      </c>
      <c r="C343" s="149"/>
      <c r="D343" s="150"/>
      <c r="E343" s="151"/>
      <c r="F343" s="151"/>
      <c r="G343" s="151"/>
      <c r="H343" s="10"/>
      <c r="I343" s="152"/>
      <c r="J343" s="151"/>
      <c r="K343" s="151"/>
      <c r="L343" s="10"/>
      <c r="M343" s="10"/>
      <c r="N343" s="10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20"/>
    </row>
    <row r="344">
      <c r="A344" s="14"/>
      <c r="B344" s="148" t="str">
        <f t="shared" si="1"/>
        <v/>
      </c>
      <c r="C344" s="149"/>
      <c r="D344" s="150"/>
      <c r="E344" s="151"/>
      <c r="F344" s="151"/>
      <c r="G344" s="151"/>
      <c r="H344" s="10"/>
      <c r="I344" s="152"/>
      <c r="J344" s="151"/>
      <c r="K344" s="151"/>
      <c r="L344" s="10"/>
      <c r="M344" s="10"/>
      <c r="N344" s="10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20"/>
    </row>
    <row r="345">
      <c r="A345" s="14"/>
      <c r="B345" s="148" t="str">
        <f t="shared" si="1"/>
        <v/>
      </c>
      <c r="C345" s="149"/>
      <c r="D345" s="150"/>
      <c r="E345" s="151"/>
      <c r="F345" s="151"/>
      <c r="G345" s="151"/>
      <c r="H345" s="10"/>
      <c r="I345" s="152"/>
      <c r="J345" s="151"/>
      <c r="K345" s="151"/>
      <c r="L345" s="10"/>
      <c r="M345" s="10"/>
      <c r="N345" s="10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20"/>
    </row>
    <row r="346">
      <c r="A346" s="14"/>
      <c r="B346" s="148" t="str">
        <f t="shared" si="1"/>
        <v/>
      </c>
      <c r="C346" s="149"/>
      <c r="D346" s="150"/>
      <c r="E346" s="151"/>
      <c r="F346" s="151"/>
      <c r="G346" s="151"/>
      <c r="H346" s="10"/>
      <c r="I346" s="152"/>
      <c r="J346" s="151"/>
      <c r="K346" s="151"/>
      <c r="L346" s="10"/>
      <c r="M346" s="10"/>
      <c r="N346" s="10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20"/>
    </row>
    <row r="347">
      <c r="A347" s="14"/>
      <c r="B347" s="148" t="str">
        <f t="shared" si="1"/>
        <v/>
      </c>
      <c r="C347" s="149"/>
      <c r="D347" s="150"/>
      <c r="E347" s="151"/>
      <c r="F347" s="151"/>
      <c r="G347" s="151"/>
      <c r="H347" s="10"/>
      <c r="I347" s="152"/>
      <c r="J347" s="151"/>
      <c r="K347" s="151"/>
      <c r="L347" s="10"/>
      <c r="M347" s="10"/>
      <c r="N347" s="10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20"/>
    </row>
    <row r="348">
      <c r="A348" s="14"/>
      <c r="B348" s="148" t="str">
        <f t="shared" si="1"/>
        <v/>
      </c>
      <c r="C348" s="149"/>
      <c r="D348" s="150"/>
      <c r="E348" s="151"/>
      <c r="F348" s="151"/>
      <c r="G348" s="151"/>
      <c r="H348" s="10"/>
      <c r="I348" s="152"/>
      <c r="J348" s="151"/>
      <c r="K348" s="151"/>
      <c r="L348" s="10"/>
      <c r="M348" s="10"/>
      <c r="N348" s="10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20"/>
    </row>
    <row r="349">
      <c r="A349" s="14"/>
      <c r="B349" s="148" t="str">
        <f t="shared" si="1"/>
        <v/>
      </c>
      <c r="C349" s="149"/>
      <c r="D349" s="150"/>
      <c r="E349" s="151"/>
      <c r="F349" s="151"/>
      <c r="G349" s="151"/>
      <c r="H349" s="10"/>
      <c r="I349" s="152"/>
      <c r="J349" s="151"/>
      <c r="K349" s="151"/>
      <c r="L349" s="10"/>
      <c r="M349" s="10"/>
      <c r="N349" s="10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20"/>
    </row>
    <row r="350">
      <c r="A350" s="14"/>
      <c r="B350" s="148" t="str">
        <f t="shared" si="1"/>
        <v/>
      </c>
      <c r="C350" s="149"/>
      <c r="D350" s="150"/>
      <c r="E350" s="151"/>
      <c r="F350" s="151"/>
      <c r="G350" s="151"/>
      <c r="H350" s="10"/>
      <c r="I350" s="152"/>
      <c r="J350" s="151"/>
      <c r="K350" s="151"/>
      <c r="L350" s="10"/>
      <c r="M350" s="10"/>
      <c r="N350" s="10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20"/>
    </row>
    <row r="351">
      <c r="A351" s="14"/>
      <c r="B351" s="148" t="str">
        <f t="shared" si="1"/>
        <v/>
      </c>
      <c r="C351" s="149"/>
      <c r="D351" s="150"/>
      <c r="E351" s="151"/>
      <c r="F351" s="151"/>
      <c r="G351" s="151"/>
      <c r="H351" s="10"/>
      <c r="I351" s="152"/>
      <c r="J351" s="151"/>
      <c r="K351" s="151"/>
      <c r="L351" s="10"/>
      <c r="M351" s="10"/>
      <c r="N351" s="10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20"/>
    </row>
    <row r="352">
      <c r="A352" s="14"/>
      <c r="B352" s="148" t="str">
        <f t="shared" si="1"/>
        <v/>
      </c>
      <c r="C352" s="149"/>
      <c r="D352" s="150"/>
      <c r="E352" s="151"/>
      <c r="F352" s="151"/>
      <c r="G352" s="151"/>
      <c r="H352" s="10"/>
      <c r="I352" s="152"/>
      <c r="J352" s="151"/>
      <c r="K352" s="151"/>
      <c r="L352" s="10"/>
      <c r="M352" s="10"/>
      <c r="N352" s="10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20"/>
    </row>
    <row r="353">
      <c r="A353" s="14"/>
      <c r="B353" s="148" t="str">
        <f t="shared" si="1"/>
        <v/>
      </c>
      <c r="C353" s="149"/>
      <c r="D353" s="150"/>
      <c r="E353" s="151"/>
      <c r="F353" s="151"/>
      <c r="G353" s="151"/>
      <c r="H353" s="10"/>
      <c r="I353" s="152"/>
      <c r="J353" s="151"/>
      <c r="K353" s="151"/>
      <c r="L353" s="10"/>
      <c r="M353" s="10"/>
      <c r="N353" s="10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20"/>
    </row>
    <row r="354">
      <c r="A354" s="14"/>
      <c r="B354" s="148" t="str">
        <f t="shared" si="1"/>
        <v/>
      </c>
      <c r="C354" s="149"/>
      <c r="D354" s="150"/>
      <c r="E354" s="151"/>
      <c r="F354" s="151"/>
      <c r="G354" s="151"/>
      <c r="H354" s="10"/>
      <c r="I354" s="152"/>
      <c r="J354" s="151"/>
      <c r="K354" s="151"/>
      <c r="L354" s="10"/>
      <c r="M354" s="10"/>
      <c r="N354" s="10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20"/>
    </row>
    <row r="355">
      <c r="A355" s="14"/>
      <c r="B355" s="148" t="str">
        <f t="shared" si="1"/>
        <v/>
      </c>
      <c r="C355" s="149"/>
      <c r="D355" s="150"/>
      <c r="E355" s="151"/>
      <c r="F355" s="151"/>
      <c r="G355" s="151"/>
      <c r="H355" s="10"/>
      <c r="I355" s="152"/>
      <c r="J355" s="151"/>
      <c r="K355" s="151"/>
      <c r="L355" s="10"/>
      <c r="M355" s="10"/>
      <c r="N355" s="10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20"/>
    </row>
    <row r="356">
      <c r="A356" s="14"/>
      <c r="B356" s="14"/>
      <c r="C356" s="149"/>
      <c r="D356" s="150"/>
      <c r="E356" s="151"/>
      <c r="F356" s="151"/>
      <c r="G356" s="151"/>
      <c r="H356" s="10"/>
      <c r="I356" s="152"/>
      <c r="J356" s="151"/>
      <c r="K356" s="151"/>
      <c r="L356" s="10"/>
      <c r="M356" s="10"/>
      <c r="N356" s="10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20"/>
    </row>
    <row r="357">
      <c r="A357" s="14"/>
      <c r="B357" s="14"/>
      <c r="C357" s="149"/>
      <c r="D357" s="150"/>
      <c r="E357" s="151"/>
      <c r="F357" s="151"/>
      <c r="G357" s="151"/>
      <c r="H357" s="10"/>
      <c r="I357" s="152"/>
      <c r="J357" s="151"/>
      <c r="K357" s="151"/>
      <c r="L357" s="10"/>
      <c r="M357" s="10"/>
      <c r="N357" s="10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20"/>
    </row>
    <row r="358">
      <c r="A358" s="14"/>
      <c r="B358" s="14"/>
      <c r="C358" s="149"/>
      <c r="D358" s="150"/>
      <c r="E358" s="151"/>
      <c r="F358" s="151"/>
      <c r="G358" s="151"/>
      <c r="H358" s="10"/>
      <c r="I358" s="152"/>
      <c r="J358" s="151"/>
      <c r="K358" s="151"/>
      <c r="L358" s="10"/>
      <c r="M358" s="10"/>
      <c r="N358" s="10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20"/>
    </row>
    <row r="359">
      <c r="A359" s="14"/>
      <c r="B359" s="14"/>
      <c r="C359" s="149"/>
      <c r="D359" s="150"/>
      <c r="E359" s="151"/>
      <c r="F359" s="151"/>
      <c r="G359" s="151"/>
      <c r="H359" s="10"/>
      <c r="I359" s="152"/>
      <c r="J359" s="151"/>
      <c r="K359" s="151"/>
      <c r="L359" s="10"/>
      <c r="M359" s="10"/>
      <c r="N359" s="10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20"/>
    </row>
    <row r="360">
      <c r="A360" s="14"/>
      <c r="B360" s="14"/>
      <c r="C360" s="149"/>
      <c r="D360" s="150"/>
      <c r="E360" s="151"/>
      <c r="F360" s="151"/>
      <c r="G360" s="151"/>
      <c r="H360" s="10"/>
      <c r="I360" s="152"/>
      <c r="J360" s="151"/>
      <c r="K360" s="151"/>
      <c r="L360" s="10"/>
      <c r="M360" s="10"/>
      <c r="N360" s="10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20"/>
    </row>
    <row r="361">
      <c r="A361" s="14"/>
      <c r="B361" s="14"/>
      <c r="C361" s="149"/>
      <c r="D361" s="150"/>
      <c r="E361" s="151"/>
      <c r="F361" s="151"/>
      <c r="G361" s="151"/>
      <c r="H361" s="10"/>
      <c r="I361" s="152"/>
      <c r="J361" s="151"/>
      <c r="K361" s="151"/>
      <c r="L361" s="10"/>
      <c r="M361" s="10"/>
      <c r="N361" s="10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20"/>
    </row>
    <row r="362">
      <c r="A362" s="14"/>
      <c r="B362" s="14"/>
      <c r="C362" s="149"/>
      <c r="D362" s="150"/>
      <c r="E362" s="151"/>
      <c r="F362" s="151"/>
      <c r="G362" s="151"/>
      <c r="H362" s="10"/>
      <c r="I362" s="152"/>
      <c r="J362" s="151"/>
      <c r="K362" s="151"/>
      <c r="L362" s="10"/>
      <c r="M362" s="10"/>
      <c r="N362" s="10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20"/>
    </row>
    <row r="363">
      <c r="A363" s="14"/>
      <c r="B363" s="14"/>
      <c r="C363" s="149"/>
      <c r="D363" s="150"/>
      <c r="E363" s="151"/>
      <c r="F363" s="151"/>
      <c r="G363" s="151"/>
      <c r="H363" s="10"/>
      <c r="I363" s="152"/>
      <c r="J363" s="151"/>
      <c r="K363" s="151"/>
      <c r="L363" s="10"/>
      <c r="M363" s="10"/>
      <c r="N363" s="10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20"/>
    </row>
    <row r="364">
      <c r="A364" s="14"/>
      <c r="B364" s="14"/>
      <c r="C364" s="149"/>
      <c r="D364" s="150"/>
      <c r="E364" s="151"/>
      <c r="F364" s="151"/>
      <c r="G364" s="151"/>
      <c r="H364" s="10"/>
      <c r="I364" s="152"/>
      <c r="J364" s="151"/>
      <c r="K364" s="151"/>
      <c r="L364" s="10"/>
      <c r="M364" s="10"/>
      <c r="N364" s="10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20"/>
    </row>
    <row r="365">
      <c r="A365" s="14"/>
      <c r="B365" s="14"/>
      <c r="C365" s="149"/>
      <c r="D365" s="150"/>
      <c r="E365" s="151"/>
      <c r="F365" s="151"/>
      <c r="G365" s="151"/>
      <c r="H365" s="10"/>
      <c r="I365" s="152"/>
      <c r="J365" s="151"/>
      <c r="K365" s="151"/>
      <c r="L365" s="10"/>
      <c r="M365" s="10"/>
      <c r="N365" s="10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20"/>
    </row>
    <row r="366">
      <c r="A366" s="14"/>
      <c r="B366" s="14"/>
      <c r="C366" s="149"/>
      <c r="D366" s="150"/>
      <c r="E366" s="151"/>
      <c r="F366" s="151"/>
      <c r="G366" s="151"/>
      <c r="H366" s="10"/>
      <c r="I366" s="152"/>
      <c r="J366" s="151"/>
      <c r="K366" s="151"/>
      <c r="L366" s="10"/>
      <c r="M366" s="10"/>
      <c r="N366" s="10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20"/>
    </row>
    <row r="367">
      <c r="A367" s="14"/>
      <c r="B367" s="14"/>
      <c r="C367" s="149"/>
      <c r="D367" s="150"/>
      <c r="E367" s="151"/>
      <c r="F367" s="151"/>
      <c r="G367" s="151"/>
      <c r="H367" s="10"/>
      <c r="I367" s="152"/>
      <c r="J367" s="151"/>
      <c r="K367" s="151"/>
      <c r="L367" s="10"/>
      <c r="M367" s="10"/>
      <c r="N367" s="10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20"/>
    </row>
    <row r="368">
      <c r="A368" s="14"/>
      <c r="B368" s="14"/>
      <c r="C368" s="149"/>
      <c r="D368" s="150"/>
      <c r="E368" s="151"/>
      <c r="F368" s="151"/>
      <c r="G368" s="151"/>
      <c r="H368" s="10"/>
      <c r="I368" s="152"/>
      <c r="J368" s="151"/>
      <c r="K368" s="151"/>
      <c r="L368" s="10"/>
      <c r="M368" s="10"/>
      <c r="N368" s="10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20"/>
    </row>
    <row r="369">
      <c r="A369" s="14"/>
      <c r="B369" s="14"/>
      <c r="C369" s="149"/>
      <c r="D369" s="150"/>
      <c r="E369" s="151"/>
      <c r="F369" s="151"/>
      <c r="G369" s="151"/>
      <c r="H369" s="10"/>
      <c r="I369" s="152"/>
      <c r="J369" s="151"/>
      <c r="K369" s="151"/>
      <c r="L369" s="10"/>
      <c r="M369" s="10"/>
      <c r="N369" s="10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20"/>
    </row>
    <row r="370">
      <c r="A370" s="14"/>
      <c r="B370" s="14"/>
      <c r="C370" s="149"/>
      <c r="D370" s="150"/>
      <c r="E370" s="151"/>
      <c r="F370" s="151"/>
      <c r="G370" s="151"/>
      <c r="H370" s="10"/>
      <c r="I370" s="152"/>
      <c r="J370" s="151"/>
      <c r="K370" s="151"/>
      <c r="L370" s="10"/>
      <c r="M370" s="10"/>
      <c r="N370" s="10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20"/>
    </row>
    <row r="371">
      <c r="A371" s="14"/>
      <c r="B371" s="14"/>
      <c r="C371" s="149"/>
      <c r="D371" s="150"/>
      <c r="E371" s="151"/>
      <c r="F371" s="151"/>
      <c r="G371" s="151"/>
      <c r="H371" s="10"/>
      <c r="I371" s="152"/>
      <c r="J371" s="151"/>
      <c r="K371" s="151"/>
      <c r="L371" s="10"/>
      <c r="M371" s="10"/>
      <c r="N371" s="10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20"/>
    </row>
    <row r="372">
      <c r="A372" s="14"/>
      <c r="B372" s="14"/>
      <c r="C372" s="149"/>
      <c r="D372" s="150"/>
      <c r="E372" s="151"/>
      <c r="F372" s="151"/>
      <c r="G372" s="151"/>
      <c r="H372" s="10"/>
      <c r="I372" s="152"/>
      <c r="J372" s="151"/>
      <c r="K372" s="151"/>
      <c r="L372" s="10"/>
      <c r="M372" s="10"/>
      <c r="N372" s="10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20"/>
    </row>
    <row r="373">
      <c r="A373" s="14"/>
      <c r="B373" s="14"/>
      <c r="C373" s="149"/>
      <c r="D373" s="150"/>
      <c r="E373" s="151"/>
      <c r="F373" s="151"/>
      <c r="G373" s="151"/>
      <c r="H373" s="10"/>
      <c r="I373" s="152"/>
      <c r="J373" s="151"/>
      <c r="K373" s="151"/>
      <c r="L373" s="10"/>
      <c r="M373" s="10"/>
      <c r="N373" s="10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20"/>
    </row>
    <row r="374">
      <c r="A374" s="14"/>
      <c r="B374" s="14"/>
      <c r="C374" s="149"/>
      <c r="D374" s="150"/>
      <c r="E374" s="151"/>
      <c r="F374" s="151"/>
      <c r="G374" s="151"/>
      <c r="H374" s="10"/>
      <c r="I374" s="152"/>
      <c r="J374" s="151"/>
      <c r="K374" s="151"/>
      <c r="L374" s="10"/>
      <c r="M374" s="10"/>
      <c r="N374" s="10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20"/>
    </row>
    <row r="375">
      <c r="A375" s="14"/>
      <c r="B375" s="14"/>
      <c r="C375" s="149"/>
      <c r="D375" s="150"/>
      <c r="E375" s="151"/>
      <c r="F375" s="151"/>
      <c r="G375" s="151"/>
      <c r="H375" s="10"/>
      <c r="I375" s="152"/>
      <c r="J375" s="151"/>
      <c r="K375" s="151"/>
      <c r="L375" s="10"/>
      <c r="M375" s="10"/>
      <c r="N375" s="10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20"/>
    </row>
    <row r="376">
      <c r="A376" s="14"/>
      <c r="B376" s="14"/>
      <c r="C376" s="149"/>
      <c r="D376" s="150"/>
      <c r="E376" s="151"/>
      <c r="F376" s="151"/>
      <c r="G376" s="151"/>
      <c r="H376" s="10"/>
      <c r="I376" s="152"/>
      <c r="J376" s="151"/>
      <c r="K376" s="151"/>
      <c r="L376" s="10"/>
      <c r="M376" s="10"/>
      <c r="N376" s="10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20"/>
    </row>
    <row r="377">
      <c r="A377" s="14"/>
      <c r="B377" s="14"/>
      <c r="C377" s="149"/>
      <c r="D377" s="150"/>
      <c r="E377" s="151"/>
      <c r="F377" s="151"/>
      <c r="G377" s="151"/>
      <c r="H377" s="10"/>
      <c r="I377" s="152"/>
      <c r="J377" s="151"/>
      <c r="K377" s="151"/>
      <c r="L377" s="10"/>
      <c r="M377" s="10"/>
      <c r="N377" s="10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20"/>
    </row>
    <row r="378">
      <c r="A378" s="14"/>
      <c r="B378" s="14"/>
      <c r="C378" s="149"/>
      <c r="D378" s="150"/>
      <c r="E378" s="151"/>
      <c r="F378" s="151"/>
      <c r="G378" s="151"/>
      <c r="H378" s="10"/>
      <c r="I378" s="152"/>
      <c r="J378" s="151"/>
      <c r="K378" s="151"/>
      <c r="L378" s="10"/>
      <c r="M378" s="10"/>
      <c r="N378" s="10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20"/>
    </row>
    <row r="379">
      <c r="A379" s="14"/>
      <c r="B379" s="14"/>
      <c r="C379" s="149"/>
      <c r="D379" s="150"/>
      <c r="E379" s="151"/>
      <c r="F379" s="151"/>
      <c r="G379" s="151"/>
      <c r="H379" s="10"/>
      <c r="I379" s="152"/>
      <c r="J379" s="151"/>
      <c r="K379" s="151"/>
      <c r="L379" s="10"/>
      <c r="M379" s="10"/>
      <c r="N379" s="10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20"/>
    </row>
    <row r="380">
      <c r="A380" s="14"/>
      <c r="B380" s="14"/>
      <c r="C380" s="149"/>
      <c r="D380" s="150"/>
      <c r="E380" s="151"/>
      <c r="F380" s="151"/>
      <c r="G380" s="151"/>
      <c r="H380" s="10"/>
      <c r="I380" s="152"/>
      <c r="J380" s="151"/>
      <c r="K380" s="151"/>
      <c r="L380" s="10"/>
      <c r="M380" s="10"/>
      <c r="N380" s="10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20"/>
    </row>
    <row r="381">
      <c r="A381" s="14"/>
      <c r="B381" s="14"/>
      <c r="C381" s="149"/>
      <c r="D381" s="150"/>
      <c r="E381" s="151"/>
      <c r="F381" s="151"/>
      <c r="G381" s="151"/>
      <c r="H381" s="10"/>
      <c r="I381" s="152"/>
      <c r="J381" s="151"/>
      <c r="K381" s="151"/>
      <c r="L381" s="10"/>
      <c r="M381" s="10"/>
      <c r="N381" s="10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20"/>
    </row>
    <row r="382">
      <c r="A382" s="14"/>
      <c r="B382" s="14"/>
      <c r="C382" s="149"/>
      <c r="D382" s="150"/>
      <c r="E382" s="151"/>
      <c r="F382" s="151"/>
      <c r="G382" s="151"/>
      <c r="H382" s="10"/>
      <c r="I382" s="152"/>
      <c r="J382" s="151"/>
      <c r="K382" s="151"/>
      <c r="L382" s="10"/>
      <c r="M382" s="10"/>
      <c r="N382" s="10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20"/>
    </row>
    <row r="383">
      <c r="A383" s="14"/>
      <c r="B383" s="14"/>
      <c r="C383" s="149"/>
      <c r="D383" s="150"/>
      <c r="E383" s="151"/>
      <c r="F383" s="151"/>
      <c r="G383" s="151"/>
      <c r="H383" s="10"/>
      <c r="I383" s="152"/>
      <c r="J383" s="151"/>
      <c r="K383" s="151"/>
      <c r="L383" s="10"/>
      <c r="M383" s="10"/>
      <c r="N383" s="10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20"/>
    </row>
    <row r="384">
      <c r="A384" s="14"/>
      <c r="B384" s="14"/>
      <c r="C384" s="149"/>
      <c r="D384" s="150"/>
      <c r="E384" s="151"/>
      <c r="F384" s="151"/>
      <c r="G384" s="151"/>
      <c r="H384" s="10"/>
      <c r="I384" s="152"/>
      <c r="J384" s="151"/>
      <c r="K384" s="151"/>
      <c r="L384" s="10"/>
      <c r="M384" s="10"/>
      <c r="N384" s="10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20"/>
    </row>
    <row r="385">
      <c r="A385" s="14"/>
      <c r="B385" s="14"/>
      <c r="C385" s="149"/>
      <c r="D385" s="150"/>
      <c r="E385" s="151"/>
      <c r="F385" s="151"/>
      <c r="G385" s="151"/>
      <c r="H385" s="10"/>
      <c r="I385" s="152"/>
      <c r="J385" s="151"/>
      <c r="K385" s="151"/>
      <c r="L385" s="10"/>
      <c r="M385" s="10"/>
      <c r="N385" s="10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20"/>
    </row>
    <row r="386">
      <c r="A386" s="14"/>
      <c r="B386" s="14"/>
      <c r="C386" s="149"/>
      <c r="D386" s="150"/>
      <c r="E386" s="151"/>
      <c r="F386" s="151"/>
      <c r="G386" s="151"/>
      <c r="H386" s="10"/>
      <c r="I386" s="152"/>
      <c r="J386" s="151"/>
      <c r="K386" s="151"/>
      <c r="L386" s="10"/>
      <c r="M386" s="10"/>
      <c r="N386" s="10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20"/>
    </row>
    <row r="387">
      <c r="A387" s="14"/>
      <c r="B387" s="14"/>
      <c r="C387" s="149"/>
      <c r="D387" s="150"/>
      <c r="E387" s="151"/>
      <c r="F387" s="151"/>
      <c r="G387" s="151"/>
      <c r="H387" s="10"/>
      <c r="I387" s="152"/>
      <c r="J387" s="151"/>
      <c r="K387" s="151"/>
      <c r="L387" s="10"/>
      <c r="M387" s="10"/>
      <c r="N387" s="10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20"/>
    </row>
    <row r="388">
      <c r="A388" s="14"/>
      <c r="B388" s="14"/>
      <c r="C388" s="149"/>
      <c r="D388" s="150"/>
      <c r="E388" s="151"/>
      <c r="F388" s="151"/>
      <c r="G388" s="151"/>
      <c r="H388" s="10"/>
      <c r="I388" s="152"/>
      <c r="J388" s="151"/>
      <c r="K388" s="151"/>
      <c r="L388" s="10"/>
      <c r="M388" s="10"/>
      <c r="N388" s="10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20"/>
    </row>
    <row r="389">
      <c r="A389" s="14"/>
      <c r="B389" s="14"/>
      <c r="C389" s="149"/>
      <c r="D389" s="150"/>
      <c r="E389" s="151"/>
      <c r="F389" s="151"/>
      <c r="G389" s="151"/>
      <c r="H389" s="10"/>
      <c r="I389" s="152"/>
      <c r="J389" s="151"/>
      <c r="K389" s="151"/>
      <c r="L389" s="10"/>
      <c r="M389" s="10"/>
      <c r="N389" s="10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20"/>
    </row>
    <row r="390">
      <c r="A390" s="14"/>
      <c r="B390" s="14"/>
      <c r="C390" s="149"/>
      <c r="D390" s="150"/>
      <c r="E390" s="151"/>
      <c r="F390" s="151"/>
      <c r="G390" s="151"/>
      <c r="H390" s="10"/>
      <c r="I390" s="152"/>
      <c r="J390" s="151"/>
      <c r="K390" s="151"/>
      <c r="L390" s="10"/>
      <c r="M390" s="10"/>
      <c r="N390" s="10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20"/>
    </row>
    <row r="391">
      <c r="A391" s="14"/>
      <c r="B391" s="14"/>
      <c r="C391" s="149"/>
      <c r="D391" s="150"/>
      <c r="E391" s="151"/>
      <c r="F391" s="151"/>
      <c r="G391" s="151"/>
      <c r="H391" s="10"/>
      <c r="I391" s="152"/>
      <c r="J391" s="151"/>
      <c r="K391" s="151"/>
      <c r="L391" s="10"/>
      <c r="M391" s="10"/>
      <c r="N391" s="10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20"/>
    </row>
    <row r="392">
      <c r="A392" s="14"/>
      <c r="B392" s="14"/>
      <c r="C392" s="149"/>
      <c r="D392" s="150"/>
      <c r="E392" s="151"/>
      <c r="F392" s="151"/>
      <c r="G392" s="151"/>
      <c r="H392" s="10"/>
      <c r="I392" s="152"/>
      <c r="J392" s="151"/>
      <c r="K392" s="151"/>
      <c r="L392" s="10"/>
      <c r="M392" s="10"/>
      <c r="N392" s="10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20"/>
    </row>
    <row r="393">
      <c r="A393" s="14"/>
      <c r="B393" s="14"/>
      <c r="C393" s="149"/>
      <c r="D393" s="150"/>
      <c r="E393" s="151"/>
      <c r="F393" s="151"/>
      <c r="G393" s="151"/>
      <c r="H393" s="10"/>
      <c r="I393" s="152"/>
      <c r="J393" s="151"/>
      <c r="K393" s="151"/>
      <c r="L393" s="10"/>
      <c r="M393" s="10"/>
      <c r="N393" s="10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20"/>
    </row>
    <row r="394">
      <c r="A394" s="14"/>
      <c r="B394" s="14"/>
      <c r="C394" s="149"/>
      <c r="D394" s="150"/>
      <c r="E394" s="151"/>
      <c r="F394" s="151"/>
      <c r="G394" s="151"/>
      <c r="H394" s="10"/>
      <c r="I394" s="152"/>
      <c r="J394" s="151"/>
      <c r="K394" s="151"/>
      <c r="L394" s="10"/>
      <c r="M394" s="10"/>
      <c r="N394" s="10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20"/>
    </row>
    <row r="395">
      <c r="A395" s="14"/>
      <c r="B395" s="14"/>
      <c r="C395" s="149"/>
      <c r="D395" s="150"/>
      <c r="E395" s="151"/>
      <c r="F395" s="151"/>
      <c r="G395" s="151"/>
      <c r="H395" s="10"/>
      <c r="I395" s="152"/>
      <c r="J395" s="151"/>
      <c r="K395" s="151"/>
      <c r="L395" s="10"/>
      <c r="M395" s="10"/>
      <c r="N395" s="10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20"/>
    </row>
    <row r="396">
      <c r="A396" s="14"/>
      <c r="B396" s="14"/>
      <c r="C396" s="149"/>
      <c r="D396" s="150"/>
      <c r="E396" s="151"/>
      <c r="F396" s="151"/>
      <c r="G396" s="151"/>
      <c r="H396" s="10"/>
      <c r="I396" s="152"/>
      <c r="J396" s="151"/>
      <c r="K396" s="151"/>
      <c r="L396" s="10"/>
      <c r="M396" s="10"/>
      <c r="N396" s="10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20"/>
    </row>
    <row r="397">
      <c r="A397" s="14"/>
      <c r="B397" s="14"/>
      <c r="C397" s="149"/>
      <c r="D397" s="150"/>
      <c r="E397" s="151"/>
      <c r="F397" s="151"/>
      <c r="G397" s="151"/>
      <c r="H397" s="10"/>
      <c r="I397" s="152"/>
      <c r="J397" s="151"/>
      <c r="K397" s="151"/>
      <c r="L397" s="10"/>
      <c r="M397" s="10"/>
      <c r="N397" s="10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20"/>
    </row>
    <row r="398">
      <c r="A398" s="14"/>
      <c r="B398" s="14"/>
      <c r="C398" s="149"/>
      <c r="D398" s="150"/>
      <c r="E398" s="151"/>
      <c r="F398" s="151"/>
      <c r="G398" s="151"/>
      <c r="H398" s="10"/>
      <c r="I398" s="152"/>
      <c r="J398" s="151"/>
      <c r="K398" s="151"/>
      <c r="L398" s="10"/>
      <c r="M398" s="10"/>
      <c r="N398" s="10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20"/>
    </row>
    <row r="399">
      <c r="A399" s="14"/>
      <c r="B399" s="14"/>
      <c r="C399" s="149"/>
      <c r="D399" s="150"/>
      <c r="E399" s="151"/>
      <c r="F399" s="151"/>
      <c r="G399" s="151"/>
      <c r="H399" s="10"/>
      <c r="I399" s="152"/>
      <c r="J399" s="151"/>
      <c r="K399" s="151"/>
      <c r="L399" s="10"/>
      <c r="M399" s="10"/>
      <c r="N399" s="10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20"/>
    </row>
    <row r="400">
      <c r="A400" s="14"/>
      <c r="B400" s="14"/>
      <c r="C400" s="149"/>
      <c r="D400" s="150"/>
      <c r="E400" s="151"/>
      <c r="F400" s="151"/>
      <c r="G400" s="151"/>
      <c r="H400" s="10"/>
      <c r="I400" s="152"/>
      <c r="J400" s="151"/>
      <c r="K400" s="151"/>
      <c r="L400" s="10"/>
      <c r="M400" s="10"/>
      <c r="N400" s="10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20"/>
    </row>
    <row r="401">
      <c r="A401" s="14"/>
      <c r="B401" s="14"/>
      <c r="C401" s="149"/>
      <c r="D401" s="150"/>
      <c r="E401" s="151"/>
      <c r="F401" s="151"/>
      <c r="G401" s="151"/>
      <c r="H401" s="10"/>
      <c r="I401" s="152"/>
      <c r="J401" s="151"/>
      <c r="K401" s="151"/>
      <c r="L401" s="10"/>
      <c r="M401" s="10"/>
      <c r="N401" s="10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20"/>
    </row>
    <row r="402">
      <c r="A402" s="14"/>
      <c r="B402" s="14"/>
      <c r="C402" s="149"/>
      <c r="D402" s="150"/>
      <c r="E402" s="151"/>
      <c r="F402" s="151"/>
      <c r="G402" s="151"/>
      <c r="H402" s="10"/>
      <c r="I402" s="152"/>
      <c r="J402" s="151"/>
      <c r="K402" s="151"/>
      <c r="L402" s="10"/>
      <c r="M402" s="10"/>
      <c r="N402" s="10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20"/>
    </row>
    <row r="403">
      <c r="A403" s="14"/>
      <c r="B403" s="14"/>
      <c r="C403" s="149"/>
      <c r="D403" s="150"/>
      <c r="E403" s="151"/>
      <c r="F403" s="151"/>
      <c r="G403" s="151"/>
      <c r="H403" s="10"/>
      <c r="I403" s="152"/>
      <c r="J403" s="151"/>
      <c r="K403" s="151"/>
      <c r="L403" s="10"/>
      <c r="M403" s="10"/>
      <c r="N403" s="10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20"/>
    </row>
    <row r="404">
      <c r="A404" s="14"/>
      <c r="B404" s="14"/>
      <c r="C404" s="149"/>
      <c r="D404" s="150"/>
      <c r="E404" s="151"/>
      <c r="F404" s="151"/>
      <c r="G404" s="151"/>
      <c r="H404" s="10"/>
      <c r="I404" s="152"/>
      <c r="J404" s="151"/>
      <c r="K404" s="151"/>
      <c r="L404" s="10"/>
      <c r="M404" s="10"/>
      <c r="N404" s="10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20"/>
    </row>
    <row r="405">
      <c r="A405" s="14"/>
      <c r="B405" s="14"/>
      <c r="C405" s="149"/>
      <c r="D405" s="150"/>
      <c r="E405" s="151"/>
      <c r="F405" s="151"/>
      <c r="G405" s="151"/>
      <c r="H405" s="10"/>
      <c r="I405" s="152"/>
      <c r="J405" s="151"/>
      <c r="K405" s="151"/>
      <c r="L405" s="10"/>
      <c r="M405" s="10"/>
      <c r="N405" s="10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20"/>
    </row>
    <row r="406">
      <c r="A406" s="14"/>
      <c r="B406" s="14"/>
      <c r="C406" s="149"/>
      <c r="D406" s="150"/>
      <c r="E406" s="151"/>
      <c r="F406" s="151"/>
      <c r="G406" s="151"/>
      <c r="H406" s="10"/>
      <c r="I406" s="152"/>
      <c r="J406" s="151"/>
      <c r="K406" s="151"/>
      <c r="L406" s="10"/>
      <c r="M406" s="10"/>
      <c r="N406" s="10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20"/>
    </row>
    <row r="407">
      <c r="A407" s="14"/>
      <c r="B407" s="14"/>
      <c r="C407" s="149"/>
      <c r="D407" s="150"/>
      <c r="E407" s="151"/>
      <c r="F407" s="151"/>
      <c r="G407" s="151"/>
      <c r="H407" s="10"/>
      <c r="I407" s="152"/>
      <c r="J407" s="151"/>
      <c r="K407" s="151"/>
      <c r="L407" s="10"/>
      <c r="M407" s="10"/>
      <c r="N407" s="10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20"/>
    </row>
    <row r="408">
      <c r="A408" s="14"/>
      <c r="B408" s="14"/>
      <c r="C408" s="149"/>
      <c r="D408" s="150"/>
      <c r="E408" s="151"/>
      <c r="F408" s="151"/>
      <c r="G408" s="151"/>
      <c r="H408" s="10"/>
      <c r="I408" s="152"/>
      <c r="J408" s="151"/>
      <c r="K408" s="151"/>
      <c r="L408" s="10"/>
      <c r="M408" s="10"/>
      <c r="N408" s="10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20"/>
    </row>
    <row r="409">
      <c r="A409" s="14"/>
      <c r="B409" s="14"/>
      <c r="C409" s="149"/>
      <c r="D409" s="150"/>
      <c r="E409" s="151"/>
      <c r="F409" s="151"/>
      <c r="G409" s="151"/>
      <c r="H409" s="10"/>
      <c r="I409" s="152"/>
      <c r="J409" s="151"/>
      <c r="K409" s="151"/>
      <c r="L409" s="10"/>
      <c r="M409" s="10"/>
      <c r="N409" s="10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20"/>
    </row>
    <row r="410">
      <c r="A410" s="14"/>
      <c r="B410" s="14"/>
      <c r="C410" s="149"/>
      <c r="D410" s="150"/>
      <c r="E410" s="151"/>
      <c r="F410" s="151"/>
      <c r="G410" s="151"/>
      <c r="H410" s="10"/>
      <c r="I410" s="152"/>
      <c r="J410" s="151"/>
      <c r="K410" s="151"/>
      <c r="L410" s="10"/>
      <c r="M410" s="10"/>
      <c r="N410" s="10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20"/>
    </row>
    <row r="411">
      <c r="A411" s="14"/>
      <c r="B411" s="14"/>
      <c r="C411" s="149"/>
      <c r="D411" s="150"/>
      <c r="E411" s="151"/>
      <c r="F411" s="151"/>
      <c r="G411" s="151"/>
      <c r="H411" s="10"/>
      <c r="I411" s="152"/>
      <c r="J411" s="151"/>
      <c r="K411" s="151"/>
      <c r="L411" s="10"/>
      <c r="M411" s="10"/>
      <c r="N411" s="10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20"/>
    </row>
    <row r="412">
      <c r="A412" s="14"/>
      <c r="B412" s="14"/>
      <c r="C412" s="149"/>
      <c r="D412" s="150"/>
      <c r="E412" s="151"/>
      <c r="F412" s="151"/>
      <c r="G412" s="151"/>
      <c r="H412" s="10"/>
      <c r="I412" s="152"/>
      <c r="J412" s="151"/>
      <c r="K412" s="151"/>
      <c r="L412" s="10"/>
      <c r="M412" s="10"/>
      <c r="N412" s="10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20"/>
    </row>
    <row r="413">
      <c r="A413" s="14"/>
      <c r="B413" s="14"/>
      <c r="C413" s="149"/>
      <c r="D413" s="150"/>
      <c r="E413" s="151"/>
      <c r="F413" s="151"/>
      <c r="G413" s="151"/>
      <c r="H413" s="10"/>
      <c r="I413" s="152"/>
      <c r="J413" s="151"/>
      <c r="K413" s="151"/>
      <c r="L413" s="10"/>
      <c r="M413" s="10"/>
      <c r="N413" s="10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20"/>
    </row>
    <row r="414">
      <c r="A414" s="14"/>
      <c r="B414" s="14"/>
      <c r="C414" s="149"/>
      <c r="D414" s="150"/>
      <c r="E414" s="151"/>
      <c r="F414" s="151"/>
      <c r="G414" s="151"/>
      <c r="H414" s="10"/>
      <c r="I414" s="152"/>
      <c r="J414" s="151"/>
      <c r="K414" s="151"/>
      <c r="L414" s="10"/>
      <c r="M414" s="10"/>
      <c r="N414" s="10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20"/>
    </row>
    <row r="415">
      <c r="A415" s="14"/>
      <c r="B415" s="14"/>
      <c r="C415" s="149"/>
      <c r="D415" s="150"/>
      <c r="E415" s="151"/>
      <c r="F415" s="151"/>
      <c r="G415" s="151"/>
      <c r="H415" s="10"/>
      <c r="I415" s="152"/>
      <c r="J415" s="151"/>
      <c r="K415" s="151"/>
      <c r="L415" s="10"/>
      <c r="M415" s="10"/>
      <c r="N415" s="10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20"/>
    </row>
    <row r="416">
      <c r="A416" s="14"/>
      <c r="B416" s="14"/>
      <c r="C416" s="149"/>
      <c r="D416" s="150"/>
      <c r="E416" s="151"/>
      <c r="F416" s="151"/>
      <c r="G416" s="151"/>
      <c r="H416" s="10"/>
      <c r="I416" s="152"/>
      <c r="J416" s="151"/>
      <c r="K416" s="151"/>
      <c r="L416" s="10"/>
      <c r="M416" s="10"/>
      <c r="N416" s="10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20"/>
    </row>
    <row r="417">
      <c r="A417" s="14"/>
      <c r="B417" s="14"/>
      <c r="C417" s="149"/>
      <c r="D417" s="150"/>
      <c r="E417" s="151"/>
      <c r="F417" s="151"/>
      <c r="G417" s="151"/>
      <c r="H417" s="10"/>
      <c r="I417" s="152"/>
      <c r="J417" s="151"/>
      <c r="K417" s="151"/>
      <c r="L417" s="10"/>
      <c r="M417" s="10"/>
      <c r="N417" s="10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20"/>
    </row>
    <row r="418">
      <c r="A418" s="14"/>
      <c r="B418" s="14"/>
      <c r="C418" s="149"/>
      <c r="D418" s="150"/>
      <c r="E418" s="151"/>
      <c r="F418" s="151"/>
      <c r="G418" s="151"/>
      <c r="H418" s="10"/>
      <c r="I418" s="152"/>
      <c r="J418" s="151"/>
      <c r="K418" s="151"/>
      <c r="L418" s="10"/>
      <c r="M418" s="10"/>
      <c r="N418" s="10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20"/>
    </row>
    <row r="419">
      <c r="A419" s="14"/>
      <c r="B419" s="14"/>
      <c r="C419" s="149"/>
      <c r="D419" s="150"/>
      <c r="E419" s="151"/>
      <c r="F419" s="151"/>
      <c r="G419" s="151"/>
      <c r="H419" s="10"/>
      <c r="I419" s="152"/>
      <c r="J419" s="151"/>
      <c r="K419" s="151"/>
      <c r="L419" s="10"/>
      <c r="M419" s="10"/>
      <c r="N419" s="10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20"/>
    </row>
    <row r="420">
      <c r="A420" s="14"/>
      <c r="B420" s="14"/>
      <c r="C420" s="149"/>
      <c r="D420" s="150"/>
      <c r="E420" s="151"/>
      <c r="F420" s="151"/>
      <c r="G420" s="151"/>
      <c r="H420" s="10"/>
      <c r="I420" s="152"/>
      <c r="J420" s="151"/>
      <c r="K420" s="151"/>
      <c r="L420" s="10"/>
      <c r="M420" s="10"/>
      <c r="N420" s="10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20"/>
    </row>
    <row r="421">
      <c r="A421" s="14"/>
      <c r="B421" s="14"/>
      <c r="C421" s="149"/>
      <c r="D421" s="150"/>
      <c r="E421" s="151"/>
      <c r="F421" s="151"/>
      <c r="G421" s="151"/>
      <c r="H421" s="10"/>
      <c r="I421" s="152"/>
      <c r="J421" s="151"/>
      <c r="K421" s="151"/>
      <c r="L421" s="10"/>
      <c r="M421" s="10"/>
      <c r="N421" s="10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20"/>
    </row>
    <row r="422">
      <c r="A422" s="14"/>
      <c r="B422" s="14"/>
      <c r="C422" s="149"/>
      <c r="D422" s="150"/>
      <c r="E422" s="151"/>
      <c r="F422" s="151"/>
      <c r="G422" s="151"/>
      <c r="H422" s="10"/>
      <c r="I422" s="152"/>
      <c r="J422" s="151"/>
      <c r="K422" s="151"/>
      <c r="L422" s="10"/>
      <c r="M422" s="10"/>
      <c r="N422" s="10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20"/>
    </row>
    <row r="423">
      <c r="A423" s="14"/>
      <c r="B423" s="14"/>
      <c r="C423" s="149"/>
      <c r="D423" s="150"/>
      <c r="E423" s="151"/>
      <c r="F423" s="151"/>
      <c r="G423" s="151"/>
      <c r="H423" s="10"/>
      <c r="I423" s="152"/>
      <c r="J423" s="151"/>
      <c r="K423" s="151"/>
      <c r="L423" s="10"/>
      <c r="M423" s="10"/>
      <c r="N423" s="10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20"/>
    </row>
    <row r="424">
      <c r="A424" s="14"/>
      <c r="B424" s="14"/>
      <c r="C424" s="149"/>
      <c r="D424" s="150"/>
      <c r="E424" s="151"/>
      <c r="F424" s="151"/>
      <c r="G424" s="151"/>
      <c r="H424" s="10"/>
      <c r="I424" s="152"/>
      <c r="J424" s="151"/>
      <c r="K424" s="151"/>
      <c r="L424" s="10"/>
      <c r="M424" s="10"/>
      <c r="N424" s="10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20"/>
    </row>
    <row r="425">
      <c r="A425" s="14"/>
      <c r="B425" s="14"/>
      <c r="C425" s="149"/>
      <c r="D425" s="150"/>
      <c r="E425" s="151"/>
      <c r="F425" s="151"/>
      <c r="G425" s="151"/>
      <c r="H425" s="10"/>
      <c r="I425" s="152"/>
      <c r="J425" s="151"/>
      <c r="K425" s="151"/>
      <c r="L425" s="10"/>
      <c r="M425" s="10"/>
      <c r="N425" s="10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20"/>
    </row>
    <row r="426">
      <c r="A426" s="14"/>
      <c r="B426" s="14"/>
      <c r="C426" s="149"/>
      <c r="D426" s="150"/>
      <c r="E426" s="151"/>
      <c r="F426" s="151"/>
      <c r="G426" s="151"/>
      <c r="H426" s="10"/>
      <c r="I426" s="152"/>
      <c r="J426" s="151"/>
      <c r="K426" s="151"/>
      <c r="L426" s="10"/>
      <c r="M426" s="10"/>
      <c r="N426" s="10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20"/>
    </row>
    <row r="427">
      <c r="A427" s="14"/>
      <c r="B427" s="14"/>
      <c r="C427" s="149"/>
      <c r="D427" s="150"/>
      <c r="E427" s="151"/>
      <c r="F427" s="151"/>
      <c r="G427" s="151"/>
      <c r="H427" s="10"/>
      <c r="I427" s="152"/>
      <c r="J427" s="151"/>
      <c r="K427" s="151"/>
      <c r="L427" s="10"/>
      <c r="M427" s="10"/>
      <c r="N427" s="10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20"/>
    </row>
    <row r="428">
      <c r="A428" s="14"/>
      <c r="B428" s="14"/>
      <c r="C428" s="149"/>
      <c r="D428" s="150"/>
      <c r="E428" s="151"/>
      <c r="F428" s="151"/>
      <c r="G428" s="151"/>
      <c r="H428" s="10"/>
      <c r="I428" s="152"/>
      <c r="J428" s="151"/>
      <c r="K428" s="151"/>
      <c r="L428" s="10"/>
      <c r="M428" s="10"/>
      <c r="N428" s="10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20"/>
    </row>
    <row r="429">
      <c r="A429" s="14"/>
      <c r="B429" s="14"/>
      <c r="C429" s="149"/>
      <c r="D429" s="150"/>
      <c r="E429" s="151"/>
      <c r="F429" s="151"/>
      <c r="G429" s="151"/>
      <c r="H429" s="10"/>
      <c r="I429" s="152"/>
      <c r="J429" s="151"/>
      <c r="K429" s="151"/>
      <c r="L429" s="10"/>
      <c r="M429" s="10"/>
      <c r="N429" s="10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20"/>
    </row>
    <row r="430">
      <c r="A430" s="14"/>
      <c r="B430" s="14"/>
      <c r="C430" s="149"/>
      <c r="D430" s="150"/>
      <c r="E430" s="151"/>
      <c r="F430" s="151"/>
      <c r="G430" s="151"/>
      <c r="H430" s="10"/>
      <c r="I430" s="152"/>
      <c r="J430" s="151"/>
      <c r="K430" s="151"/>
      <c r="L430" s="10"/>
      <c r="M430" s="10"/>
      <c r="N430" s="10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20"/>
    </row>
    <row r="431">
      <c r="A431" s="14"/>
      <c r="B431" s="14"/>
      <c r="C431" s="149"/>
      <c r="D431" s="150"/>
      <c r="E431" s="151"/>
      <c r="F431" s="151"/>
      <c r="G431" s="151"/>
      <c r="H431" s="10"/>
      <c r="I431" s="152"/>
      <c r="J431" s="151"/>
      <c r="K431" s="151"/>
      <c r="L431" s="10"/>
      <c r="M431" s="10"/>
      <c r="N431" s="10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20"/>
    </row>
    <row r="432">
      <c r="A432" s="14"/>
      <c r="B432" s="14"/>
      <c r="C432" s="149"/>
      <c r="D432" s="150"/>
      <c r="E432" s="151"/>
      <c r="F432" s="151"/>
      <c r="G432" s="151"/>
      <c r="H432" s="10"/>
      <c r="I432" s="152"/>
      <c r="J432" s="151"/>
      <c r="K432" s="151"/>
      <c r="L432" s="10"/>
      <c r="M432" s="10"/>
      <c r="N432" s="10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20"/>
    </row>
    <row r="433">
      <c r="A433" s="14"/>
      <c r="B433" s="14"/>
      <c r="C433" s="149"/>
      <c r="D433" s="150"/>
      <c r="E433" s="151"/>
      <c r="F433" s="151"/>
      <c r="G433" s="151"/>
      <c r="H433" s="10"/>
      <c r="I433" s="152"/>
      <c r="J433" s="151"/>
      <c r="K433" s="151"/>
      <c r="L433" s="10"/>
      <c r="M433" s="10"/>
      <c r="N433" s="10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20"/>
    </row>
    <row r="434">
      <c r="A434" s="14"/>
      <c r="B434" s="14"/>
      <c r="C434" s="149"/>
      <c r="D434" s="150"/>
      <c r="E434" s="151"/>
      <c r="F434" s="151"/>
      <c r="G434" s="151"/>
      <c r="H434" s="10"/>
      <c r="I434" s="152"/>
      <c r="J434" s="151"/>
      <c r="K434" s="151"/>
      <c r="L434" s="10"/>
      <c r="M434" s="10"/>
      <c r="N434" s="10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20"/>
    </row>
    <row r="435">
      <c r="A435" s="14"/>
      <c r="B435" s="14"/>
      <c r="C435" s="149"/>
      <c r="D435" s="150"/>
      <c r="E435" s="151"/>
      <c r="F435" s="151"/>
      <c r="G435" s="151"/>
      <c r="H435" s="10"/>
      <c r="I435" s="152"/>
      <c r="J435" s="151"/>
      <c r="K435" s="151"/>
      <c r="L435" s="10"/>
      <c r="M435" s="10"/>
      <c r="N435" s="10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20"/>
    </row>
    <row r="436">
      <c r="A436" s="14"/>
      <c r="B436" s="14"/>
      <c r="C436" s="149"/>
      <c r="D436" s="150"/>
      <c r="E436" s="151"/>
      <c r="F436" s="151"/>
      <c r="G436" s="151"/>
      <c r="H436" s="10"/>
      <c r="I436" s="152"/>
      <c r="J436" s="151"/>
      <c r="K436" s="151"/>
      <c r="L436" s="10"/>
      <c r="M436" s="10"/>
      <c r="N436" s="10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20"/>
    </row>
    <row r="437">
      <c r="A437" s="14"/>
      <c r="B437" s="14"/>
      <c r="C437" s="149"/>
      <c r="D437" s="150"/>
      <c r="E437" s="151"/>
      <c r="F437" s="151"/>
      <c r="G437" s="151"/>
      <c r="H437" s="10"/>
      <c r="I437" s="152"/>
      <c r="J437" s="151"/>
      <c r="K437" s="151"/>
      <c r="L437" s="10"/>
      <c r="M437" s="10"/>
      <c r="N437" s="10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20"/>
    </row>
    <row r="438">
      <c r="A438" s="14"/>
      <c r="B438" s="14"/>
      <c r="C438" s="149"/>
      <c r="D438" s="150"/>
      <c r="E438" s="151"/>
      <c r="F438" s="151"/>
      <c r="G438" s="151"/>
      <c r="H438" s="10"/>
      <c r="I438" s="152"/>
      <c r="J438" s="151"/>
      <c r="K438" s="151"/>
      <c r="L438" s="10"/>
      <c r="M438" s="10"/>
      <c r="N438" s="10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20"/>
    </row>
    <row r="439">
      <c r="A439" s="14"/>
      <c r="B439" s="14"/>
      <c r="C439" s="149"/>
      <c r="D439" s="150"/>
      <c r="E439" s="151"/>
      <c r="F439" s="151"/>
      <c r="G439" s="151"/>
      <c r="H439" s="10"/>
      <c r="I439" s="152"/>
      <c r="J439" s="151"/>
      <c r="K439" s="151"/>
      <c r="L439" s="10"/>
      <c r="M439" s="10"/>
      <c r="N439" s="10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20"/>
    </row>
    <row r="440">
      <c r="A440" s="14"/>
      <c r="B440" s="14"/>
      <c r="C440" s="149"/>
      <c r="D440" s="150"/>
      <c r="E440" s="151"/>
      <c r="F440" s="151"/>
      <c r="G440" s="151"/>
      <c r="H440" s="10"/>
      <c r="I440" s="152"/>
      <c r="J440" s="151"/>
      <c r="K440" s="151"/>
      <c r="L440" s="10"/>
      <c r="M440" s="10"/>
      <c r="N440" s="10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20"/>
    </row>
    <row r="441">
      <c r="A441" s="14"/>
      <c r="B441" s="14"/>
      <c r="C441" s="149"/>
      <c r="D441" s="150"/>
      <c r="E441" s="151"/>
      <c r="F441" s="151"/>
      <c r="G441" s="151"/>
      <c r="H441" s="10"/>
      <c r="I441" s="152"/>
      <c r="J441" s="151"/>
      <c r="K441" s="151"/>
      <c r="L441" s="10"/>
      <c r="M441" s="10"/>
      <c r="N441" s="10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20"/>
    </row>
    <row r="442">
      <c r="A442" s="14"/>
      <c r="B442" s="14"/>
      <c r="C442" s="149"/>
      <c r="D442" s="150"/>
      <c r="E442" s="151"/>
      <c r="F442" s="151"/>
      <c r="G442" s="151"/>
      <c r="H442" s="10"/>
      <c r="I442" s="152"/>
      <c r="J442" s="151"/>
      <c r="K442" s="151"/>
      <c r="L442" s="10"/>
      <c r="M442" s="10"/>
      <c r="N442" s="10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20"/>
    </row>
    <row r="443">
      <c r="A443" s="14"/>
      <c r="B443" s="14"/>
      <c r="C443" s="149"/>
      <c r="D443" s="150"/>
      <c r="E443" s="151"/>
      <c r="F443" s="151"/>
      <c r="G443" s="151"/>
      <c r="H443" s="10"/>
      <c r="I443" s="152"/>
      <c r="J443" s="151"/>
      <c r="K443" s="151"/>
      <c r="L443" s="10"/>
      <c r="M443" s="10"/>
      <c r="N443" s="10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20"/>
    </row>
    <row r="444">
      <c r="A444" s="14"/>
      <c r="B444" s="14"/>
      <c r="C444" s="149"/>
      <c r="D444" s="150"/>
      <c r="E444" s="151"/>
      <c r="F444" s="151"/>
      <c r="G444" s="151"/>
      <c r="H444" s="10"/>
      <c r="I444" s="152"/>
      <c r="J444" s="151"/>
      <c r="K444" s="151"/>
      <c r="L444" s="10"/>
      <c r="M444" s="10"/>
      <c r="N444" s="10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20"/>
    </row>
    <row r="445">
      <c r="A445" s="14"/>
      <c r="B445" s="14"/>
      <c r="C445" s="149"/>
      <c r="D445" s="150"/>
      <c r="E445" s="151"/>
      <c r="F445" s="151"/>
      <c r="G445" s="151"/>
      <c r="H445" s="10"/>
      <c r="I445" s="152"/>
      <c r="J445" s="151"/>
      <c r="K445" s="151"/>
      <c r="L445" s="10"/>
      <c r="M445" s="10"/>
      <c r="N445" s="10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20"/>
    </row>
    <row r="446">
      <c r="A446" s="14"/>
      <c r="B446" s="14"/>
      <c r="C446" s="149"/>
      <c r="D446" s="150"/>
      <c r="E446" s="151"/>
      <c r="F446" s="151"/>
      <c r="G446" s="151"/>
      <c r="H446" s="10"/>
      <c r="I446" s="152"/>
      <c r="J446" s="151"/>
      <c r="K446" s="151"/>
      <c r="L446" s="10"/>
      <c r="M446" s="10"/>
      <c r="N446" s="10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20"/>
    </row>
    <row r="447">
      <c r="A447" s="14"/>
      <c r="B447" s="14"/>
      <c r="C447" s="149"/>
      <c r="D447" s="150"/>
      <c r="E447" s="151"/>
      <c r="F447" s="151"/>
      <c r="G447" s="151"/>
      <c r="H447" s="10"/>
      <c r="I447" s="152"/>
      <c r="J447" s="151"/>
      <c r="K447" s="151"/>
      <c r="L447" s="10"/>
      <c r="M447" s="10"/>
      <c r="N447" s="10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20"/>
    </row>
    <row r="448">
      <c r="A448" s="14"/>
      <c r="B448" s="14"/>
      <c r="C448" s="149"/>
      <c r="D448" s="150"/>
      <c r="E448" s="151"/>
      <c r="F448" s="151"/>
      <c r="G448" s="151"/>
      <c r="H448" s="10"/>
      <c r="I448" s="152"/>
      <c r="J448" s="151"/>
      <c r="K448" s="151"/>
      <c r="L448" s="10"/>
      <c r="M448" s="10"/>
      <c r="N448" s="10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20"/>
    </row>
    <row r="449">
      <c r="A449" s="14"/>
      <c r="B449" s="14"/>
      <c r="C449" s="149"/>
      <c r="D449" s="150"/>
      <c r="E449" s="151"/>
      <c r="F449" s="151"/>
      <c r="G449" s="151"/>
      <c r="H449" s="10"/>
      <c r="I449" s="152"/>
      <c r="J449" s="151"/>
      <c r="K449" s="151"/>
      <c r="L449" s="10"/>
      <c r="M449" s="10"/>
      <c r="N449" s="10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20"/>
    </row>
    <row r="450">
      <c r="A450" s="14"/>
      <c r="B450" s="14"/>
      <c r="C450" s="149"/>
      <c r="D450" s="150"/>
      <c r="E450" s="151"/>
      <c r="F450" s="151"/>
      <c r="G450" s="151"/>
      <c r="H450" s="10"/>
      <c r="I450" s="152"/>
      <c r="J450" s="151"/>
      <c r="K450" s="151"/>
      <c r="L450" s="10"/>
      <c r="M450" s="10"/>
      <c r="N450" s="10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20"/>
    </row>
    <row r="451">
      <c r="A451" s="14"/>
      <c r="B451" s="14"/>
      <c r="C451" s="149"/>
      <c r="D451" s="150"/>
      <c r="E451" s="151"/>
      <c r="F451" s="151"/>
      <c r="G451" s="151"/>
      <c r="H451" s="10"/>
      <c r="I451" s="152"/>
      <c r="J451" s="151"/>
      <c r="K451" s="151"/>
      <c r="L451" s="10"/>
      <c r="M451" s="10"/>
      <c r="N451" s="10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20"/>
    </row>
    <row r="452">
      <c r="A452" s="14"/>
      <c r="B452" s="14"/>
      <c r="C452" s="149"/>
      <c r="D452" s="150"/>
      <c r="E452" s="151"/>
      <c r="F452" s="151"/>
      <c r="G452" s="151"/>
      <c r="H452" s="10"/>
      <c r="I452" s="152"/>
      <c r="J452" s="151"/>
      <c r="K452" s="151"/>
      <c r="L452" s="10"/>
      <c r="M452" s="10"/>
      <c r="N452" s="10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20"/>
    </row>
    <row r="453">
      <c r="A453" s="14"/>
      <c r="B453" s="14"/>
      <c r="C453" s="149"/>
      <c r="D453" s="150"/>
      <c r="E453" s="151"/>
      <c r="F453" s="151"/>
      <c r="G453" s="151"/>
      <c r="H453" s="10"/>
      <c r="I453" s="152"/>
      <c r="J453" s="151"/>
      <c r="K453" s="151"/>
      <c r="L453" s="10"/>
      <c r="M453" s="10"/>
      <c r="N453" s="10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20"/>
    </row>
    <row r="454">
      <c r="A454" s="14"/>
      <c r="B454" s="14"/>
      <c r="C454" s="149"/>
      <c r="D454" s="150"/>
      <c r="E454" s="151"/>
      <c r="F454" s="151"/>
      <c r="G454" s="151"/>
      <c r="H454" s="10"/>
      <c r="I454" s="152"/>
      <c r="J454" s="151"/>
      <c r="K454" s="151"/>
      <c r="L454" s="10"/>
      <c r="M454" s="10"/>
      <c r="N454" s="10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20"/>
    </row>
    <row r="455">
      <c r="A455" s="14"/>
      <c r="B455" s="14"/>
      <c r="C455" s="149"/>
      <c r="D455" s="150"/>
      <c r="E455" s="151"/>
      <c r="F455" s="151"/>
      <c r="G455" s="151"/>
      <c r="H455" s="10"/>
      <c r="I455" s="152"/>
      <c r="J455" s="151"/>
      <c r="K455" s="151"/>
      <c r="L455" s="10"/>
      <c r="M455" s="10"/>
      <c r="N455" s="10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20"/>
    </row>
    <row r="456">
      <c r="A456" s="14"/>
      <c r="B456" s="14"/>
      <c r="C456" s="149"/>
      <c r="D456" s="150"/>
      <c r="E456" s="151"/>
      <c r="F456" s="151"/>
      <c r="G456" s="151"/>
      <c r="H456" s="10"/>
      <c r="I456" s="152"/>
      <c r="J456" s="151"/>
      <c r="K456" s="151"/>
      <c r="L456" s="10"/>
      <c r="M456" s="10"/>
      <c r="N456" s="10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20"/>
    </row>
    <row r="457">
      <c r="A457" s="14"/>
      <c r="B457" s="14"/>
      <c r="C457" s="149"/>
      <c r="D457" s="150"/>
      <c r="E457" s="151"/>
      <c r="F457" s="151"/>
      <c r="G457" s="151"/>
      <c r="H457" s="10"/>
      <c r="I457" s="152"/>
      <c r="J457" s="151"/>
      <c r="K457" s="151"/>
      <c r="L457" s="10"/>
      <c r="M457" s="10"/>
      <c r="N457" s="10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20"/>
    </row>
    <row r="458">
      <c r="A458" s="14"/>
      <c r="B458" s="14"/>
      <c r="C458" s="149"/>
      <c r="D458" s="150"/>
      <c r="E458" s="151"/>
      <c r="F458" s="151"/>
      <c r="G458" s="151"/>
      <c r="H458" s="10"/>
      <c r="I458" s="152"/>
      <c r="J458" s="151"/>
      <c r="K458" s="151"/>
      <c r="L458" s="10"/>
      <c r="M458" s="10"/>
      <c r="N458" s="10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20"/>
    </row>
    <row r="459">
      <c r="A459" s="14"/>
      <c r="B459" s="14"/>
      <c r="C459" s="149"/>
      <c r="D459" s="150"/>
      <c r="E459" s="151"/>
      <c r="F459" s="151"/>
      <c r="G459" s="151"/>
      <c r="H459" s="10"/>
      <c r="I459" s="152"/>
      <c r="J459" s="151"/>
      <c r="K459" s="151"/>
      <c r="L459" s="10"/>
      <c r="M459" s="10"/>
      <c r="N459" s="10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20"/>
    </row>
    <row r="460">
      <c r="A460" s="14"/>
      <c r="B460" s="14"/>
      <c r="C460" s="149"/>
      <c r="D460" s="150"/>
      <c r="E460" s="151"/>
      <c r="F460" s="151"/>
      <c r="G460" s="151"/>
      <c r="H460" s="10"/>
      <c r="I460" s="152"/>
      <c r="J460" s="151"/>
      <c r="K460" s="151"/>
      <c r="L460" s="10"/>
      <c r="M460" s="10"/>
      <c r="N460" s="10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20"/>
    </row>
    <row r="461">
      <c r="A461" s="14"/>
      <c r="B461" s="14"/>
      <c r="C461" s="149"/>
      <c r="D461" s="150"/>
      <c r="E461" s="151"/>
      <c r="F461" s="151"/>
      <c r="G461" s="151"/>
      <c r="H461" s="10"/>
      <c r="I461" s="152"/>
      <c r="J461" s="151"/>
      <c r="K461" s="151"/>
      <c r="L461" s="10"/>
      <c r="M461" s="10"/>
      <c r="N461" s="10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20"/>
    </row>
    <row r="462">
      <c r="A462" s="14"/>
      <c r="B462" s="14"/>
      <c r="C462" s="149"/>
      <c r="D462" s="150"/>
      <c r="E462" s="151"/>
      <c r="F462" s="151"/>
      <c r="G462" s="151"/>
      <c r="H462" s="10"/>
      <c r="I462" s="152"/>
      <c r="J462" s="151"/>
      <c r="K462" s="151"/>
      <c r="L462" s="10"/>
      <c r="M462" s="10"/>
      <c r="N462" s="10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20"/>
    </row>
    <row r="463">
      <c r="A463" s="14"/>
      <c r="B463" s="14"/>
      <c r="C463" s="149"/>
      <c r="D463" s="150"/>
      <c r="E463" s="151"/>
      <c r="F463" s="151"/>
      <c r="G463" s="151"/>
      <c r="H463" s="10"/>
      <c r="I463" s="152"/>
      <c r="J463" s="151"/>
      <c r="K463" s="151"/>
      <c r="L463" s="10"/>
      <c r="M463" s="10"/>
      <c r="N463" s="10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20"/>
    </row>
    <row r="464">
      <c r="A464" s="14"/>
      <c r="B464" s="14"/>
      <c r="C464" s="149"/>
      <c r="D464" s="150"/>
      <c r="E464" s="151"/>
      <c r="F464" s="151"/>
      <c r="G464" s="151"/>
      <c r="H464" s="10"/>
      <c r="I464" s="152"/>
      <c r="J464" s="151"/>
      <c r="K464" s="151"/>
      <c r="L464" s="10"/>
      <c r="M464" s="10"/>
      <c r="N464" s="10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20"/>
    </row>
    <row r="465">
      <c r="A465" s="14"/>
      <c r="B465" s="14"/>
      <c r="C465" s="149"/>
      <c r="D465" s="150"/>
      <c r="E465" s="151"/>
      <c r="F465" s="151"/>
      <c r="G465" s="151"/>
      <c r="H465" s="10"/>
      <c r="I465" s="152"/>
      <c r="J465" s="151"/>
      <c r="K465" s="151"/>
      <c r="L465" s="10"/>
      <c r="M465" s="10"/>
      <c r="N465" s="10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20"/>
    </row>
    <row r="466">
      <c r="A466" s="14"/>
      <c r="B466" s="14"/>
      <c r="C466" s="149"/>
      <c r="D466" s="150"/>
      <c r="E466" s="151"/>
      <c r="F466" s="151"/>
      <c r="G466" s="151"/>
      <c r="H466" s="10"/>
      <c r="I466" s="152"/>
      <c r="J466" s="151"/>
      <c r="K466" s="151"/>
      <c r="L466" s="10"/>
      <c r="M466" s="10"/>
      <c r="N466" s="10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20"/>
    </row>
    <row r="467">
      <c r="A467" s="14"/>
      <c r="B467" s="14"/>
      <c r="C467" s="149"/>
      <c r="D467" s="150"/>
      <c r="E467" s="151"/>
      <c r="F467" s="151"/>
      <c r="G467" s="151"/>
      <c r="H467" s="10"/>
      <c r="I467" s="152"/>
      <c r="J467" s="151"/>
      <c r="K467" s="151"/>
      <c r="L467" s="10"/>
      <c r="M467" s="10"/>
      <c r="N467" s="10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20"/>
    </row>
    <row r="468">
      <c r="A468" s="14"/>
      <c r="B468" s="14"/>
      <c r="C468" s="149"/>
      <c r="D468" s="150"/>
      <c r="E468" s="151"/>
      <c r="F468" s="151"/>
      <c r="G468" s="151"/>
      <c r="H468" s="10"/>
      <c r="I468" s="152"/>
      <c r="J468" s="151"/>
      <c r="K468" s="151"/>
      <c r="L468" s="10"/>
      <c r="M468" s="10"/>
      <c r="N468" s="10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20"/>
    </row>
    <row r="469">
      <c r="A469" s="14"/>
      <c r="B469" s="14"/>
      <c r="C469" s="149"/>
      <c r="D469" s="150"/>
      <c r="E469" s="151"/>
      <c r="F469" s="151"/>
      <c r="G469" s="151"/>
      <c r="H469" s="10"/>
      <c r="I469" s="152"/>
      <c r="J469" s="151"/>
      <c r="K469" s="151"/>
      <c r="L469" s="10"/>
      <c r="M469" s="10"/>
      <c r="N469" s="10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20"/>
    </row>
    <row r="470">
      <c r="A470" s="14"/>
      <c r="B470" s="14"/>
      <c r="C470" s="149"/>
      <c r="D470" s="150"/>
      <c r="E470" s="151"/>
      <c r="F470" s="151"/>
      <c r="G470" s="151"/>
      <c r="H470" s="10"/>
      <c r="I470" s="152"/>
      <c r="J470" s="151"/>
      <c r="K470" s="151"/>
      <c r="L470" s="10"/>
      <c r="M470" s="10"/>
      <c r="N470" s="10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20"/>
    </row>
    <row r="471">
      <c r="A471" s="14"/>
      <c r="B471" s="14"/>
      <c r="C471" s="149"/>
      <c r="D471" s="150"/>
      <c r="E471" s="151"/>
      <c r="F471" s="151"/>
      <c r="G471" s="151"/>
      <c r="H471" s="10"/>
      <c r="I471" s="152"/>
      <c r="J471" s="151"/>
      <c r="K471" s="151"/>
      <c r="L471" s="10"/>
      <c r="M471" s="10"/>
      <c r="N471" s="10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20"/>
    </row>
    <row r="472">
      <c r="A472" s="14"/>
      <c r="B472" s="14"/>
      <c r="C472" s="149"/>
      <c r="D472" s="150"/>
      <c r="E472" s="151"/>
      <c r="F472" s="151"/>
      <c r="G472" s="151"/>
      <c r="H472" s="10"/>
      <c r="I472" s="152"/>
      <c r="J472" s="151"/>
      <c r="K472" s="151"/>
      <c r="L472" s="10"/>
      <c r="M472" s="10"/>
      <c r="N472" s="10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20"/>
    </row>
    <row r="473">
      <c r="A473" s="14"/>
      <c r="B473" s="14"/>
      <c r="C473" s="149"/>
      <c r="D473" s="150"/>
      <c r="E473" s="151"/>
      <c r="F473" s="151"/>
      <c r="G473" s="151"/>
      <c r="H473" s="10"/>
      <c r="I473" s="152"/>
      <c r="J473" s="151"/>
      <c r="K473" s="151"/>
      <c r="L473" s="10"/>
      <c r="M473" s="10"/>
      <c r="N473" s="10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20"/>
    </row>
    <row r="474">
      <c r="A474" s="14"/>
      <c r="B474" s="14"/>
      <c r="C474" s="149"/>
      <c r="D474" s="150"/>
      <c r="E474" s="151"/>
      <c r="F474" s="151"/>
      <c r="G474" s="151"/>
      <c r="H474" s="10"/>
      <c r="I474" s="152"/>
      <c r="J474" s="151"/>
      <c r="K474" s="151"/>
      <c r="L474" s="10"/>
      <c r="M474" s="10"/>
      <c r="N474" s="10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20"/>
    </row>
    <row r="475">
      <c r="A475" s="14"/>
      <c r="B475" s="14"/>
      <c r="C475" s="149"/>
      <c r="D475" s="150"/>
      <c r="E475" s="151"/>
      <c r="F475" s="151"/>
      <c r="G475" s="151"/>
      <c r="H475" s="10"/>
      <c r="I475" s="152"/>
      <c r="J475" s="151"/>
      <c r="K475" s="151"/>
      <c r="L475" s="10"/>
      <c r="M475" s="10"/>
      <c r="N475" s="10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20"/>
    </row>
    <row r="476">
      <c r="A476" s="14"/>
      <c r="B476" s="14"/>
      <c r="C476" s="149"/>
      <c r="D476" s="150"/>
      <c r="E476" s="151"/>
      <c r="F476" s="151"/>
      <c r="G476" s="151"/>
      <c r="H476" s="10"/>
      <c r="I476" s="152"/>
      <c r="J476" s="151"/>
      <c r="K476" s="151"/>
      <c r="L476" s="10"/>
      <c r="M476" s="10"/>
      <c r="N476" s="10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20"/>
    </row>
    <row r="477">
      <c r="A477" s="14"/>
      <c r="B477" s="14"/>
      <c r="C477" s="149"/>
      <c r="D477" s="150"/>
      <c r="E477" s="151"/>
      <c r="F477" s="151"/>
      <c r="G477" s="151"/>
      <c r="H477" s="10"/>
      <c r="I477" s="152"/>
      <c r="J477" s="151"/>
      <c r="K477" s="151"/>
      <c r="L477" s="10"/>
      <c r="M477" s="10"/>
      <c r="N477" s="10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20"/>
    </row>
    <row r="478">
      <c r="A478" s="14"/>
      <c r="B478" s="14"/>
      <c r="C478" s="149"/>
      <c r="D478" s="150"/>
      <c r="E478" s="151"/>
      <c r="F478" s="151"/>
      <c r="G478" s="151"/>
      <c r="H478" s="10"/>
      <c r="I478" s="152"/>
      <c r="J478" s="151"/>
      <c r="K478" s="151"/>
      <c r="L478" s="10"/>
      <c r="M478" s="10"/>
      <c r="N478" s="10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20"/>
    </row>
    <row r="479">
      <c r="A479" s="14"/>
      <c r="B479" s="14"/>
      <c r="C479" s="149"/>
      <c r="D479" s="150"/>
      <c r="E479" s="151"/>
      <c r="F479" s="151"/>
      <c r="G479" s="151"/>
      <c r="H479" s="10"/>
      <c r="I479" s="152"/>
      <c r="J479" s="151"/>
      <c r="K479" s="151"/>
      <c r="L479" s="10"/>
      <c r="M479" s="10"/>
      <c r="N479" s="10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20"/>
    </row>
    <row r="480">
      <c r="A480" s="14"/>
      <c r="B480" s="14"/>
      <c r="C480" s="149"/>
      <c r="D480" s="150"/>
      <c r="E480" s="151"/>
      <c r="F480" s="151"/>
      <c r="G480" s="151"/>
      <c r="H480" s="10"/>
      <c r="I480" s="152"/>
      <c r="J480" s="151"/>
      <c r="K480" s="151"/>
      <c r="L480" s="10"/>
      <c r="M480" s="10"/>
      <c r="N480" s="10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20"/>
    </row>
    <row r="481">
      <c r="A481" s="14"/>
      <c r="B481" s="14"/>
      <c r="C481" s="149"/>
      <c r="D481" s="150"/>
      <c r="E481" s="151"/>
      <c r="F481" s="151"/>
      <c r="G481" s="151"/>
      <c r="H481" s="10"/>
      <c r="I481" s="152"/>
      <c r="J481" s="151"/>
      <c r="K481" s="151"/>
      <c r="L481" s="10"/>
      <c r="M481" s="10"/>
      <c r="N481" s="10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20"/>
    </row>
    <row r="482">
      <c r="A482" s="14"/>
      <c r="B482" s="14"/>
      <c r="C482" s="149"/>
      <c r="D482" s="150"/>
      <c r="E482" s="151"/>
      <c r="F482" s="151"/>
      <c r="G482" s="151"/>
      <c r="H482" s="10"/>
      <c r="I482" s="152"/>
      <c r="J482" s="151"/>
      <c r="K482" s="151"/>
      <c r="L482" s="10"/>
      <c r="M482" s="10"/>
      <c r="N482" s="10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20"/>
    </row>
    <row r="483">
      <c r="A483" s="14"/>
      <c r="B483" s="14"/>
      <c r="C483" s="149"/>
      <c r="D483" s="150"/>
      <c r="E483" s="151"/>
      <c r="F483" s="151"/>
      <c r="G483" s="151"/>
      <c r="H483" s="10"/>
      <c r="I483" s="152"/>
      <c r="J483" s="151"/>
      <c r="K483" s="151"/>
      <c r="L483" s="10"/>
      <c r="M483" s="10"/>
      <c r="N483" s="10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20"/>
    </row>
    <row r="484">
      <c r="A484" s="14"/>
      <c r="B484" s="14"/>
      <c r="C484" s="149"/>
      <c r="D484" s="150"/>
      <c r="E484" s="151"/>
      <c r="F484" s="151"/>
      <c r="G484" s="151"/>
      <c r="H484" s="10"/>
      <c r="I484" s="152"/>
      <c r="J484" s="151"/>
      <c r="K484" s="151"/>
      <c r="L484" s="10"/>
      <c r="M484" s="10"/>
      <c r="N484" s="10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20"/>
    </row>
    <row r="485">
      <c r="A485" s="14"/>
      <c r="B485" s="14"/>
      <c r="C485" s="149"/>
      <c r="D485" s="150"/>
      <c r="E485" s="151"/>
      <c r="F485" s="151"/>
      <c r="G485" s="151"/>
      <c r="H485" s="10"/>
      <c r="I485" s="152"/>
      <c r="J485" s="151"/>
      <c r="K485" s="151"/>
      <c r="L485" s="10"/>
      <c r="M485" s="10"/>
      <c r="N485" s="10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20"/>
    </row>
    <row r="486">
      <c r="A486" s="14"/>
      <c r="B486" s="14"/>
      <c r="C486" s="149"/>
      <c r="D486" s="150"/>
      <c r="E486" s="151"/>
      <c r="F486" s="151"/>
      <c r="G486" s="151"/>
      <c r="H486" s="10"/>
      <c r="I486" s="152"/>
      <c r="J486" s="151"/>
      <c r="K486" s="151"/>
      <c r="L486" s="10"/>
      <c r="M486" s="10"/>
      <c r="N486" s="10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20"/>
    </row>
    <row r="487">
      <c r="A487" s="14"/>
      <c r="B487" s="14"/>
      <c r="C487" s="149"/>
      <c r="D487" s="150"/>
      <c r="E487" s="151"/>
      <c r="F487" s="151"/>
      <c r="G487" s="151"/>
      <c r="H487" s="10"/>
      <c r="I487" s="152"/>
      <c r="J487" s="151"/>
      <c r="K487" s="151"/>
      <c r="L487" s="10"/>
      <c r="M487" s="10"/>
      <c r="N487" s="10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20"/>
    </row>
    <row r="488">
      <c r="A488" s="14"/>
      <c r="B488" s="14"/>
      <c r="C488" s="149"/>
      <c r="D488" s="150"/>
      <c r="E488" s="151"/>
      <c r="F488" s="151"/>
      <c r="G488" s="151"/>
      <c r="H488" s="10"/>
      <c r="I488" s="152"/>
      <c r="J488" s="151"/>
      <c r="K488" s="151"/>
      <c r="L488" s="10"/>
      <c r="M488" s="10"/>
      <c r="N488" s="10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20"/>
    </row>
    <row r="489">
      <c r="A489" s="14"/>
      <c r="B489" s="14"/>
      <c r="C489" s="149"/>
      <c r="D489" s="150"/>
      <c r="E489" s="151"/>
      <c r="F489" s="151"/>
      <c r="G489" s="151"/>
      <c r="H489" s="10"/>
      <c r="I489" s="152"/>
      <c r="J489" s="151"/>
      <c r="K489" s="151"/>
      <c r="L489" s="10"/>
      <c r="M489" s="10"/>
      <c r="N489" s="10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20"/>
    </row>
    <row r="490">
      <c r="A490" s="14"/>
      <c r="B490" s="14"/>
      <c r="C490" s="149"/>
      <c r="D490" s="150"/>
      <c r="E490" s="151"/>
      <c r="F490" s="151"/>
      <c r="G490" s="151"/>
      <c r="H490" s="10"/>
      <c r="I490" s="152"/>
      <c r="J490" s="151"/>
      <c r="K490" s="151"/>
      <c r="L490" s="10"/>
      <c r="M490" s="10"/>
      <c r="N490" s="10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20"/>
    </row>
    <row r="491">
      <c r="A491" s="14"/>
      <c r="B491" s="14"/>
      <c r="C491" s="149"/>
      <c r="D491" s="150"/>
      <c r="E491" s="151"/>
      <c r="F491" s="151"/>
      <c r="G491" s="151"/>
      <c r="H491" s="10"/>
      <c r="I491" s="152"/>
      <c r="J491" s="151"/>
      <c r="K491" s="151"/>
      <c r="L491" s="10"/>
      <c r="M491" s="10"/>
      <c r="N491" s="10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20"/>
    </row>
    <row r="492">
      <c r="A492" s="14"/>
      <c r="B492" s="14"/>
      <c r="C492" s="149"/>
      <c r="D492" s="150"/>
      <c r="E492" s="151"/>
      <c r="F492" s="151"/>
      <c r="G492" s="151"/>
      <c r="H492" s="10"/>
      <c r="I492" s="152"/>
      <c r="J492" s="151"/>
      <c r="K492" s="151"/>
      <c r="L492" s="10"/>
      <c r="M492" s="10"/>
      <c r="N492" s="10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20"/>
    </row>
    <row r="493">
      <c r="A493" s="14"/>
      <c r="B493" s="14"/>
      <c r="C493" s="149"/>
      <c r="D493" s="150"/>
      <c r="E493" s="151"/>
      <c r="F493" s="151"/>
      <c r="G493" s="151"/>
      <c r="H493" s="10"/>
      <c r="I493" s="152"/>
      <c r="J493" s="151"/>
      <c r="K493" s="151"/>
      <c r="L493" s="10"/>
      <c r="M493" s="10"/>
      <c r="N493" s="10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20"/>
    </row>
    <row r="494">
      <c r="A494" s="14"/>
      <c r="B494" s="14"/>
      <c r="C494" s="149"/>
      <c r="D494" s="150"/>
      <c r="E494" s="151"/>
      <c r="F494" s="151"/>
      <c r="G494" s="151"/>
      <c r="H494" s="10"/>
      <c r="I494" s="152"/>
      <c r="J494" s="151"/>
      <c r="K494" s="151"/>
      <c r="L494" s="10"/>
      <c r="M494" s="10"/>
      <c r="N494" s="10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20"/>
    </row>
    <row r="495">
      <c r="A495" s="14"/>
      <c r="B495" s="14"/>
      <c r="C495" s="149"/>
      <c r="D495" s="150"/>
      <c r="E495" s="151"/>
      <c r="F495" s="151"/>
      <c r="G495" s="151"/>
      <c r="H495" s="10"/>
      <c r="I495" s="152"/>
      <c r="J495" s="151"/>
      <c r="K495" s="151"/>
      <c r="L495" s="10"/>
      <c r="M495" s="10"/>
      <c r="N495" s="10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20"/>
    </row>
    <row r="496">
      <c r="A496" s="14"/>
      <c r="B496" s="14"/>
      <c r="C496" s="149"/>
      <c r="D496" s="150"/>
      <c r="E496" s="151"/>
      <c r="F496" s="151"/>
      <c r="G496" s="151"/>
      <c r="H496" s="10"/>
      <c r="I496" s="152"/>
      <c r="J496" s="151"/>
      <c r="K496" s="151"/>
      <c r="L496" s="10"/>
      <c r="M496" s="10"/>
      <c r="N496" s="10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20"/>
    </row>
    <row r="497">
      <c r="A497" s="14"/>
      <c r="B497" s="14"/>
      <c r="C497" s="149"/>
      <c r="D497" s="150"/>
      <c r="E497" s="151"/>
      <c r="F497" s="151"/>
      <c r="G497" s="151"/>
      <c r="H497" s="10"/>
      <c r="I497" s="152"/>
      <c r="J497" s="151"/>
      <c r="K497" s="151"/>
      <c r="L497" s="10"/>
      <c r="M497" s="10"/>
      <c r="N497" s="10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20"/>
    </row>
    <row r="498">
      <c r="A498" s="14"/>
      <c r="B498" s="14"/>
      <c r="C498" s="149"/>
      <c r="D498" s="150"/>
      <c r="E498" s="151"/>
      <c r="F498" s="151"/>
      <c r="G498" s="151"/>
      <c r="H498" s="10"/>
      <c r="I498" s="152"/>
      <c r="J498" s="151"/>
      <c r="K498" s="151"/>
      <c r="L498" s="10"/>
      <c r="M498" s="10"/>
      <c r="N498" s="10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20"/>
    </row>
    <row r="499">
      <c r="A499" s="14"/>
      <c r="B499" s="14"/>
      <c r="C499" s="149"/>
      <c r="D499" s="150"/>
      <c r="E499" s="151"/>
      <c r="F499" s="151"/>
      <c r="G499" s="151"/>
      <c r="H499" s="10"/>
      <c r="I499" s="152"/>
      <c r="J499" s="151"/>
      <c r="K499" s="151"/>
      <c r="L499" s="10"/>
      <c r="M499" s="10"/>
      <c r="N499" s="10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20"/>
    </row>
    <row r="500">
      <c r="A500" s="14"/>
      <c r="B500" s="14"/>
      <c r="C500" s="149"/>
      <c r="D500" s="150"/>
      <c r="E500" s="151"/>
      <c r="F500" s="151"/>
      <c r="G500" s="151"/>
      <c r="H500" s="10"/>
      <c r="I500" s="152"/>
      <c r="J500" s="151"/>
      <c r="K500" s="151"/>
      <c r="L500" s="10"/>
      <c r="M500" s="10"/>
      <c r="N500" s="10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20"/>
    </row>
    <row r="501">
      <c r="A501" s="14"/>
      <c r="B501" s="14"/>
      <c r="C501" s="149"/>
      <c r="D501" s="150"/>
      <c r="E501" s="151"/>
      <c r="F501" s="151"/>
      <c r="G501" s="151"/>
      <c r="H501" s="10"/>
      <c r="I501" s="152"/>
      <c r="J501" s="151"/>
      <c r="K501" s="151"/>
      <c r="L501" s="10"/>
      <c r="M501" s="10"/>
      <c r="N501" s="10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20"/>
    </row>
    <row r="502">
      <c r="A502" s="14"/>
      <c r="B502" s="14"/>
      <c r="C502" s="149"/>
      <c r="D502" s="150"/>
      <c r="E502" s="151"/>
      <c r="F502" s="151"/>
      <c r="G502" s="151"/>
      <c r="H502" s="10"/>
      <c r="I502" s="152"/>
      <c r="J502" s="151"/>
      <c r="K502" s="151"/>
      <c r="L502" s="10"/>
      <c r="M502" s="10"/>
      <c r="N502" s="10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20"/>
    </row>
    <row r="503">
      <c r="A503" s="14"/>
      <c r="B503" s="14"/>
      <c r="C503" s="149"/>
      <c r="D503" s="150"/>
      <c r="E503" s="151"/>
      <c r="F503" s="151"/>
      <c r="G503" s="151"/>
      <c r="H503" s="10"/>
      <c r="I503" s="152"/>
      <c r="J503" s="151"/>
      <c r="K503" s="151"/>
      <c r="L503" s="10"/>
      <c r="M503" s="10"/>
      <c r="N503" s="10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20"/>
    </row>
    <row r="504">
      <c r="A504" s="14"/>
      <c r="B504" s="14"/>
      <c r="C504" s="149"/>
      <c r="D504" s="150"/>
      <c r="E504" s="151"/>
      <c r="F504" s="151"/>
      <c r="G504" s="151"/>
      <c r="H504" s="10"/>
      <c r="I504" s="152"/>
      <c r="J504" s="151"/>
      <c r="K504" s="151"/>
      <c r="L504" s="10"/>
      <c r="M504" s="10"/>
      <c r="N504" s="10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20"/>
    </row>
    <row r="505">
      <c r="A505" s="14"/>
      <c r="B505" s="14"/>
      <c r="C505" s="149"/>
      <c r="D505" s="150"/>
      <c r="E505" s="151"/>
      <c r="F505" s="151"/>
      <c r="G505" s="151"/>
      <c r="H505" s="10"/>
      <c r="I505" s="152"/>
      <c r="J505" s="151"/>
      <c r="K505" s="151"/>
      <c r="L505" s="10"/>
      <c r="M505" s="10"/>
      <c r="N505" s="10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20"/>
    </row>
    <row r="506">
      <c r="A506" s="14"/>
      <c r="B506" s="14"/>
      <c r="C506" s="149"/>
      <c r="D506" s="150"/>
      <c r="E506" s="151"/>
      <c r="F506" s="151"/>
      <c r="G506" s="151"/>
      <c r="H506" s="10"/>
      <c r="I506" s="152"/>
      <c r="J506" s="151"/>
      <c r="K506" s="151"/>
      <c r="L506" s="10"/>
      <c r="M506" s="10"/>
      <c r="N506" s="10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20"/>
    </row>
    <row r="507">
      <c r="A507" s="14"/>
      <c r="B507" s="14"/>
      <c r="C507" s="149"/>
      <c r="D507" s="150"/>
      <c r="E507" s="151"/>
      <c r="F507" s="151"/>
      <c r="G507" s="151"/>
      <c r="H507" s="10"/>
      <c r="I507" s="152"/>
      <c r="J507" s="151"/>
      <c r="K507" s="151"/>
      <c r="L507" s="10"/>
      <c r="M507" s="10"/>
      <c r="N507" s="10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20"/>
    </row>
    <row r="508">
      <c r="A508" s="14"/>
      <c r="B508" s="14"/>
      <c r="C508" s="149"/>
      <c r="D508" s="150"/>
      <c r="E508" s="151"/>
      <c r="F508" s="151"/>
      <c r="G508" s="151"/>
      <c r="H508" s="10"/>
      <c r="I508" s="152"/>
      <c r="J508" s="151"/>
      <c r="K508" s="151"/>
      <c r="L508" s="10"/>
      <c r="M508" s="10"/>
      <c r="N508" s="10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20"/>
    </row>
    <row r="509">
      <c r="A509" s="14"/>
      <c r="B509" s="14"/>
      <c r="C509" s="149"/>
      <c r="D509" s="150"/>
      <c r="E509" s="151"/>
      <c r="F509" s="151"/>
      <c r="G509" s="151"/>
      <c r="H509" s="10"/>
      <c r="I509" s="152"/>
      <c r="J509" s="151"/>
      <c r="K509" s="151"/>
      <c r="L509" s="10"/>
      <c r="M509" s="10"/>
      <c r="N509" s="10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20"/>
    </row>
    <row r="510">
      <c r="A510" s="14"/>
      <c r="B510" s="14"/>
      <c r="C510" s="149"/>
      <c r="D510" s="150"/>
      <c r="E510" s="151"/>
      <c r="F510" s="151"/>
      <c r="G510" s="151"/>
      <c r="H510" s="10"/>
      <c r="I510" s="152"/>
      <c r="J510" s="151"/>
      <c r="K510" s="151"/>
      <c r="L510" s="10"/>
      <c r="M510" s="10"/>
      <c r="N510" s="10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20"/>
    </row>
    <row r="511">
      <c r="A511" s="14"/>
      <c r="B511" s="14"/>
      <c r="C511" s="149"/>
      <c r="D511" s="150"/>
      <c r="E511" s="151"/>
      <c r="F511" s="151"/>
      <c r="G511" s="151"/>
      <c r="H511" s="10"/>
      <c r="I511" s="152"/>
      <c r="J511" s="151"/>
      <c r="K511" s="151"/>
      <c r="L511" s="10"/>
      <c r="M511" s="10"/>
      <c r="N511" s="10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20"/>
    </row>
    <row r="512">
      <c r="A512" s="14"/>
      <c r="B512" s="14"/>
      <c r="C512" s="149"/>
      <c r="D512" s="150"/>
      <c r="E512" s="151"/>
      <c r="F512" s="151"/>
      <c r="G512" s="151"/>
      <c r="H512" s="10"/>
      <c r="I512" s="152"/>
      <c r="J512" s="151"/>
      <c r="K512" s="151"/>
      <c r="L512" s="10"/>
      <c r="M512" s="10"/>
      <c r="N512" s="10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20"/>
    </row>
    <row r="513">
      <c r="A513" s="14"/>
      <c r="B513" s="14"/>
      <c r="C513" s="149"/>
      <c r="D513" s="150"/>
      <c r="E513" s="151"/>
      <c r="F513" s="151"/>
      <c r="G513" s="151"/>
      <c r="H513" s="10"/>
      <c r="I513" s="152"/>
      <c r="J513" s="151"/>
      <c r="K513" s="151"/>
      <c r="L513" s="10"/>
      <c r="M513" s="10"/>
      <c r="N513" s="10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20"/>
    </row>
    <row r="514">
      <c r="A514" s="14"/>
      <c r="B514" s="14"/>
      <c r="C514" s="149"/>
      <c r="D514" s="150"/>
      <c r="E514" s="151"/>
      <c r="F514" s="151"/>
      <c r="G514" s="151"/>
      <c r="H514" s="10"/>
      <c r="I514" s="152"/>
      <c r="J514" s="151"/>
      <c r="K514" s="151"/>
      <c r="L514" s="10"/>
      <c r="M514" s="10"/>
      <c r="N514" s="10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20"/>
    </row>
    <row r="515">
      <c r="A515" s="14"/>
      <c r="B515" s="14"/>
      <c r="C515" s="149"/>
      <c r="D515" s="150"/>
      <c r="E515" s="151"/>
      <c r="F515" s="151"/>
      <c r="G515" s="151"/>
      <c r="H515" s="10"/>
      <c r="I515" s="152"/>
      <c r="J515" s="151"/>
      <c r="K515" s="151"/>
      <c r="L515" s="10"/>
      <c r="M515" s="10"/>
      <c r="N515" s="10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20"/>
    </row>
    <row r="516">
      <c r="A516" s="14"/>
      <c r="B516" s="14"/>
      <c r="C516" s="149"/>
      <c r="D516" s="150"/>
      <c r="E516" s="151"/>
      <c r="F516" s="151"/>
      <c r="G516" s="151"/>
      <c r="H516" s="10"/>
      <c r="I516" s="152"/>
      <c r="J516" s="151"/>
      <c r="K516" s="151"/>
      <c r="L516" s="10"/>
      <c r="M516" s="10"/>
      <c r="N516" s="10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20"/>
    </row>
    <row r="517">
      <c r="A517" s="14"/>
      <c r="B517" s="14"/>
      <c r="C517" s="149"/>
      <c r="D517" s="150"/>
      <c r="E517" s="151"/>
      <c r="F517" s="151"/>
      <c r="G517" s="151"/>
      <c r="H517" s="10"/>
      <c r="I517" s="152"/>
      <c r="J517" s="151"/>
      <c r="K517" s="151"/>
      <c r="L517" s="10"/>
      <c r="M517" s="10"/>
      <c r="N517" s="10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20"/>
    </row>
    <row r="518">
      <c r="A518" s="14"/>
      <c r="B518" s="14"/>
      <c r="C518" s="149"/>
      <c r="D518" s="150"/>
      <c r="E518" s="151"/>
      <c r="F518" s="151"/>
      <c r="G518" s="151"/>
      <c r="H518" s="10"/>
      <c r="I518" s="152"/>
      <c r="J518" s="151"/>
      <c r="K518" s="151"/>
      <c r="L518" s="10"/>
      <c r="M518" s="10"/>
      <c r="N518" s="10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20"/>
    </row>
    <row r="519">
      <c r="A519" s="14"/>
      <c r="B519" s="14"/>
      <c r="C519" s="149"/>
      <c r="D519" s="150"/>
      <c r="E519" s="151"/>
      <c r="F519" s="151"/>
      <c r="G519" s="151"/>
      <c r="H519" s="10"/>
      <c r="I519" s="152"/>
      <c r="J519" s="151"/>
      <c r="K519" s="151"/>
      <c r="L519" s="10"/>
      <c r="M519" s="10"/>
      <c r="N519" s="10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20"/>
    </row>
    <row r="520">
      <c r="A520" s="14"/>
      <c r="B520" s="14"/>
      <c r="C520" s="149"/>
      <c r="D520" s="150"/>
      <c r="E520" s="151"/>
      <c r="F520" s="151"/>
      <c r="G520" s="151"/>
      <c r="H520" s="10"/>
      <c r="I520" s="152"/>
      <c r="J520" s="151"/>
      <c r="K520" s="151"/>
      <c r="L520" s="10"/>
      <c r="M520" s="10"/>
      <c r="N520" s="10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20"/>
    </row>
    <row r="521">
      <c r="A521" s="14"/>
      <c r="B521" s="14"/>
      <c r="C521" s="149"/>
      <c r="D521" s="150"/>
      <c r="E521" s="151"/>
      <c r="F521" s="151"/>
      <c r="G521" s="151"/>
      <c r="H521" s="10"/>
      <c r="I521" s="152"/>
      <c r="J521" s="151"/>
      <c r="K521" s="151"/>
      <c r="L521" s="10"/>
      <c r="M521" s="10"/>
      <c r="N521" s="10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20"/>
    </row>
    <row r="522">
      <c r="A522" s="14"/>
      <c r="B522" s="14"/>
      <c r="C522" s="149"/>
      <c r="D522" s="150"/>
      <c r="E522" s="151"/>
      <c r="F522" s="151"/>
      <c r="G522" s="151"/>
      <c r="H522" s="10"/>
      <c r="I522" s="152"/>
      <c r="J522" s="151"/>
      <c r="K522" s="151"/>
      <c r="L522" s="10"/>
      <c r="M522" s="10"/>
      <c r="N522" s="10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20"/>
    </row>
    <row r="523">
      <c r="A523" s="14"/>
      <c r="B523" s="14"/>
      <c r="C523" s="149"/>
      <c r="D523" s="150"/>
      <c r="E523" s="151"/>
      <c r="F523" s="151"/>
      <c r="G523" s="151"/>
      <c r="H523" s="10"/>
      <c r="I523" s="152"/>
      <c r="J523" s="151"/>
      <c r="K523" s="151"/>
      <c r="L523" s="10"/>
      <c r="M523" s="10"/>
      <c r="N523" s="10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20"/>
    </row>
    <row r="524">
      <c r="A524" s="14"/>
      <c r="B524" s="14"/>
      <c r="C524" s="149"/>
      <c r="D524" s="150"/>
      <c r="E524" s="151"/>
      <c r="F524" s="151"/>
      <c r="G524" s="151"/>
      <c r="H524" s="10"/>
      <c r="I524" s="152"/>
      <c r="J524" s="151"/>
      <c r="K524" s="151"/>
      <c r="L524" s="10"/>
      <c r="M524" s="10"/>
      <c r="N524" s="10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20"/>
    </row>
    <row r="525">
      <c r="A525" s="14"/>
      <c r="B525" s="14"/>
      <c r="C525" s="149"/>
      <c r="D525" s="150"/>
      <c r="E525" s="151"/>
      <c r="F525" s="151"/>
      <c r="G525" s="151"/>
      <c r="H525" s="10"/>
      <c r="I525" s="152"/>
      <c r="J525" s="151"/>
      <c r="K525" s="151"/>
      <c r="L525" s="10"/>
      <c r="M525" s="10"/>
      <c r="N525" s="10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20"/>
    </row>
    <row r="526">
      <c r="A526" s="14"/>
      <c r="B526" s="14"/>
      <c r="C526" s="149"/>
      <c r="D526" s="150"/>
      <c r="E526" s="151"/>
      <c r="F526" s="151"/>
      <c r="G526" s="151"/>
      <c r="H526" s="10"/>
      <c r="I526" s="152"/>
      <c r="J526" s="151"/>
      <c r="K526" s="151"/>
      <c r="L526" s="10"/>
      <c r="M526" s="10"/>
      <c r="N526" s="10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20"/>
    </row>
    <row r="527">
      <c r="A527" s="14"/>
      <c r="B527" s="14"/>
      <c r="C527" s="149"/>
      <c r="D527" s="150"/>
      <c r="E527" s="151"/>
      <c r="F527" s="151"/>
      <c r="G527" s="151"/>
      <c r="H527" s="10"/>
      <c r="I527" s="152"/>
      <c r="J527" s="151"/>
      <c r="K527" s="151"/>
      <c r="L527" s="10"/>
      <c r="M527" s="10"/>
      <c r="N527" s="10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20"/>
    </row>
    <row r="528">
      <c r="A528" s="14"/>
      <c r="B528" s="14"/>
      <c r="C528" s="149"/>
      <c r="D528" s="150"/>
      <c r="E528" s="151"/>
      <c r="F528" s="151"/>
      <c r="G528" s="151"/>
      <c r="H528" s="10"/>
      <c r="I528" s="152"/>
      <c r="J528" s="151"/>
      <c r="K528" s="151"/>
      <c r="L528" s="10"/>
      <c r="M528" s="10"/>
      <c r="N528" s="10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20"/>
    </row>
    <row r="529">
      <c r="A529" s="14"/>
      <c r="B529" s="14"/>
      <c r="C529" s="149"/>
      <c r="D529" s="150"/>
      <c r="E529" s="151"/>
      <c r="F529" s="151"/>
      <c r="G529" s="151"/>
      <c r="H529" s="10"/>
      <c r="I529" s="152"/>
      <c r="J529" s="151"/>
      <c r="K529" s="151"/>
      <c r="L529" s="10"/>
      <c r="M529" s="10"/>
      <c r="N529" s="10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20"/>
    </row>
    <row r="530">
      <c r="A530" s="14"/>
      <c r="B530" s="14"/>
      <c r="C530" s="149"/>
      <c r="D530" s="150"/>
      <c r="E530" s="151"/>
      <c r="F530" s="151"/>
      <c r="G530" s="151"/>
      <c r="H530" s="10"/>
      <c r="I530" s="152"/>
      <c r="J530" s="151"/>
      <c r="K530" s="151"/>
      <c r="L530" s="10"/>
      <c r="M530" s="10"/>
      <c r="N530" s="10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20"/>
    </row>
    <row r="531">
      <c r="A531" s="14"/>
      <c r="B531" s="14"/>
      <c r="C531" s="149"/>
      <c r="D531" s="150"/>
      <c r="E531" s="151"/>
      <c r="F531" s="151"/>
      <c r="G531" s="151"/>
      <c r="H531" s="10"/>
      <c r="I531" s="152"/>
      <c r="J531" s="151"/>
      <c r="K531" s="151"/>
      <c r="L531" s="10"/>
      <c r="M531" s="10"/>
      <c r="N531" s="10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20"/>
    </row>
    <row r="532">
      <c r="A532" s="14"/>
      <c r="B532" s="14"/>
      <c r="C532" s="149"/>
      <c r="D532" s="150"/>
      <c r="E532" s="151"/>
      <c r="F532" s="151"/>
      <c r="G532" s="151"/>
      <c r="H532" s="10"/>
      <c r="I532" s="152"/>
      <c r="J532" s="151"/>
      <c r="K532" s="151"/>
      <c r="L532" s="10"/>
      <c r="M532" s="10"/>
      <c r="N532" s="10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20"/>
    </row>
    <row r="533">
      <c r="A533" s="14"/>
      <c r="B533" s="14"/>
      <c r="C533" s="149"/>
      <c r="D533" s="150"/>
      <c r="E533" s="151"/>
      <c r="F533" s="151"/>
      <c r="G533" s="151"/>
      <c r="H533" s="10"/>
      <c r="I533" s="152"/>
      <c r="J533" s="151"/>
      <c r="K533" s="151"/>
      <c r="L533" s="10"/>
      <c r="M533" s="10"/>
      <c r="N533" s="10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20"/>
    </row>
    <row r="534">
      <c r="A534" s="14"/>
      <c r="B534" s="14"/>
      <c r="C534" s="149"/>
      <c r="D534" s="150"/>
      <c r="E534" s="151"/>
      <c r="F534" s="151"/>
      <c r="G534" s="151"/>
      <c r="H534" s="10"/>
      <c r="I534" s="152"/>
      <c r="J534" s="151"/>
      <c r="K534" s="151"/>
      <c r="L534" s="10"/>
      <c r="M534" s="10"/>
      <c r="N534" s="10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20"/>
    </row>
    <row r="535">
      <c r="A535" s="14"/>
      <c r="B535" s="14"/>
      <c r="C535" s="149"/>
      <c r="D535" s="150"/>
      <c r="E535" s="151"/>
      <c r="F535" s="151"/>
      <c r="G535" s="151"/>
      <c r="H535" s="10"/>
      <c r="I535" s="152"/>
      <c r="J535" s="151"/>
      <c r="K535" s="151"/>
      <c r="L535" s="10"/>
      <c r="M535" s="10"/>
      <c r="N535" s="10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20"/>
    </row>
    <row r="536">
      <c r="A536" s="14"/>
      <c r="B536" s="14"/>
      <c r="C536" s="149"/>
      <c r="D536" s="150"/>
      <c r="E536" s="151"/>
      <c r="F536" s="151"/>
      <c r="G536" s="151"/>
      <c r="H536" s="10"/>
      <c r="I536" s="152"/>
      <c r="J536" s="151"/>
      <c r="K536" s="151"/>
      <c r="L536" s="10"/>
      <c r="M536" s="10"/>
      <c r="N536" s="10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20"/>
    </row>
    <row r="537">
      <c r="A537" s="14"/>
      <c r="B537" s="14"/>
      <c r="C537" s="149"/>
      <c r="D537" s="150"/>
      <c r="E537" s="151"/>
      <c r="F537" s="151"/>
      <c r="G537" s="151"/>
      <c r="H537" s="10"/>
      <c r="I537" s="152"/>
      <c r="J537" s="151"/>
      <c r="K537" s="151"/>
      <c r="L537" s="10"/>
      <c r="M537" s="10"/>
      <c r="N537" s="10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20"/>
    </row>
    <row r="538">
      <c r="A538" s="14"/>
      <c r="B538" s="14"/>
      <c r="C538" s="149"/>
      <c r="D538" s="150"/>
      <c r="E538" s="151"/>
      <c r="F538" s="151"/>
      <c r="G538" s="151"/>
      <c r="H538" s="10"/>
      <c r="I538" s="152"/>
      <c r="J538" s="151"/>
      <c r="K538" s="151"/>
      <c r="L538" s="10"/>
      <c r="M538" s="10"/>
      <c r="N538" s="10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20"/>
    </row>
    <row r="539">
      <c r="A539" s="14"/>
      <c r="B539" s="14"/>
      <c r="C539" s="149"/>
      <c r="D539" s="150"/>
      <c r="E539" s="151"/>
      <c r="F539" s="151"/>
      <c r="G539" s="151"/>
      <c r="H539" s="10"/>
      <c r="I539" s="152"/>
      <c r="J539" s="151"/>
      <c r="K539" s="151"/>
      <c r="L539" s="10"/>
      <c r="M539" s="10"/>
      <c r="N539" s="10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20"/>
    </row>
    <row r="540">
      <c r="A540" s="14"/>
      <c r="B540" s="14"/>
      <c r="C540" s="149"/>
      <c r="D540" s="150"/>
      <c r="E540" s="151"/>
      <c r="F540" s="151"/>
      <c r="G540" s="151"/>
      <c r="H540" s="10"/>
      <c r="I540" s="152"/>
      <c r="J540" s="151"/>
      <c r="K540" s="151"/>
      <c r="L540" s="10"/>
      <c r="M540" s="10"/>
      <c r="N540" s="10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20"/>
    </row>
    <row r="541">
      <c r="A541" s="14"/>
      <c r="B541" s="14"/>
      <c r="C541" s="149"/>
      <c r="D541" s="150"/>
      <c r="E541" s="151"/>
      <c r="F541" s="151"/>
      <c r="G541" s="151"/>
      <c r="H541" s="10"/>
      <c r="I541" s="152"/>
      <c r="J541" s="151"/>
      <c r="K541" s="151"/>
      <c r="L541" s="10"/>
      <c r="M541" s="10"/>
      <c r="N541" s="10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20"/>
    </row>
    <row r="542">
      <c r="A542" s="14"/>
      <c r="B542" s="14"/>
      <c r="C542" s="149"/>
      <c r="D542" s="150"/>
      <c r="E542" s="151"/>
      <c r="F542" s="151"/>
      <c r="G542" s="151"/>
      <c r="H542" s="10"/>
      <c r="I542" s="152"/>
      <c r="J542" s="151"/>
      <c r="K542" s="151"/>
      <c r="L542" s="10"/>
      <c r="M542" s="10"/>
      <c r="N542" s="10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20"/>
    </row>
    <row r="543">
      <c r="A543" s="14"/>
      <c r="B543" s="14"/>
      <c r="C543" s="149"/>
      <c r="D543" s="150"/>
      <c r="E543" s="151"/>
      <c r="F543" s="151"/>
      <c r="G543" s="151"/>
      <c r="H543" s="10"/>
      <c r="I543" s="152"/>
      <c r="J543" s="151"/>
      <c r="K543" s="151"/>
      <c r="L543" s="10"/>
      <c r="M543" s="10"/>
      <c r="N543" s="10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20"/>
    </row>
    <row r="544">
      <c r="A544" s="14"/>
      <c r="B544" s="14"/>
      <c r="C544" s="149"/>
      <c r="D544" s="150"/>
      <c r="E544" s="151"/>
      <c r="F544" s="151"/>
      <c r="G544" s="151"/>
      <c r="H544" s="10"/>
      <c r="I544" s="152"/>
      <c r="J544" s="151"/>
      <c r="K544" s="151"/>
      <c r="L544" s="10"/>
      <c r="M544" s="10"/>
      <c r="N544" s="10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20"/>
    </row>
    <row r="545">
      <c r="A545" s="14"/>
      <c r="B545" s="14"/>
      <c r="C545" s="149"/>
      <c r="D545" s="150"/>
      <c r="E545" s="151"/>
      <c r="F545" s="151"/>
      <c r="G545" s="151"/>
      <c r="H545" s="10"/>
      <c r="I545" s="152"/>
      <c r="J545" s="151"/>
      <c r="K545" s="151"/>
      <c r="L545" s="10"/>
      <c r="M545" s="10"/>
      <c r="N545" s="10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20"/>
    </row>
    <row r="546">
      <c r="A546" s="14"/>
      <c r="B546" s="14"/>
      <c r="C546" s="149"/>
      <c r="D546" s="150"/>
      <c r="E546" s="151"/>
      <c r="F546" s="151"/>
      <c r="G546" s="151"/>
      <c r="H546" s="10"/>
      <c r="I546" s="152"/>
      <c r="J546" s="151"/>
      <c r="K546" s="151"/>
      <c r="L546" s="10"/>
      <c r="M546" s="10"/>
      <c r="N546" s="10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20"/>
    </row>
    <row r="547">
      <c r="A547" s="14"/>
      <c r="B547" s="14"/>
      <c r="C547" s="149"/>
      <c r="D547" s="150"/>
      <c r="E547" s="151"/>
      <c r="F547" s="151"/>
      <c r="G547" s="151"/>
      <c r="H547" s="10"/>
      <c r="I547" s="152"/>
      <c r="J547" s="151"/>
      <c r="K547" s="151"/>
      <c r="L547" s="10"/>
      <c r="M547" s="10"/>
      <c r="N547" s="10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20"/>
    </row>
    <row r="548">
      <c r="A548" s="14"/>
      <c r="B548" s="14"/>
      <c r="C548" s="149"/>
      <c r="D548" s="150"/>
      <c r="E548" s="151"/>
      <c r="F548" s="151"/>
      <c r="G548" s="151"/>
      <c r="H548" s="10"/>
      <c r="I548" s="152"/>
      <c r="J548" s="151"/>
      <c r="K548" s="151"/>
      <c r="L548" s="10"/>
      <c r="M548" s="10"/>
      <c r="N548" s="10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20"/>
    </row>
    <row r="549">
      <c r="A549" s="14"/>
      <c r="B549" s="14"/>
      <c r="C549" s="149"/>
      <c r="D549" s="150"/>
      <c r="E549" s="151"/>
      <c r="F549" s="151"/>
      <c r="G549" s="151"/>
      <c r="H549" s="10"/>
      <c r="I549" s="152"/>
      <c r="J549" s="151"/>
      <c r="K549" s="151"/>
      <c r="L549" s="10"/>
      <c r="M549" s="10"/>
      <c r="N549" s="10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20"/>
    </row>
    <row r="550">
      <c r="A550" s="14"/>
      <c r="B550" s="14"/>
      <c r="C550" s="149"/>
      <c r="D550" s="150"/>
      <c r="E550" s="151"/>
      <c r="F550" s="151"/>
      <c r="G550" s="151"/>
      <c r="H550" s="10"/>
      <c r="I550" s="152"/>
      <c r="J550" s="151"/>
      <c r="K550" s="151"/>
      <c r="L550" s="10"/>
      <c r="M550" s="10"/>
      <c r="N550" s="10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20"/>
    </row>
    <row r="551">
      <c r="A551" s="14"/>
      <c r="B551" s="14"/>
      <c r="C551" s="149"/>
      <c r="D551" s="150"/>
      <c r="E551" s="151"/>
      <c r="F551" s="151"/>
      <c r="G551" s="151"/>
      <c r="H551" s="10"/>
      <c r="I551" s="152"/>
      <c r="J551" s="151"/>
      <c r="K551" s="151"/>
      <c r="L551" s="10"/>
      <c r="M551" s="10"/>
      <c r="N551" s="10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20"/>
    </row>
    <row r="552">
      <c r="A552" s="14"/>
      <c r="B552" s="14"/>
      <c r="C552" s="149"/>
      <c r="D552" s="150"/>
      <c r="E552" s="151"/>
      <c r="F552" s="151"/>
      <c r="G552" s="151"/>
      <c r="H552" s="10"/>
      <c r="I552" s="152"/>
      <c r="J552" s="151"/>
      <c r="K552" s="151"/>
      <c r="L552" s="10"/>
      <c r="M552" s="10"/>
      <c r="N552" s="10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20"/>
    </row>
    <row r="553">
      <c r="A553" s="14"/>
      <c r="B553" s="14"/>
      <c r="C553" s="149"/>
      <c r="D553" s="150"/>
      <c r="E553" s="151"/>
      <c r="F553" s="151"/>
      <c r="G553" s="151"/>
      <c r="H553" s="10"/>
      <c r="I553" s="152"/>
      <c r="J553" s="151"/>
      <c r="K553" s="151"/>
      <c r="L553" s="10"/>
      <c r="M553" s="10"/>
      <c r="N553" s="10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20"/>
    </row>
    <row r="554">
      <c r="A554" s="14"/>
      <c r="B554" s="14"/>
      <c r="C554" s="149"/>
      <c r="D554" s="150"/>
      <c r="E554" s="151"/>
      <c r="F554" s="151"/>
      <c r="G554" s="151"/>
      <c r="H554" s="10"/>
      <c r="I554" s="152"/>
      <c r="J554" s="151"/>
      <c r="K554" s="151"/>
      <c r="L554" s="10"/>
      <c r="M554" s="10"/>
      <c r="N554" s="10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20"/>
    </row>
    <row r="555">
      <c r="A555" s="14"/>
      <c r="B555" s="14"/>
      <c r="C555" s="149"/>
      <c r="D555" s="150"/>
      <c r="E555" s="151"/>
      <c r="F555" s="151"/>
      <c r="G555" s="151"/>
      <c r="H555" s="10"/>
      <c r="I555" s="152"/>
      <c r="J555" s="151"/>
      <c r="K555" s="151"/>
      <c r="L555" s="10"/>
      <c r="M555" s="10"/>
      <c r="N555" s="10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20"/>
    </row>
    <row r="556">
      <c r="A556" s="14"/>
      <c r="B556" s="14"/>
      <c r="C556" s="149"/>
      <c r="D556" s="150"/>
      <c r="E556" s="151"/>
      <c r="F556" s="151"/>
      <c r="G556" s="151"/>
      <c r="H556" s="10"/>
      <c r="I556" s="152"/>
      <c r="J556" s="151"/>
      <c r="K556" s="151"/>
      <c r="L556" s="10"/>
      <c r="M556" s="10"/>
      <c r="N556" s="10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20"/>
    </row>
    <row r="557">
      <c r="A557" s="14"/>
      <c r="B557" s="14"/>
      <c r="C557" s="149"/>
      <c r="D557" s="150"/>
      <c r="E557" s="151"/>
      <c r="F557" s="151"/>
      <c r="G557" s="151"/>
      <c r="H557" s="10"/>
      <c r="I557" s="152"/>
      <c r="J557" s="151"/>
      <c r="K557" s="151"/>
      <c r="L557" s="10"/>
      <c r="M557" s="10"/>
      <c r="N557" s="10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20"/>
    </row>
    <row r="558">
      <c r="A558" s="14"/>
      <c r="B558" s="14"/>
      <c r="C558" s="149"/>
      <c r="D558" s="150"/>
      <c r="E558" s="151"/>
      <c r="F558" s="151"/>
      <c r="G558" s="151"/>
      <c r="H558" s="10"/>
      <c r="I558" s="152"/>
      <c r="J558" s="151"/>
      <c r="K558" s="151"/>
      <c r="L558" s="10"/>
      <c r="M558" s="10"/>
      <c r="N558" s="10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20"/>
    </row>
    <row r="559">
      <c r="A559" s="14"/>
      <c r="B559" s="14"/>
      <c r="C559" s="149"/>
      <c r="D559" s="150"/>
      <c r="E559" s="151"/>
      <c r="F559" s="151"/>
      <c r="G559" s="151"/>
      <c r="H559" s="10"/>
      <c r="I559" s="152"/>
      <c r="J559" s="151"/>
      <c r="K559" s="151"/>
      <c r="L559" s="10"/>
      <c r="M559" s="10"/>
      <c r="N559" s="10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20"/>
    </row>
    <row r="560">
      <c r="A560" s="14"/>
      <c r="B560" s="14"/>
      <c r="C560" s="149"/>
      <c r="D560" s="150"/>
      <c r="E560" s="151"/>
      <c r="F560" s="151"/>
      <c r="G560" s="151"/>
      <c r="H560" s="10"/>
      <c r="I560" s="152"/>
      <c r="J560" s="151"/>
      <c r="K560" s="151"/>
      <c r="L560" s="10"/>
      <c r="M560" s="10"/>
      <c r="N560" s="10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20"/>
    </row>
    <row r="561">
      <c r="A561" s="14"/>
      <c r="B561" s="14"/>
      <c r="C561" s="149"/>
      <c r="D561" s="150"/>
      <c r="E561" s="151"/>
      <c r="F561" s="151"/>
      <c r="G561" s="151"/>
      <c r="H561" s="10"/>
      <c r="I561" s="152"/>
      <c r="J561" s="151"/>
      <c r="K561" s="151"/>
      <c r="L561" s="10"/>
      <c r="M561" s="10"/>
      <c r="N561" s="10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20"/>
    </row>
    <row r="562">
      <c r="A562" s="14"/>
      <c r="B562" s="14"/>
      <c r="C562" s="149"/>
      <c r="D562" s="150"/>
      <c r="E562" s="151"/>
      <c r="F562" s="151"/>
      <c r="G562" s="151"/>
      <c r="H562" s="10"/>
      <c r="I562" s="152"/>
      <c r="J562" s="151"/>
      <c r="K562" s="151"/>
      <c r="L562" s="10"/>
      <c r="M562" s="10"/>
      <c r="N562" s="10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20"/>
    </row>
    <row r="563">
      <c r="A563" s="14"/>
      <c r="B563" s="14"/>
      <c r="C563" s="149"/>
      <c r="D563" s="150"/>
      <c r="E563" s="151"/>
      <c r="F563" s="151"/>
      <c r="G563" s="151"/>
      <c r="H563" s="10"/>
      <c r="I563" s="152"/>
      <c r="J563" s="151"/>
      <c r="K563" s="151"/>
      <c r="L563" s="10"/>
      <c r="M563" s="10"/>
      <c r="N563" s="10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20"/>
    </row>
    <row r="564">
      <c r="A564" s="14"/>
      <c r="B564" s="14"/>
      <c r="C564" s="149"/>
      <c r="D564" s="150"/>
      <c r="E564" s="151"/>
      <c r="F564" s="151"/>
      <c r="G564" s="151"/>
      <c r="H564" s="10"/>
      <c r="I564" s="152"/>
      <c r="J564" s="151"/>
      <c r="K564" s="151"/>
      <c r="L564" s="10"/>
      <c r="M564" s="10"/>
      <c r="N564" s="10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20"/>
    </row>
    <row r="565">
      <c r="A565" s="14"/>
      <c r="B565" s="14"/>
      <c r="C565" s="149"/>
      <c r="D565" s="150"/>
      <c r="E565" s="151"/>
      <c r="F565" s="151"/>
      <c r="G565" s="151"/>
      <c r="H565" s="10"/>
      <c r="I565" s="152"/>
      <c r="J565" s="151"/>
      <c r="K565" s="151"/>
      <c r="L565" s="10"/>
      <c r="M565" s="10"/>
      <c r="N565" s="10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20"/>
    </row>
    <row r="566">
      <c r="A566" s="14"/>
      <c r="B566" s="14"/>
      <c r="C566" s="149"/>
      <c r="D566" s="150"/>
      <c r="E566" s="151"/>
      <c r="F566" s="151"/>
      <c r="G566" s="151"/>
      <c r="H566" s="10"/>
      <c r="I566" s="152"/>
      <c r="J566" s="151"/>
      <c r="K566" s="151"/>
      <c r="L566" s="10"/>
      <c r="M566" s="10"/>
      <c r="N566" s="10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20"/>
    </row>
    <row r="567">
      <c r="A567" s="14"/>
      <c r="B567" s="14"/>
      <c r="C567" s="149"/>
      <c r="D567" s="150"/>
      <c r="E567" s="151"/>
      <c r="F567" s="151"/>
      <c r="G567" s="151"/>
      <c r="H567" s="10"/>
      <c r="I567" s="152"/>
      <c r="J567" s="151"/>
      <c r="K567" s="151"/>
      <c r="L567" s="10"/>
      <c r="M567" s="10"/>
      <c r="N567" s="10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20"/>
    </row>
    <row r="568">
      <c r="A568" s="14"/>
      <c r="B568" s="14"/>
      <c r="C568" s="149"/>
      <c r="D568" s="150"/>
      <c r="E568" s="151"/>
      <c r="F568" s="151"/>
      <c r="G568" s="151"/>
      <c r="H568" s="10"/>
      <c r="I568" s="152"/>
      <c r="J568" s="151"/>
      <c r="K568" s="151"/>
      <c r="L568" s="10"/>
      <c r="M568" s="10"/>
      <c r="N568" s="10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20"/>
    </row>
    <row r="569">
      <c r="A569" s="14"/>
      <c r="B569" s="14"/>
      <c r="C569" s="149"/>
      <c r="D569" s="150"/>
      <c r="E569" s="151"/>
      <c r="F569" s="151"/>
      <c r="G569" s="151"/>
      <c r="H569" s="10"/>
      <c r="I569" s="152"/>
      <c r="J569" s="151"/>
      <c r="K569" s="151"/>
      <c r="L569" s="10"/>
      <c r="M569" s="10"/>
      <c r="N569" s="10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20"/>
    </row>
    <row r="570">
      <c r="A570" s="14"/>
      <c r="B570" s="14"/>
      <c r="C570" s="149"/>
      <c r="D570" s="150"/>
      <c r="E570" s="151"/>
      <c r="F570" s="151"/>
      <c r="G570" s="151"/>
      <c r="H570" s="10"/>
      <c r="I570" s="152"/>
      <c r="J570" s="151"/>
      <c r="K570" s="151"/>
      <c r="L570" s="10"/>
      <c r="M570" s="10"/>
      <c r="N570" s="10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20"/>
    </row>
    <row r="571">
      <c r="A571" s="14"/>
      <c r="B571" s="14"/>
      <c r="C571" s="149"/>
      <c r="D571" s="150"/>
      <c r="E571" s="151"/>
      <c r="F571" s="151"/>
      <c r="G571" s="151"/>
      <c r="H571" s="10"/>
      <c r="I571" s="152"/>
      <c r="J571" s="151"/>
      <c r="K571" s="151"/>
      <c r="L571" s="10"/>
      <c r="M571" s="10"/>
      <c r="N571" s="10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20"/>
    </row>
    <row r="572">
      <c r="A572" s="14"/>
      <c r="B572" s="14"/>
      <c r="C572" s="149"/>
      <c r="D572" s="150"/>
      <c r="E572" s="151"/>
      <c r="F572" s="151"/>
      <c r="G572" s="151"/>
      <c r="H572" s="10"/>
      <c r="I572" s="152"/>
      <c r="J572" s="151"/>
      <c r="K572" s="151"/>
      <c r="L572" s="10"/>
      <c r="M572" s="10"/>
      <c r="N572" s="10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20"/>
    </row>
    <row r="573">
      <c r="A573" s="14"/>
      <c r="B573" s="14"/>
      <c r="C573" s="149"/>
      <c r="D573" s="150"/>
      <c r="E573" s="151"/>
      <c r="F573" s="151"/>
      <c r="G573" s="151"/>
      <c r="H573" s="10"/>
      <c r="I573" s="152"/>
      <c r="J573" s="151"/>
      <c r="K573" s="151"/>
      <c r="L573" s="10"/>
      <c r="M573" s="10"/>
      <c r="N573" s="10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20"/>
    </row>
    <row r="574">
      <c r="A574" s="14"/>
      <c r="B574" s="14"/>
      <c r="C574" s="149"/>
      <c r="D574" s="150"/>
      <c r="E574" s="151"/>
      <c r="F574" s="151"/>
      <c r="G574" s="151"/>
      <c r="H574" s="10"/>
      <c r="I574" s="152"/>
      <c r="J574" s="151"/>
      <c r="K574" s="151"/>
      <c r="L574" s="10"/>
      <c r="M574" s="10"/>
      <c r="N574" s="10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20"/>
    </row>
    <row r="575">
      <c r="A575" s="14"/>
      <c r="B575" s="14"/>
      <c r="C575" s="149"/>
      <c r="D575" s="150"/>
      <c r="E575" s="151"/>
      <c r="F575" s="151"/>
      <c r="G575" s="151"/>
      <c r="H575" s="10"/>
      <c r="I575" s="152"/>
      <c r="J575" s="151"/>
      <c r="K575" s="151"/>
      <c r="L575" s="10"/>
      <c r="M575" s="10"/>
      <c r="N575" s="10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20"/>
    </row>
    <row r="576">
      <c r="A576" s="14"/>
      <c r="B576" s="14"/>
      <c r="C576" s="149"/>
      <c r="D576" s="150"/>
      <c r="E576" s="151"/>
      <c r="F576" s="151"/>
      <c r="G576" s="151"/>
      <c r="H576" s="10"/>
      <c r="I576" s="152"/>
      <c r="J576" s="151"/>
      <c r="K576" s="151"/>
      <c r="L576" s="10"/>
      <c r="M576" s="10"/>
      <c r="N576" s="10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20"/>
    </row>
    <row r="577">
      <c r="A577" s="14"/>
      <c r="B577" s="14"/>
      <c r="C577" s="149"/>
      <c r="D577" s="150"/>
      <c r="E577" s="151"/>
      <c r="F577" s="151"/>
      <c r="G577" s="151"/>
      <c r="H577" s="10"/>
      <c r="I577" s="152"/>
      <c r="J577" s="151"/>
      <c r="K577" s="151"/>
      <c r="L577" s="10"/>
      <c r="M577" s="10"/>
      <c r="N577" s="10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20"/>
    </row>
    <row r="578">
      <c r="A578" s="14"/>
      <c r="B578" s="14"/>
      <c r="C578" s="149"/>
      <c r="D578" s="150"/>
      <c r="E578" s="151"/>
      <c r="F578" s="151"/>
      <c r="G578" s="151"/>
      <c r="H578" s="10"/>
      <c r="I578" s="152"/>
      <c r="J578" s="151"/>
      <c r="K578" s="151"/>
      <c r="L578" s="10"/>
      <c r="M578" s="10"/>
      <c r="N578" s="10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20"/>
    </row>
    <row r="579">
      <c r="A579" s="14"/>
      <c r="B579" s="14"/>
      <c r="C579" s="149"/>
      <c r="D579" s="150"/>
      <c r="E579" s="151"/>
      <c r="F579" s="151"/>
      <c r="G579" s="151"/>
      <c r="H579" s="10"/>
      <c r="I579" s="152"/>
      <c r="J579" s="151"/>
      <c r="K579" s="151"/>
      <c r="L579" s="10"/>
      <c r="M579" s="10"/>
      <c r="N579" s="10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20"/>
    </row>
    <row r="580">
      <c r="A580" s="14"/>
      <c r="B580" s="14"/>
      <c r="C580" s="149"/>
      <c r="D580" s="150"/>
      <c r="E580" s="151"/>
      <c r="F580" s="151"/>
      <c r="G580" s="151"/>
      <c r="H580" s="10"/>
      <c r="I580" s="152"/>
      <c r="J580" s="151"/>
      <c r="K580" s="151"/>
      <c r="L580" s="10"/>
      <c r="M580" s="10"/>
      <c r="N580" s="10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20"/>
    </row>
    <row r="581">
      <c r="A581" s="14"/>
      <c r="B581" s="14"/>
      <c r="C581" s="149"/>
      <c r="D581" s="150"/>
      <c r="E581" s="151"/>
      <c r="F581" s="151"/>
      <c r="G581" s="151"/>
      <c r="H581" s="10"/>
      <c r="I581" s="152"/>
      <c r="J581" s="151"/>
      <c r="K581" s="151"/>
      <c r="L581" s="10"/>
      <c r="M581" s="10"/>
      <c r="N581" s="10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20"/>
    </row>
    <row r="582">
      <c r="A582" s="14"/>
      <c r="B582" s="14"/>
      <c r="C582" s="149"/>
      <c r="D582" s="150"/>
      <c r="E582" s="151"/>
      <c r="F582" s="151"/>
      <c r="G582" s="151"/>
      <c r="H582" s="10"/>
      <c r="I582" s="152"/>
      <c r="J582" s="151"/>
      <c r="K582" s="151"/>
      <c r="L582" s="10"/>
      <c r="M582" s="10"/>
      <c r="N582" s="10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20"/>
    </row>
    <row r="583">
      <c r="A583" s="14"/>
      <c r="B583" s="14"/>
      <c r="C583" s="149"/>
      <c r="D583" s="150"/>
      <c r="E583" s="151"/>
      <c r="F583" s="151"/>
      <c r="G583" s="151"/>
      <c r="H583" s="10"/>
      <c r="I583" s="152"/>
      <c r="J583" s="151"/>
      <c r="K583" s="151"/>
      <c r="L583" s="10"/>
      <c r="M583" s="10"/>
      <c r="N583" s="10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20"/>
    </row>
    <row r="584">
      <c r="A584" s="14"/>
      <c r="B584" s="14"/>
      <c r="C584" s="149"/>
      <c r="D584" s="150"/>
      <c r="E584" s="151"/>
      <c r="F584" s="151"/>
      <c r="G584" s="151"/>
      <c r="H584" s="10"/>
      <c r="I584" s="152"/>
      <c r="J584" s="151"/>
      <c r="K584" s="151"/>
      <c r="L584" s="10"/>
      <c r="M584" s="10"/>
      <c r="N584" s="10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20"/>
    </row>
    <row r="585">
      <c r="A585" s="14"/>
      <c r="B585" s="14"/>
      <c r="C585" s="149"/>
      <c r="D585" s="150"/>
      <c r="E585" s="151"/>
      <c r="F585" s="151"/>
      <c r="G585" s="151"/>
      <c r="H585" s="10"/>
      <c r="I585" s="152"/>
      <c r="J585" s="151"/>
      <c r="K585" s="151"/>
      <c r="L585" s="10"/>
      <c r="M585" s="10"/>
      <c r="N585" s="10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20"/>
    </row>
    <row r="586">
      <c r="A586" s="14"/>
      <c r="B586" s="14"/>
      <c r="C586" s="149"/>
      <c r="D586" s="150"/>
      <c r="E586" s="151"/>
      <c r="F586" s="151"/>
      <c r="G586" s="151"/>
      <c r="H586" s="10"/>
      <c r="I586" s="152"/>
      <c r="J586" s="151"/>
      <c r="K586" s="151"/>
      <c r="L586" s="10"/>
      <c r="M586" s="10"/>
      <c r="N586" s="10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20"/>
    </row>
    <row r="587">
      <c r="A587" s="14"/>
      <c r="B587" s="14"/>
      <c r="C587" s="149"/>
      <c r="D587" s="150"/>
      <c r="E587" s="151"/>
      <c r="F587" s="151"/>
      <c r="G587" s="151"/>
      <c r="H587" s="10"/>
      <c r="I587" s="152"/>
      <c r="J587" s="151"/>
      <c r="K587" s="151"/>
      <c r="L587" s="10"/>
      <c r="M587" s="10"/>
      <c r="N587" s="10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20"/>
    </row>
    <row r="588">
      <c r="A588" s="14"/>
      <c r="B588" s="14"/>
      <c r="C588" s="149"/>
      <c r="D588" s="150"/>
      <c r="E588" s="151"/>
      <c r="F588" s="151"/>
      <c r="G588" s="151"/>
      <c r="H588" s="10"/>
      <c r="I588" s="152"/>
      <c r="J588" s="151"/>
      <c r="K588" s="151"/>
      <c r="L588" s="10"/>
      <c r="M588" s="10"/>
      <c r="N588" s="10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20"/>
    </row>
    <row r="589">
      <c r="A589" s="14"/>
      <c r="B589" s="14"/>
      <c r="C589" s="149"/>
      <c r="D589" s="150"/>
      <c r="E589" s="151"/>
      <c r="F589" s="151"/>
      <c r="G589" s="151"/>
      <c r="H589" s="10"/>
      <c r="I589" s="152"/>
      <c r="J589" s="151"/>
      <c r="K589" s="151"/>
      <c r="L589" s="10"/>
      <c r="M589" s="10"/>
      <c r="N589" s="10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20"/>
    </row>
    <row r="590">
      <c r="A590" s="14"/>
      <c r="B590" s="14"/>
      <c r="C590" s="149"/>
      <c r="D590" s="150"/>
      <c r="E590" s="151"/>
      <c r="F590" s="151"/>
      <c r="G590" s="151"/>
      <c r="H590" s="10"/>
      <c r="I590" s="152"/>
      <c r="J590" s="151"/>
      <c r="K590" s="151"/>
      <c r="L590" s="10"/>
      <c r="M590" s="10"/>
      <c r="N590" s="10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20"/>
    </row>
    <row r="591">
      <c r="A591" s="14"/>
      <c r="B591" s="14"/>
      <c r="C591" s="149"/>
      <c r="D591" s="150"/>
      <c r="E591" s="151"/>
      <c r="F591" s="151"/>
      <c r="G591" s="151"/>
      <c r="H591" s="10"/>
      <c r="I591" s="152"/>
      <c r="J591" s="151"/>
      <c r="K591" s="151"/>
      <c r="L591" s="10"/>
      <c r="M591" s="10"/>
      <c r="N591" s="10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20"/>
    </row>
    <row r="592">
      <c r="A592" s="14"/>
      <c r="B592" s="14"/>
      <c r="C592" s="149"/>
      <c r="D592" s="150"/>
      <c r="E592" s="151"/>
      <c r="F592" s="151"/>
      <c r="G592" s="151"/>
      <c r="H592" s="10"/>
      <c r="I592" s="152"/>
      <c r="J592" s="151"/>
      <c r="K592" s="151"/>
      <c r="L592" s="10"/>
      <c r="M592" s="10"/>
      <c r="N592" s="10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20"/>
    </row>
    <row r="593">
      <c r="A593" s="14"/>
      <c r="B593" s="14"/>
      <c r="C593" s="149"/>
      <c r="D593" s="150"/>
      <c r="E593" s="151"/>
      <c r="F593" s="151"/>
      <c r="G593" s="151"/>
      <c r="H593" s="10"/>
      <c r="I593" s="152"/>
      <c r="J593" s="151"/>
      <c r="K593" s="151"/>
      <c r="L593" s="10"/>
      <c r="M593" s="10"/>
      <c r="N593" s="10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20"/>
    </row>
    <row r="594">
      <c r="A594" s="14"/>
      <c r="B594" s="14"/>
      <c r="C594" s="149"/>
      <c r="D594" s="150"/>
      <c r="E594" s="151"/>
      <c r="F594" s="151"/>
      <c r="G594" s="151"/>
      <c r="H594" s="10"/>
      <c r="I594" s="152"/>
      <c r="J594" s="151"/>
      <c r="K594" s="151"/>
      <c r="L594" s="10"/>
      <c r="M594" s="10"/>
      <c r="N594" s="10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20"/>
    </row>
    <row r="595">
      <c r="A595" s="14"/>
      <c r="B595" s="14"/>
      <c r="C595" s="149"/>
      <c r="D595" s="150"/>
      <c r="E595" s="151"/>
      <c r="F595" s="151"/>
      <c r="G595" s="151"/>
      <c r="H595" s="10"/>
      <c r="I595" s="152"/>
      <c r="J595" s="151"/>
      <c r="K595" s="151"/>
      <c r="L595" s="10"/>
      <c r="M595" s="10"/>
      <c r="N595" s="10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20"/>
    </row>
    <row r="596">
      <c r="A596" s="14"/>
      <c r="B596" s="14"/>
      <c r="C596" s="149"/>
      <c r="D596" s="150"/>
      <c r="E596" s="151"/>
      <c r="F596" s="151"/>
      <c r="G596" s="151"/>
      <c r="H596" s="10"/>
      <c r="I596" s="152"/>
      <c r="J596" s="151"/>
      <c r="K596" s="151"/>
      <c r="L596" s="10"/>
      <c r="M596" s="10"/>
      <c r="N596" s="10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20"/>
    </row>
    <row r="597">
      <c r="A597" s="14"/>
      <c r="B597" s="14"/>
      <c r="C597" s="149"/>
      <c r="D597" s="150"/>
      <c r="E597" s="151"/>
      <c r="F597" s="151"/>
      <c r="G597" s="151"/>
      <c r="H597" s="10"/>
      <c r="I597" s="152"/>
      <c r="J597" s="151"/>
      <c r="K597" s="151"/>
      <c r="L597" s="10"/>
      <c r="M597" s="10"/>
      <c r="N597" s="10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20"/>
    </row>
    <row r="598">
      <c r="A598" s="14"/>
      <c r="B598" s="14"/>
      <c r="C598" s="149"/>
      <c r="D598" s="150"/>
      <c r="E598" s="151"/>
      <c r="F598" s="151"/>
      <c r="G598" s="151"/>
      <c r="H598" s="10"/>
      <c r="I598" s="152"/>
      <c r="J598" s="151"/>
      <c r="K598" s="151"/>
      <c r="L598" s="10"/>
      <c r="M598" s="10"/>
      <c r="N598" s="10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20"/>
    </row>
    <row r="599">
      <c r="A599" s="14"/>
      <c r="B599" s="14"/>
      <c r="C599" s="149"/>
      <c r="D599" s="150"/>
      <c r="E599" s="151"/>
      <c r="F599" s="151"/>
      <c r="G599" s="151"/>
      <c r="H599" s="10"/>
      <c r="I599" s="152"/>
      <c r="J599" s="151"/>
      <c r="K599" s="151"/>
      <c r="L599" s="10"/>
      <c r="M599" s="10"/>
      <c r="N599" s="10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20"/>
    </row>
    <row r="600">
      <c r="A600" s="14"/>
      <c r="B600" s="14"/>
      <c r="C600" s="149"/>
      <c r="D600" s="150"/>
      <c r="E600" s="151"/>
      <c r="F600" s="151"/>
      <c r="G600" s="151"/>
      <c r="H600" s="10"/>
      <c r="I600" s="152"/>
      <c r="J600" s="151"/>
      <c r="K600" s="151"/>
      <c r="L600" s="10"/>
      <c r="M600" s="10"/>
      <c r="N600" s="10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20"/>
    </row>
    <row r="601">
      <c r="A601" s="14"/>
      <c r="B601" s="14"/>
      <c r="C601" s="149"/>
      <c r="D601" s="150"/>
      <c r="E601" s="151"/>
      <c r="F601" s="151"/>
      <c r="G601" s="151"/>
      <c r="H601" s="10"/>
      <c r="I601" s="152"/>
      <c r="J601" s="151"/>
      <c r="K601" s="151"/>
      <c r="L601" s="10"/>
      <c r="M601" s="10"/>
      <c r="N601" s="10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20"/>
    </row>
    <row r="602">
      <c r="A602" s="14"/>
      <c r="B602" s="14"/>
      <c r="C602" s="149"/>
      <c r="D602" s="150"/>
      <c r="E602" s="151"/>
      <c r="F602" s="151"/>
      <c r="G602" s="151"/>
      <c r="H602" s="10"/>
      <c r="I602" s="152"/>
      <c r="J602" s="151"/>
      <c r="K602" s="151"/>
      <c r="L602" s="10"/>
      <c r="M602" s="10"/>
      <c r="N602" s="10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20"/>
    </row>
    <row r="603">
      <c r="A603" s="14"/>
      <c r="B603" s="14"/>
      <c r="C603" s="149"/>
      <c r="D603" s="150"/>
      <c r="E603" s="151"/>
      <c r="F603" s="151"/>
      <c r="G603" s="151"/>
      <c r="H603" s="10"/>
      <c r="I603" s="152"/>
      <c r="J603" s="151"/>
      <c r="K603" s="151"/>
      <c r="L603" s="10"/>
      <c r="M603" s="10"/>
      <c r="N603" s="10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20"/>
    </row>
    <row r="604">
      <c r="A604" s="14"/>
      <c r="B604" s="14"/>
      <c r="C604" s="149"/>
      <c r="D604" s="150"/>
      <c r="E604" s="151"/>
      <c r="F604" s="151"/>
      <c r="G604" s="151"/>
      <c r="H604" s="10"/>
      <c r="I604" s="152"/>
      <c r="J604" s="151"/>
      <c r="K604" s="151"/>
      <c r="L604" s="10"/>
      <c r="M604" s="10"/>
      <c r="N604" s="10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20"/>
    </row>
    <row r="605">
      <c r="A605" s="14"/>
      <c r="B605" s="14"/>
      <c r="C605" s="149"/>
      <c r="D605" s="150"/>
      <c r="E605" s="151"/>
      <c r="F605" s="151"/>
      <c r="G605" s="151"/>
      <c r="H605" s="10"/>
      <c r="I605" s="152"/>
      <c r="J605" s="151"/>
      <c r="K605" s="151"/>
      <c r="L605" s="10"/>
      <c r="M605" s="10"/>
      <c r="N605" s="10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20"/>
    </row>
    <row r="606">
      <c r="A606" s="14"/>
      <c r="B606" s="14"/>
      <c r="C606" s="149"/>
      <c r="D606" s="150"/>
      <c r="E606" s="151"/>
      <c r="F606" s="151"/>
      <c r="G606" s="151"/>
      <c r="H606" s="10"/>
      <c r="I606" s="152"/>
      <c r="J606" s="151"/>
      <c r="K606" s="151"/>
      <c r="L606" s="10"/>
      <c r="M606" s="10"/>
      <c r="N606" s="10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20"/>
    </row>
    <row r="607">
      <c r="A607" s="14"/>
      <c r="B607" s="14"/>
      <c r="C607" s="149"/>
      <c r="D607" s="150"/>
      <c r="E607" s="151"/>
      <c r="F607" s="151"/>
      <c r="G607" s="151"/>
      <c r="H607" s="10"/>
      <c r="I607" s="152"/>
      <c r="J607" s="151"/>
      <c r="K607" s="151"/>
      <c r="L607" s="10"/>
      <c r="M607" s="10"/>
      <c r="N607" s="10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20"/>
    </row>
    <row r="608">
      <c r="A608" s="14"/>
      <c r="B608" s="14"/>
      <c r="C608" s="149"/>
      <c r="D608" s="150"/>
      <c r="E608" s="151"/>
      <c r="F608" s="151"/>
      <c r="G608" s="151"/>
      <c r="H608" s="10"/>
      <c r="I608" s="152"/>
      <c r="J608" s="151"/>
      <c r="K608" s="151"/>
      <c r="L608" s="10"/>
      <c r="M608" s="10"/>
      <c r="N608" s="10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20"/>
    </row>
    <row r="609">
      <c r="A609" s="14"/>
      <c r="B609" s="14"/>
      <c r="C609" s="149"/>
      <c r="D609" s="150"/>
      <c r="E609" s="151"/>
      <c r="F609" s="151"/>
      <c r="G609" s="151"/>
      <c r="H609" s="10"/>
      <c r="I609" s="152"/>
      <c r="J609" s="151"/>
      <c r="K609" s="151"/>
      <c r="L609" s="10"/>
      <c r="M609" s="10"/>
      <c r="N609" s="10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20"/>
    </row>
    <row r="610">
      <c r="A610" s="14"/>
      <c r="B610" s="14"/>
      <c r="C610" s="149"/>
      <c r="D610" s="150"/>
      <c r="E610" s="151"/>
      <c r="F610" s="151"/>
      <c r="G610" s="151"/>
      <c r="H610" s="10"/>
      <c r="I610" s="152"/>
      <c r="J610" s="151"/>
      <c r="K610" s="151"/>
      <c r="L610" s="10"/>
      <c r="M610" s="10"/>
      <c r="N610" s="10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20"/>
    </row>
    <row r="611">
      <c r="A611" s="14"/>
      <c r="B611" s="14"/>
      <c r="C611" s="149"/>
      <c r="D611" s="150"/>
      <c r="E611" s="151"/>
      <c r="F611" s="151"/>
      <c r="G611" s="151"/>
      <c r="H611" s="10"/>
      <c r="I611" s="152"/>
      <c r="J611" s="151"/>
      <c r="K611" s="151"/>
      <c r="L611" s="10"/>
      <c r="M611" s="10"/>
      <c r="N611" s="10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20"/>
    </row>
    <row r="612">
      <c r="A612" s="14"/>
      <c r="B612" s="14"/>
      <c r="C612" s="149"/>
      <c r="D612" s="150"/>
      <c r="E612" s="151"/>
      <c r="F612" s="151"/>
      <c r="G612" s="151"/>
      <c r="H612" s="10"/>
      <c r="I612" s="152"/>
      <c r="J612" s="151"/>
      <c r="K612" s="151"/>
      <c r="L612" s="10"/>
      <c r="M612" s="10"/>
      <c r="N612" s="10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20"/>
    </row>
    <row r="613">
      <c r="A613" s="14"/>
      <c r="B613" s="14"/>
      <c r="C613" s="149"/>
      <c r="D613" s="150"/>
      <c r="E613" s="151"/>
      <c r="F613" s="151"/>
      <c r="G613" s="151"/>
      <c r="H613" s="10"/>
      <c r="I613" s="152"/>
      <c r="J613" s="151"/>
      <c r="K613" s="151"/>
      <c r="L613" s="10"/>
      <c r="M613" s="10"/>
      <c r="N613" s="10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20"/>
    </row>
    <row r="614">
      <c r="A614" s="14"/>
      <c r="B614" s="14"/>
      <c r="C614" s="149"/>
      <c r="D614" s="150"/>
      <c r="E614" s="151"/>
      <c r="F614" s="151"/>
      <c r="G614" s="151"/>
      <c r="H614" s="10"/>
      <c r="I614" s="152"/>
      <c r="J614" s="151"/>
      <c r="K614" s="151"/>
      <c r="L614" s="10"/>
      <c r="M614" s="10"/>
      <c r="N614" s="10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20"/>
    </row>
    <row r="615">
      <c r="A615" s="14"/>
      <c r="B615" s="14"/>
      <c r="C615" s="149"/>
      <c r="D615" s="150"/>
      <c r="E615" s="151"/>
      <c r="F615" s="151"/>
      <c r="G615" s="151"/>
      <c r="H615" s="10"/>
      <c r="I615" s="152"/>
      <c r="J615" s="151"/>
      <c r="K615" s="151"/>
      <c r="L615" s="10"/>
      <c r="M615" s="10"/>
      <c r="N615" s="10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20"/>
    </row>
    <row r="616">
      <c r="A616" s="14"/>
      <c r="B616" s="14"/>
      <c r="C616" s="149"/>
      <c r="D616" s="150"/>
      <c r="E616" s="151"/>
      <c r="F616" s="151"/>
      <c r="G616" s="151"/>
      <c r="H616" s="10"/>
      <c r="I616" s="152"/>
      <c r="J616" s="151"/>
      <c r="K616" s="151"/>
      <c r="L616" s="10"/>
      <c r="M616" s="10"/>
      <c r="N616" s="10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20"/>
    </row>
    <row r="617">
      <c r="A617" s="14"/>
      <c r="B617" s="14"/>
      <c r="C617" s="149"/>
      <c r="D617" s="150"/>
      <c r="E617" s="151"/>
      <c r="F617" s="151"/>
      <c r="G617" s="151"/>
      <c r="H617" s="10"/>
      <c r="I617" s="152"/>
      <c r="J617" s="151"/>
      <c r="K617" s="151"/>
      <c r="L617" s="10"/>
      <c r="M617" s="10"/>
      <c r="N617" s="10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20"/>
    </row>
    <row r="618">
      <c r="A618" s="14"/>
      <c r="B618" s="14"/>
      <c r="C618" s="149"/>
      <c r="D618" s="150"/>
      <c r="E618" s="151"/>
      <c r="F618" s="151"/>
      <c r="G618" s="151"/>
      <c r="H618" s="10"/>
      <c r="I618" s="152"/>
      <c r="J618" s="151"/>
      <c r="K618" s="151"/>
      <c r="L618" s="10"/>
      <c r="M618" s="10"/>
      <c r="N618" s="10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20"/>
    </row>
    <row r="619">
      <c r="A619" s="14"/>
      <c r="B619" s="14"/>
      <c r="C619" s="149"/>
      <c r="D619" s="150"/>
      <c r="E619" s="151"/>
      <c r="F619" s="151"/>
      <c r="G619" s="151"/>
      <c r="H619" s="10"/>
      <c r="I619" s="152"/>
      <c r="J619" s="151"/>
      <c r="K619" s="151"/>
      <c r="L619" s="10"/>
      <c r="M619" s="10"/>
      <c r="N619" s="10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20"/>
    </row>
    <row r="620">
      <c r="A620" s="14"/>
      <c r="B620" s="14"/>
      <c r="C620" s="149"/>
      <c r="D620" s="150"/>
      <c r="E620" s="151"/>
      <c r="F620" s="151"/>
      <c r="G620" s="151"/>
      <c r="H620" s="10"/>
      <c r="I620" s="152"/>
      <c r="J620" s="151"/>
      <c r="K620" s="151"/>
      <c r="L620" s="10"/>
      <c r="M620" s="10"/>
      <c r="N620" s="10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20"/>
    </row>
    <row r="621">
      <c r="A621" s="14"/>
      <c r="B621" s="14"/>
      <c r="C621" s="149"/>
      <c r="D621" s="150"/>
      <c r="E621" s="151"/>
      <c r="F621" s="151"/>
      <c r="G621" s="151"/>
      <c r="H621" s="10"/>
      <c r="I621" s="152"/>
      <c r="J621" s="151"/>
      <c r="K621" s="151"/>
      <c r="L621" s="10"/>
      <c r="M621" s="10"/>
      <c r="N621" s="10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20"/>
    </row>
    <row r="622">
      <c r="A622" s="14"/>
      <c r="B622" s="14"/>
      <c r="C622" s="149"/>
      <c r="D622" s="150"/>
      <c r="E622" s="151"/>
      <c r="F622" s="151"/>
      <c r="G622" s="151"/>
      <c r="H622" s="10"/>
      <c r="I622" s="152"/>
      <c r="J622" s="151"/>
      <c r="K622" s="151"/>
      <c r="L622" s="10"/>
      <c r="M622" s="10"/>
      <c r="N622" s="10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20"/>
    </row>
    <row r="623">
      <c r="A623" s="14"/>
      <c r="B623" s="14"/>
      <c r="C623" s="149"/>
      <c r="D623" s="150"/>
      <c r="E623" s="151"/>
      <c r="F623" s="151"/>
      <c r="G623" s="151"/>
      <c r="H623" s="10"/>
      <c r="I623" s="152"/>
      <c r="J623" s="151"/>
      <c r="K623" s="151"/>
      <c r="L623" s="10"/>
      <c r="M623" s="10"/>
      <c r="N623" s="10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20"/>
    </row>
    <row r="624">
      <c r="A624" s="14"/>
      <c r="B624" s="14"/>
      <c r="C624" s="149"/>
      <c r="D624" s="150"/>
      <c r="E624" s="151"/>
      <c r="F624" s="151"/>
      <c r="G624" s="151"/>
      <c r="H624" s="10"/>
      <c r="I624" s="152"/>
      <c r="J624" s="151"/>
      <c r="K624" s="151"/>
      <c r="L624" s="10"/>
      <c r="M624" s="10"/>
      <c r="N624" s="10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20"/>
    </row>
    <row r="625">
      <c r="A625" s="14"/>
      <c r="B625" s="14"/>
      <c r="C625" s="149"/>
      <c r="D625" s="150"/>
      <c r="E625" s="151"/>
      <c r="F625" s="151"/>
      <c r="G625" s="151"/>
      <c r="H625" s="10"/>
      <c r="I625" s="152"/>
      <c r="J625" s="151"/>
      <c r="K625" s="151"/>
      <c r="L625" s="10"/>
      <c r="M625" s="10"/>
      <c r="N625" s="10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20"/>
    </row>
    <row r="626">
      <c r="A626" s="14"/>
      <c r="B626" s="14"/>
      <c r="C626" s="149"/>
      <c r="D626" s="150"/>
      <c r="E626" s="151"/>
      <c r="F626" s="151"/>
      <c r="G626" s="151"/>
      <c r="H626" s="10"/>
      <c r="I626" s="152"/>
      <c r="J626" s="151"/>
      <c r="K626" s="151"/>
      <c r="L626" s="10"/>
      <c r="M626" s="10"/>
      <c r="N626" s="10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20"/>
    </row>
    <row r="627">
      <c r="A627" s="14"/>
      <c r="B627" s="14"/>
      <c r="C627" s="149"/>
      <c r="D627" s="150"/>
      <c r="E627" s="151"/>
      <c r="F627" s="151"/>
      <c r="G627" s="151"/>
      <c r="H627" s="10"/>
      <c r="I627" s="152"/>
      <c r="J627" s="151"/>
      <c r="K627" s="151"/>
      <c r="L627" s="10"/>
      <c r="M627" s="10"/>
      <c r="N627" s="10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20"/>
    </row>
    <row r="628">
      <c r="A628" s="14"/>
      <c r="B628" s="14"/>
      <c r="C628" s="149"/>
      <c r="D628" s="150"/>
      <c r="E628" s="151"/>
      <c r="F628" s="151"/>
      <c r="G628" s="151"/>
      <c r="H628" s="10"/>
      <c r="I628" s="152"/>
      <c r="J628" s="151"/>
      <c r="K628" s="151"/>
      <c r="L628" s="10"/>
      <c r="M628" s="10"/>
      <c r="N628" s="10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20"/>
    </row>
    <row r="629">
      <c r="A629" s="14"/>
      <c r="B629" s="14"/>
      <c r="C629" s="149"/>
      <c r="D629" s="150"/>
      <c r="E629" s="151"/>
      <c r="F629" s="151"/>
      <c r="G629" s="151"/>
      <c r="H629" s="10"/>
      <c r="I629" s="152"/>
      <c r="J629" s="151"/>
      <c r="K629" s="151"/>
      <c r="L629" s="10"/>
      <c r="M629" s="10"/>
      <c r="N629" s="10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20"/>
    </row>
    <row r="630">
      <c r="A630" s="14"/>
      <c r="B630" s="14"/>
      <c r="C630" s="149"/>
      <c r="D630" s="150"/>
      <c r="E630" s="151"/>
      <c r="F630" s="151"/>
      <c r="G630" s="151"/>
      <c r="H630" s="10"/>
      <c r="I630" s="152"/>
      <c r="J630" s="151"/>
      <c r="K630" s="151"/>
      <c r="L630" s="10"/>
      <c r="M630" s="10"/>
      <c r="N630" s="10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20"/>
    </row>
    <row r="631">
      <c r="A631" s="14"/>
      <c r="B631" s="14"/>
      <c r="C631" s="149"/>
      <c r="D631" s="150"/>
      <c r="E631" s="151"/>
      <c r="F631" s="151"/>
      <c r="G631" s="151"/>
      <c r="H631" s="10"/>
      <c r="I631" s="152"/>
      <c r="J631" s="151"/>
      <c r="K631" s="151"/>
      <c r="L631" s="10"/>
      <c r="M631" s="10"/>
      <c r="N631" s="10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20"/>
    </row>
    <row r="632">
      <c r="A632" s="14"/>
      <c r="B632" s="14"/>
      <c r="C632" s="149"/>
      <c r="D632" s="150"/>
      <c r="E632" s="151"/>
      <c r="F632" s="151"/>
      <c r="G632" s="151"/>
      <c r="H632" s="10"/>
      <c r="I632" s="152"/>
      <c r="J632" s="151"/>
      <c r="K632" s="151"/>
      <c r="L632" s="10"/>
      <c r="M632" s="10"/>
      <c r="N632" s="10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20"/>
    </row>
    <row r="633">
      <c r="A633" s="14"/>
      <c r="B633" s="14"/>
      <c r="C633" s="149"/>
      <c r="D633" s="150"/>
      <c r="E633" s="151"/>
      <c r="F633" s="151"/>
      <c r="G633" s="151"/>
      <c r="H633" s="10"/>
      <c r="I633" s="152"/>
      <c r="J633" s="151"/>
      <c r="K633" s="151"/>
      <c r="L633" s="10"/>
      <c r="M633" s="10"/>
      <c r="N633" s="10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20"/>
    </row>
    <row r="634">
      <c r="A634" s="14"/>
      <c r="B634" s="14"/>
      <c r="C634" s="149"/>
      <c r="D634" s="150"/>
      <c r="E634" s="151"/>
      <c r="F634" s="151"/>
      <c r="G634" s="151"/>
      <c r="H634" s="10"/>
      <c r="I634" s="152"/>
      <c r="J634" s="151"/>
      <c r="K634" s="151"/>
      <c r="L634" s="10"/>
      <c r="M634" s="10"/>
      <c r="N634" s="10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20"/>
    </row>
    <row r="635">
      <c r="A635" s="14"/>
      <c r="B635" s="14"/>
      <c r="C635" s="149"/>
      <c r="D635" s="150"/>
      <c r="E635" s="151"/>
      <c r="F635" s="151"/>
      <c r="G635" s="151"/>
      <c r="H635" s="10"/>
      <c r="I635" s="152"/>
      <c r="J635" s="151"/>
      <c r="K635" s="151"/>
      <c r="L635" s="10"/>
      <c r="M635" s="10"/>
      <c r="N635" s="10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20"/>
    </row>
    <row r="636">
      <c r="A636" s="14"/>
      <c r="B636" s="14"/>
      <c r="C636" s="149"/>
      <c r="D636" s="150"/>
      <c r="E636" s="151"/>
      <c r="F636" s="151"/>
      <c r="G636" s="151"/>
      <c r="H636" s="10"/>
      <c r="I636" s="152"/>
      <c r="J636" s="151"/>
      <c r="K636" s="151"/>
      <c r="L636" s="10"/>
      <c r="M636" s="10"/>
      <c r="N636" s="10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20"/>
    </row>
    <row r="637">
      <c r="A637" s="14"/>
      <c r="B637" s="14"/>
      <c r="C637" s="149"/>
      <c r="D637" s="150"/>
      <c r="E637" s="151"/>
      <c r="F637" s="151"/>
      <c r="G637" s="151"/>
      <c r="H637" s="10"/>
      <c r="I637" s="152"/>
      <c r="J637" s="151"/>
      <c r="K637" s="151"/>
      <c r="L637" s="10"/>
      <c r="M637" s="10"/>
      <c r="N637" s="10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20"/>
    </row>
    <row r="638">
      <c r="A638" s="14"/>
      <c r="B638" s="14"/>
      <c r="C638" s="149"/>
      <c r="D638" s="150"/>
      <c r="E638" s="151"/>
      <c r="F638" s="151"/>
      <c r="G638" s="151"/>
      <c r="H638" s="10"/>
      <c r="I638" s="152"/>
      <c r="J638" s="151"/>
      <c r="K638" s="151"/>
      <c r="L638" s="10"/>
      <c r="M638" s="10"/>
      <c r="N638" s="10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20"/>
    </row>
    <row r="639">
      <c r="A639" s="14"/>
      <c r="B639" s="14"/>
      <c r="C639" s="149"/>
      <c r="D639" s="150"/>
      <c r="E639" s="151"/>
      <c r="F639" s="151"/>
      <c r="G639" s="151"/>
      <c r="H639" s="10"/>
      <c r="I639" s="152"/>
      <c r="J639" s="151"/>
      <c r="K639" s="151"/>
      <c r="L639" s="10"/>
      <c r="M639" s="10"/>
      <c r="N639" s="10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20"/>
    </row>
    <row r="640">
      <c r="A640" s="14"/>
      <c r="B640" s="14"/>
      <c r="C640" s="149"/>
      <c r="D640" s="150"/>
      <c r="E640" s="151"/>
      <c r="F640" s="151"/>
      <c r="G640" s="151"/>
      <c r="H640" s="10"/>
      <c r="I640" s="152"/>
      <c r="J640" s="151"/>
      <c r="K640" s="151"/>
      <c r="L640" s="10"/>
      <c r="M640" s="10"/>
      <c r="N640" s="10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20"/>
    </row>
    <row r="641">
      <c r="A641" s="14"/>
      <c r="B641" s="14"/>
      <c r="C641" s="149"/>
      <c r="D641" s="150"/>
      <c r="E641" s="151"/>
      <c r="F641" s="151"/>
      <c r="G641" s="151"/>
      <c r="H641" s="10"/>
      <c r="I641" s="152"/>
      <c r="J641" s="151"/>
      <c r="K641" s="151"/>
      <c r="L641" s="10"/>
      <c r="M641" s="10"/>
      <c r="N641" s="10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20"/>
    </row>
    <row r="642">
      <c r="A642" s="14"/>
      <c r="B642" s="14"/>
      <c r="C642" s="149"/>
      <c r="D642" s="150"/>
      <c r="E642" s="151"/>
      <c r="F642" s="151"/>
      <c r="G642" s="151"/>
      <c r="H642" s="10"/>
      <c r="I642" s="152"/>
      <c r="J642" s="151"/>
      <c r="K642" s="151"/>
      <c r="L642" s="10"/>
      <c r="M642" s="10"/>
      <c r="N642" s="10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20"/>
    </row>
    <row r="643">
      <c r="A643" s="14"/>
      <c r="B643" s="14"/>
      <c r="C643" s="149"/>
      <c r="D643" s="150"/>
      <c r="E643" s="151"/>
      <c r="F643" s="151"/>
      <c r="G643" s="151"/>
      <c r="H643" s="10"/>
      <c r="I643" s="152"/>
      <c r="J643" s="151"/>
      <c r="K643" s="151"/>
      <c r="L643" s="10"/>
      <c r="M643" s="10"/>
      <c r="N643" s="10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20"/>
    </row>
    <row r="644">
      <c r="A644" s="14"/>
      <c r="B644" s="14"/>
      <c r="C644" s="149"/>
      <c r="D644" s="150"/>
      <c r="E644" s="151"/>
      <c r="F644" s="151"/>
      <c r="G644" s="151"/>
      <c r="H644" s="10"/>
      <c r="I644" s="152"/>
      <c r="J644" s="151"/>
      <c r="K644" s="151"/>
      <c r="L644" s="10"/>
      <c r="M644" s="10"/>
      <c r="N644" s="10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20"/>
    </row>
    <row r="645">
      <c r="A645" s="14"/>
      <c r="B645" s="14"/>
      <c r="C645" s="149"/>
      <c r="D645" s="150"/>
      <c r="E645" s="151"/>
      <c r="F645" s="151"/>
      <c r="G645" s="151"/>
      <c r="H645" s="10"/>
      <c r="I645" s="152"/>
      <c r="J645" s="151"/>
      <c r="K645" s="151"/>
      <c r="L645" s="10"/>
      <c r="M645" s="10"/>
      <c r="N645" s="10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20"/>
    </row>
    <row r="646">
      <c r="A646" s="14"/>
      <c r="B646" s="14"/>
      <c r="C646" s="149"/>
      <c r="D646" s="150"/>
      <c r="E646" s="151"/>
      <c r="F646" s="151"/>
      <c r="G646" s="151"/>
      <c r="H646" s="10"/>
      <c r="I646" s="152"/>
      <c r="J646" s="151"/>
      <c r="K646" s="151"/>
      <c r="L646" s="10"/>
      <c r="M646" s="10"/>
      <c r="N646" s="10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20"/>
    </row>
    <row r="647">
      <c r="A647" s="14"/>
      <c r="B647" s="14"/>
      <c r="C647" s="149"/>
      <c r="D647" s="150"/>
      <c r="E647" s="151"/>
      <c r="F647" s="151"/>
      <c r="G647" s="151"/>
      <c r="H647" s="10"/>
      <c r="I647" s="152"/>
      <c r="J647" s="151"/>
      <c r="K647" s="151"/>
      <c r="L647" s="10"/>
      <c r="M647" s="10"/>
      <c r="N647" s="10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20"/>
    </row>
    <row r="648">
      <c r="A648" s="14"/>
      <c r="B648" s="14"/>
      <c r="C648" s="149"/>
      <c r="D648" s="150"/>
      <c r="E648" s="151"/>
      <c r="F648" s="151"/>
      <c r="G648" s="151"/>
      <c r="H648" s="10"/>
      <c r="I648" s="152"/>
      <c r="J648" s="151"/>
      <c r="K648" s="151"/>
      <c r="L648" s="10"/>
      <c r="M648" s="10"/>
      <c r="N648" s="10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20"/>
    </row>
    <row r="649">
      <c r="A649" s="14"/>
      <c r="B649" s="14"/>
      <c r="C649" s="149"/>
      <c r="D649" s="150"/>
      <c r="E649" s="151"/>
      <c r="F649" s="151"/>
      <c r="G649" s="151"/>
      <c r="H649" s="10"/>
      <c r="I649" s="152"/>
      <c r="J649" s="151"/>
      <c r="K649" s="151"/>
      <c r="L649" s="10"/>
      <c r="M649" s="10"/>
      <c r="N649" s="10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20"/>
    </row>
    <row r="650">
      <c r="A650" s="14"/>
      <c r="B650" s="14"/>
      <c r="C650" s="149"/>
      <c r="D650" s="150"/>
      <c r="E650" s="151"/>
      <c r="F650" s="151"/>
      <c r="G650" s="151"/>
      <c r="H650" s="10"/>
      <c r="I650" s="152"/>
      <c r="J650" s="151"/>
      <c r="K650" s="151"/>
      <c r="L650" s="10"/>
      <c r="M650" s="10"/>
      <c r="N650" s="10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20"/>
    </row>
    <row r="651">
      <c r="A651" s="14"/>
      <c r="B651" s="14"/>
      <c r="C651" s="149"/>
      <c r="D651" s="150"/>
      <c r="E651" s="151"/>
      <c r="F651" s="151"/>
      <c r="G651" s="151"/>
      <c r="H651" s="10"/>
      <c r="I651" s="152"/>
      <c r="J651" s="151"/>
      <c r="K651" s="151"/>
      <c r="L651" s="10"/>
      <c r="M651" s="10"/>
      <c r="N651" s="10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20"/>
    </row>
    <row r="652">
      <c r="A652" s="14"/>
      <c r="B652" s="14"/>
      <c r="C652" s="149"/>
      <c r="D652" s="150"/>
      <c r="E652" s="151"/>
      <c r="F652" s="151"/>
      <c r="G652" s="151"/>
      <c r="H652" s="10"/>
      <c r="I652" s="152"/>
      <c r="J652" s="151"/>
      <c r="K652" s="151"/>
      <c r="L652" s="10"/>
      <c r="M652" s="10"/>
      <c r="N652" s="10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20"/>
    </row>
    <row r="653">
      <c r="A653" s="14"/>
      <c r="B653" s="14"/>
      <c r="C653" s="149"/>
      <c r="D653" s="150"/>
      <c r="E653" s="151"/>
      <c r="F653" s="151"/>
      <c r="G653" s="151"/>
      <c r="H653" s="10"/>
      <c r="I653" s="152"/>
      <c r="J653" s="151"/>
      <c r="K653" s="151"/>
      <c r="L653" s="10"/>
      <c r="M653" s="10"/>
      <c r="N653" s="10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20"/>
    </row>
    <row r="654">
      <c r="A654" s="14"/>
      <c r="B654" s="14"/>
      <c r="C654" s="149"/>
      <c r="D654" s="150"/>
      <c r="E654" s="151"/>
      <c r="F654" s="151"/>
      <c r="G654" s="151"/>
      <c r="H654" s="10"/>
      <c r="I654" s="152"/>
      <c r="J654" s="151"/>
      <c r="K654" s="151"/>
      <c r="L654" s="10"/>
      <c r="M654" s="10"/>
      <c r="N654" s="10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20"/>
    </row>
    <row r="655">
      <c r="A655" s="14"/>
      <c r="B655" s="14"/>
      <c r="C655" s="149"/>
      <c r="D655" s="150"/>
      <c r="E655" s="151"/>
      <c r="F655" s="151"/>
      <c r="G655" s="151"/>
      <c r="H655" s="10"/>
      <c r="I655" s="152"/>
      <c r="J655" s="151"/>
      <c r="K655" s="151"/>
      <c r="L655" s="10"/>
      <c r="M655" s="10"/>
      <c r="N655" s="10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20"/>
    </row>
    <row r="656">
      <c r="A656" s="14"/>
      <c r="B656" s="14"/>
      <c r="C656" s="149"/>
      <c r="D656" s="150"/>
      <c r="E656" s="151"/>
      <c r="F656" s="151"/>
      <c r="G656" s="151"/>
      <c r="H656" s="10"/>
      <c r="I656" s="152"/>
      <c r="J656" s="151"/>
      <c r="K656" s="151"/>
      <c r="L656" s="10"/>
      <c r="M656" s="10"/>
      <c r="N656" s="10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20"/>
    </row>
    <row r="657">
      <c r="A657" s="14"/>
      <c r="B657" s="14"/>
      <c r="C657" s="149"/>
      <c r="D657" s="150"/>
      <c r="E657" s="151"/>
      <c r="F657" s="151"/>
      <c r="G657" s="151"/>
      <c r="H657" s="10"/>
      <c r="I657" s="152"/>
      <c r="J657" s="151"/>
      <c r="K657" s="151"/>
      <c r="L657" s="10"/>
      <c r="M657" s="10"/>
      <c r="N657" s="10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20"/>
    </row>
    <row r="658">
      <c r="A658" s="14"/>
      <c r="B658" s="14"/>
      <c r="C658" s="149"/>
      <c r="D658" s="150"/>
      <c r="E658" s="151"/>
      <c r="F658" s="151"/>
      <c r="G658" s="151"/>
      <c r="H658" s="10"/>
      <c r="I658" s="152"/>
      <c r="J658" s="151"/>
      <c r="K658" s="151"/>
      <c r="L658" s="10"/>
      <c r="M658" s="10"/>
      <c r="N658" s="10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20"/>
    </row>
    <row r="659">
      <c r="A659" s="14"/>
      <c r="B659" s="14"/>
      <c r="C659" s="149"/>
      <c r="D659" s="150"/>
      <c r="E659" s="151"/>
      <c r="F659" s="151"/>
      <c r="G659" s="151"/>
      <c r="H659" s="10"/>
      <c r="I659" s="152"/>
      <c r="J659" s="151"/>
      <c r="K659" s="151"/>
      <c r="L659" s="10"/>
      <c r="M659" s="10"/>
      <c r="N659" s="10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20"/>
    </row>
    <row r="660">
      <c r="A660" s="14"/>
      <c r="B660" s="14"/>
      <c r="C660" s="149"/>
      <c r="D660" s="150"/>
      <c r="E660" s="151"/>
      <c r="F660" s="151"/>
      <c r="G660" s="151"/>
      <c r="H660" s="10"/>
      <c r="I660" s="152"/>
      <c r="J660" s="151"/>
      <c r="K660" s="151"/>
      <c r="L660" s="10"/>
      <c r="M660" s="10"/>
      <c r="N660" s="10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20"/>
    </row>
    <row r="661">
      <c r="A661" s="14"/>
      <c r="B661" s="14"/>
      <c r="C661" s="149"/>
      <c r="D661" s="150"/>
      <c r="E661" s="151"/>
      <c r="F661" s="151"/>
      <c r="G661" s="151"/>
      <c r="H661" s="10"/>
      <c r="I661" s="152"/>
      <c r="J661" s="151"/>
      <c r="K661" s="151"/>
      <c r="L661" s="10"/>
      <c r="M661" s="10"/>
      <c r="N661" s="10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20"/>
    </row>
    <row r="662">
      <c r="A662" s="14"/>
      <c r="B662" s="14"/>
      <c r="C662" s="149"/>
      <c r="D662" s="150"/>
      <c r="E662" s="151"/>
      <c r="F662" s="151"/>
      <c r="G662" s="151"/>
      <c r="H662" s="10"/>
      <c r="I662" s="152"/>
      <c r="J662" s="151"/>
      <c r="K662" s="151"/>
      <c r="L662" s="10"/>
      <c r="M662" s="10"/>
      <c r="N662" s="10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20"/>
    </row>
    <row r="663">
      <c r="A663" s="14"/>
      <c r="B663" s="14"/>
      <c r="C663" s="149"/>
      <c r="D663" s="150"/>
      <c r="E663" s="151"/>
      <c r="F663" s="151"/>
      <c r="G663" s="151"/>
      <c r="H663" s="10"/>
      <c r="I663" s="152"/>
      <c r="J663" s="151"/>
      <c r="K663" s="151"/>
      <c r="L663" s="10"/>
      <c r="M663" s="10"/>
      <c r="N663" s="10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20"/>
    </row>
    <row r="664">
      <c r="A664" s="14"/>
      <c r="B664" s="14"/>
      <c r="C664" s="149"/>
      <c r="D664" s="150"/>
      <c r="E664" s="151"/>
      <c r="F664" s="151"/>
      <c r="G664" s="151"/>
      <c r="H664" s="10"/>
      <c r="I664" s="152"/>
      <c r="J664" s="151"/>
      <c r="K664" s="151"/>
      <c r="L664" s="10"/>
      <c r="M664" s="10"/>
      <c r="N664" s="10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20"/>
    </row>
    <row r="665">
      <c r="A665" s="14"/>
      <c r="B665" s="14"/>
      <c r="C665" s="149"/>
      <c r="D665" s="150"/>
      <c r="E665" s="151"/>
      <c r="F665" s="151"/>
      <c r="G665" s="151"/>
      <c r="H665" s="10"/>
      <c r="I665" s="152"/>
      <c r="J665" s="151"/>
      <c r="K665" s="151"/>
      <c r="L665" s="10"/>
      <c r="M665" s="10"/>
      <c r="N665" s="10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20"/>
    </row>
    <row r="666">
      <c r="A666" s="14"/>
      <c r="B666" s="14"/>
      <c r="C666" s="149"/>
      <c r="D666" s="150"/>
      <c r="E666" s="151"/>
      <c r="F666" s="151"/>
      <c r="G666" s="151"/>
      <c r="H666" s="10"/>
      <c r="I666" s="152"/>
      <c r="J666" s="151"/>
      <c r="K666" s="151"/>
      <c r="L666" s="10"/>
      <c r="M666" s="10"/>
      <c r="N666" s="10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20"/>
    </row>
    <row r="667">
      <c r="A667" s="14"/>
      <c r="B667" s="14"/>
      <c r="C667" s="149"/>
      <c r="D667" s="150"/>
      <c r="E667" s="151"/>
      <c r="F667" s="151"/>
      <c r="G667" s="151"/>
      <c r="H667" s="10"/>
      <c r="I667" s="152"/>
      <c r="J667" s="151"/>
      <c r="K667" s="151"/>
      <c r="L667" s="10"/>
      <c r="M667" s="10"/>
      <c r="N667" s="10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20"/>
    </row>
    <row r="668">
      <c r="A668" s="14"/>
      <c r="B668" s="14"/>
      <c r="C668" s="149"/>
      <c r="D668" s="150"/>
      <c r="E668" s="151"/>
      <c r="F668" s="151"/>
      <c r="G668" s="151"/>
      <c r="H668" s="10"/>
      <c r="I668" s="152"/>
      <c r="J668" s="151"/>
      <c r="K668" s="151"/>
      <c r="L668" s="10"/>
      <c r="M668" s="10"/>
      <c r="N668" s="10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20"/>
    </row>
    <row r="669">
      <c r="A669" s="14"/>
      <c r="B669" s="14"/>
      <c r="C669" s="149"/>
      <c r="D669" s="150"/>
      <c r="E669" s="151"/>
      <c r="F669" s="151"/>
      <c r="G669" s="151"/>
      <c r="H669" s="10"/>
      <c r="I669" s="152"/>
      <c r="J669" s="151"/>
      <c r="K669" s="151"/>
      <c r="L669" s="10"/>
      <c r="M669" s="10"/>
      <c r="N669" s="10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20"/>
    </row>
    <row r="670">
      <c r="A670" s="14"/>
      <c r="B670" s="14"/>
      <c r="C670" s="149"/>
      <c r="D670" s="150"/>
      <c r="E670" s="151"/>
      <c r="F670" s="151"/>
      <c r="G670" s="151"/>
      <c r="H670" s="10"/>
      <c r="I670" s="152"/>
      <c r="J670" s="151"/>
      <c r="K670" s="151"/>
      <c r="L670" s="10"/>
      <c r="M670" s="10"/>
      <c r="N670" s="10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20"/>
    </row>
    <row r="671">
      <c r="A671" s="14"/>
      <c r="B671" s="14"/>
      <c r="C671" s="149"/>
      <c r="D671" s="150"/>
      <c r="E671" s="151"/>
      <c r="F671" s="151"/>
      <c r="G671" s="151"/>
      <c r="H671" s="10"/>
      <c r="I671" s="152"/>
      <c r="J671" s="151"/>
      <c r="K671" s="151"/>
      <c r="L671" s="10"/>
      <c r="M671" s="10"/>
      <c r="N671" s="10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20"/>
    </row>
    <row r="672">
      <c r="A672" s="14"/>
      <c r="B672" s="14"/>
      <c r="C672" s="149"/>
      <c r="D672" s="150"/>
      <c r="E672" s="151"/>
      <c r="F672" s="151"/>
      <c r="G672" s="151"/>
      <c r="H672" s="10"/>
      <c r="I672" s="152"/>
      <c r="J672" s="151"/>
      <c r="K672" s="151"/>
      <c r="L672" s="10"/>
      <c r="M672" s="10"/>
      <c r="N672" s="10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20"/>
    </row>
    <row r="673">
      <c r="A673" s="14"/>
      <c r="B673" s="14"/>
      <c r="C673" s="149"/>
      <c r="D673" s="150"/>
      <c r="E673" s="151"/>
      <c r="F673" s="151"/>
      <c r="G673" s="151"/>
      <c r="H673" s="10"/>
      <c r="I673" s="152"/>
      <c r="J673" s="151"/>
      <c r="K673" s="151"/>
      <c r="L673" s="10"/>
      <c r="M673" s="10"/>
      <c r="N673" s="10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20"/>
    </row>
    <row r="674">
      <c r="A674" s="14"/>
      <c r="B674" s="14"/>
      <c r="C674" s="149"/>
      <c r="D674" s="150"/>
      <c r="E674" s="151"/>
      <c r="F674" s="151"/>
      <c r="G674" s="151"/>
      <c r="H674" s="10"/>
      <c r="I674" s="152"/>
      <c r="J674" s="151"/>
      <c r="K674" s="151"/>
      <c r="L674" s="10"/>
      <c r="M674" s="10"/>
      <c r="N674" s="10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20"/>
    </row>
    <row r="675">
      <c r="A675" s="14"/>
      <c r="B675" s="14"/>
      <c r="C675" s="149"/>
      <c r="D675" s="150"/>
      <c r="E675" s="151"/>
      <c r="F675" s="151"/>
      <c r="G675" s="151"/>
      <c r="H675" s="10"/>
      <c r="I675" s="152"/>
      <c r="J675" s="151"/>
      <c r="K675" s="151"/>
      <c r="L675" s="10"/>
      <c r="M675" s="10"/>
      <c r="N675" s="10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20"/>
    </row>
    <row r="676">
      <c r="A676" s="14"/>
      <c r="B676" s="14"/>
      <c r="C676" s="149"/>
      <c r="D676" s="150"/>
      <c r="E676" s="151"/>
      <c r="F676" s="151"/>
      <c r="G676" s="151"/>
      <c r="H676" s="10"/>
      <c r="I676" s="152"/>
      <c r="J676" s="151"/>
      <c r="K676" s="151"/>
      <c r="L676" s="10"/>
      <c r="M676" s="10"/>
      <c r="N676" s="10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20"/>
    </row>
    <row r="677">
      <c r="A677" s="14"/>
      <c r="B677" s="14"/>
      <c r="C677" s="149"/>
      <c r="D677" s="150"/>
      <c r="E677" s="151"/>
      <c r="F677" s="151"/>
      <c r="G677" s="151"/>
      <c r="H677" s="10"/>
      <c r="I677" s="152"/>
      <c r="J677" s="151"/>
      <c r="K677" s="151"/>
      <c r="L677" s="10"/>
      <c r="M677" s="10"/>
      <c r="N677" s="10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20"/>
    </row>
    <row r="678">
      <c r="A678" s="14"/>
      <c r="B678" s="14"/>
      <c r="C678" s="149"/>
      <c r="D678" s="150"/>
      <c r="E678" s="151"/>
      <c r="F678" s="151"/>
      <c r="G678" s="151"/>
      <c r="H678" s="10"/>
      <c r="I678" s="152"/>
      <c r="J678" s="151"/>
      <c r="K678" s="151"/>
      <c r="L678" s="10"/>
      <c r="M678" s="10"/>
      <c r="N678" s="10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20"/>
    </row>
    <row r="679">
      <c r="A679" s="14"/>
      <c r="B679" s="14"/>
      <c r="C679" s="149"/>
      <c r="D679" s="150"/>
      <c r="E679" s="151"/>
      <c r="F679" s="151"/>
      <c r="G679" s="151"/>
      <c r="H679" s="10"/>
      <c r="I679" s="152"/>
      <c r="J679" s="151"/>
      <c r="K679" s="151"/>
      <c r="L679" s="10"/>
      <c r="M679" s="10"/>
      <c r="N679" s="10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20"/>
    </row>
    <row r="680">
      <c r="A680" s="14"/>
      <c r="B680" s="14"/>
      <c r="C680" s="149"/>
      <c r="D680" s="150"/>
      <c r="E680" s="151"/>
      <c r="F680" s="151"/>
      <c r="G680" s="151"/>
      <c r="H680" s="10"/>
      <c r="I680" s="152"/>
      <c r="J680" s="151"/>
      <c r="K680" s="151"/>
      <c r="L680" s="10"/>
      <c r="M680" s="10"/>
      <c r="N680" s="10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20"/>
    </row>
    <row r="681">
      <c r="A681" s="14"/>
      <c r="B681" s="14"/>
      <c r="C681" s="149"/>
      <c r="D681" s="150"/>
      <c r="E681" s="151"/>
      <c r="F681" s="151"/>
      <c r="G681" s="151"/>
      <c r="H681" s="10"/>
      <c r="I681" s="152"/>
      <c r="J681" s="151"/>
      <c r="K681" s="151"/>
      <c r="L681" s="10"/>
      <c r="M681" s="10"/>
      <c r="N681" s="10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20"/>
    </row>
    <row r="682">
      <c r="A682" s="14"/>
      <c r="B682" s="14"/>
      <c r="C682" s="149"/>
      <c r="D682" s="150"/>
      <c r="E682" s="151"/>
      <c r="F682" s="151"/>
      <c r="G682" s="151"/>
      <c r="H682" s="10"/>
      <c r="I682" s="152"/>
      <c r="J682" s="151"/>
      <c r="K682" s="151"/>
      <c r="L682" s="10"/>
      <c r="M682" s="10"/>
      <c r="N682" s="10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20"/>
    </row>
    <row r="683">
      <c r="A683" s="14"/>
      <c r="B683" s="14"/>
      <c r="C683" s="149"/>
      <c r="D683" s="150"/>
      <c r="E683" s="151"/>
      <c r="F683" s="151"/>
      <c r="G683" s="151"/>
      <c r="H683" s="10"/>
      <c r="I683" s="152"/>
      <c r="J683" s="151"/>
      <c r="K683" s="151"/>
      <c r="L683" s="10"/>
      <c r="M683" s="10"/>
      <c r="N683" s="10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20"/>
    </row>
    <row r="684">
      <c r="A684" s="14"/>
      <c r="B684" s="14"/>
      <c r="C684" s="149"/>
      <c r="D684" s="150"/>
      <c r="E684" s="151"/>
      <c r="F684" s="151"/>
      <c r="G684" s="151"/>
      <c r="H684" s="10"/>
      <c r="I684" s="152"/>
      <c r="J684" s="151"/>
      <c r="K684" s="151"/>
      <c r="L684" s="10"/>
      <c r="M684" s="10"/>
      <c r="N684" s="10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20"/>
    </row>
    <row r="685">
      <c r="A685" s="14"/>
      <c r="B685" s="14"/>
      <c r="C685" s="149"/>
      <c r="D685" s="150"/>
      <c r="E685" s="151"/>
      <c r="F685" s="151"/>
      <c r="G685" s="151"/>
      <c r="H685" s="10"/>
      <c r="I685" s="152"/>
      <c r="J685" s="151"/>
      <c r="K685" s="151"/>
      <c r="L685" s="10"/>
      <c r="M685" s="10"/>
      <c r="N685" s="10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20"/>
    </row>
    <row r="686">
      <c r="A686" s="14"/>
      <c r="B686" s="14"/>
      <c r="C686" s="149"/>
      <c r="D686" s="150"/>
      <c r="E686" s="151"/>
      <c r="F686" s="151"/>
      <c r="G686" s="151"/>
      <c r="H686" s="10"/>
      <c r="I686" s="152"/>
      <c r="J686" s="151"/>
      <c r="K686" s="151"/>
      <c r="L686" s="10"/>
      <c r="M686" s="10"/>
      <c r="N686" s="10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20"/>
    </row>
    <row r="687">
      <c r="A687" s="14"/>
      <c r="B687" s="14"/>
      <c r="C687" s="149"/>
      <c r="D687" s="150"/>
      <c r="E687" s="151"/>
      <c r="F687" s="151"/>
      <c r="G687" s="151"/>
      <c r="H687" s="10"/>
      <c r="I687" s="152"/>
      <c r="J687" s="151"/>
      <c r="K687" s="151"/>
      <c r="L687" s="10"/>
      <c r="M687" s="10"/>
      <c r="N687" s="10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20"/>
    </row>
    <row r="688">
      <c r="A688" s="14"/>
      <c r="B688" s="14"/>
      <c r="C688" s="149"/>
      <c r="D688" s="150"/>
      <c r="E688" s="151"/>
      <c r="F688" s="151"/>
      <c r="G688" s="151"/>
      <c r="H688" s="10"/>
      <c r="I688" s="152"/>
      <c r="J688" s="151"/>
      <c r="K688" s="151"/>
      <c r="L688" s="10"/>
      <c r="M688" s="10"/>
      <c r="N688" s="10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20"/>
    </row>
    <row r="689">
      <c r="A689" s="14"/>
      <c r="B689" s="14"/>
      <c r="C689" s="149"/>
      <c r="D689" s="150"/>
      <c r="E689" s="151"/>
      <c r="F689" s="151"/>
      <c r="G689" s="151"/>
      <c r="H689" s="10"/>
      <c r="I689" s="152"/>
      <c r="J689" s="151"/>
      <c r="K689" s="151"/>
      <c r="L689" s="10"/>
      <c r="M689" s="10"/>
      <c r="N689" s="10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20"/>
    </row>
    <row r="690">
      <c r="A690" s="14"/>
      <c r="B690" s="14"/>
      <c r="C690" s="149"/>
      <c r="D690" s="150"/>
      <c r="E690" s="151"/>
      <c r="F690" s="151"/>
      <c r="G690" s="151"/>
      <c r="H690" s="10"/>
      <c r="I690" s="152"/>
      <c r="J690" s="151"/>
      <c r="K690" s="151"/>
      <c r="L690" s="10"/>
      <c r="M690" s="10"/>
      <c r="N690" s="10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20"/>
    </row>
    <row r="691">
      <c r="A691" s="14"/>
      <c r="B691" s="14"/>
      <c r="C691" s="149"/>
      <c r="D691" s="150"/>
      <c r="E691" s="151"/>
      <c r="F691" s="151"/>
      <c r="G691" s="151"/>
      <c r="H691" s="10"/>
      <c r="I691" s="152"/>
      <c r="J691" s="151"/>
      <c r="K691" s="151"/>
      <c r="L691" s="10"/>
      <c r="M691" s="10"/>
      <c r="N691" s="10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20"/>
    </row>
    <row r="692">
      <c r="A692" s="14"/>
      <c r="B692" s="14"/>
      <c r="C692" s="149"/>
      <c r="D692" s="150"/>
      <c r="E692" s="151"/>
      <c r="F692" s="151"/>
      <c r="G692" s="151"/>
      <c r="H692" s="10"/>
      <c r="I692" s="152"/>
      <c r="J692" s="151"/>
      <c r="K692" s="151"/>
      <c r="L692" s="10"/>
      <c r="M692" s="10"/>
      <c r="N692" s="10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20"/>
    </row>
    <row r="693">
      <c r="A693" s="14"/>
      <c r="B693" s="14"/>
      <c r="C693" s="149"/>
      <c r="D693" s="150"/>
      <c r="E693" s="151"/>
      <c r="F693" s="151"/>
      <c r="G693" s="151"/>
      <c r="H693" s="10"/>
      <c r="I693" s="152"/>
      <c r="J693" s="151"/>
      <c r="K693" s="151"/>
      <c r="L693" s="10"/>
      <c r="M693" s="10"/>
      <c r="N693" s="10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20"/>
    </row>
    <row r="694">
      <c r="A694" s="14"/>
      <c r="B694" s="14"/>
      <c r="C694" s="149"/>
      <c r="D694" s="150"/>
      <c r="E694" s="151"/>
      <c r="F694" s="151"/>
      <c r="G694" s="151"/>
      <c r="H694" s="10"/>
      <c r="I694" s="152"/>
      <c r="J694" s="151"/>
      <c r="K694" s="151"/>
      <c r="L694" s="10"/>
      <c r="M694" s="10"/>
      <c r="N694" s="10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20"/>
    </row>
    <row r="695">
      <c r="A695" s="14"/>
      <c r="B695" s="14"/>
      <c r="C695" s="149"/>
      <c r="D695" s="150"/>
      <c r="E695" s="151"/>
      <c r="F695" s="151"/>
      <c r="G695" s="151"/>
      <c r="H695" s="10"/>
      <c r="I695" s="152"/>
      <c r="J695" s="151"/>
      <c r="K695" s="151"/>
      <c r="L695" s="10"/>
      <c r="M695" s="10"/>
      <c r="N695" s="10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20"/>
    </row>
    <row r="696">
      <c r="A696" s="14"/>
      <c r="B696" s="14"/>
      <c r="C696" s="149"/>
      <c r="D696" s="150"/>
      <c r="E696" s="151"/>
      <c r="F696" s="151"/>
      <c r="G696" s="151"/>
      <c r="H696" s="10"/>
      <c r="I696" s="152"/>
      <c r="J696" s="151"/>
      <c r="K696" s="151"/>
      <c r="L696" s="10"/>
      <c r="M696" s="10"/>
      <c r="N696" s="10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20"/>
    </row>
    <row r="697">
      <c r="A697" s="14"/>
      <c r="B697" s="14"/>
      <c r="C697" s="149"/>
      <c r="D697" s="150"/>
      <c r="E697" s="151"/>
      <c r="F697" s="151"/>
      <c r="G697" s="151"/>
      <c r="H697" s="10"/>
      <c r="I697" s="152"/>
      <c r="J697" s="151"/>
      <c r="K697" s="151"/>
      <c r="L697" s="10"/>
      <c r="M697" s="10"/>
      <c r="N697" s="10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20"/>
    </row>
    <row r="698">
      <c r="A698" s="14"/>
      <c r="B698" s="14"/>
      <c r="C698" s="149"/>
      <c r="D698" s="150"/>
      <c r="E698" s="151"/>
      <c r="F698" s="151"/>
      <c r="G698" s="151"/>
      <c r="H698" s="10"/>
      <c r="I698" s="152"/>
      <c r="J698" s="151"/>
      <c r="K698" s="151"/>
      <c r="L698" s="10"/>
      <c r="M698" s="10"/>
      <c r="N698" s="10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20"/>
    </row>
    <row r="699">
      <c r="A699" s="14"/>
      <c r="B699" s="14"/>
      <c r="C699" s="149"/>
      <c r="D699" s="150"/>
      <c r="E699" s="151"/>
      <c r="F699" s="151"/>
      <c r="G699" s="151"/>
      <c r="H699" s="10"/>
      <c r="I699" s="152"/>
      <c r="J699" s="151"/>
      <c r="K699" s="151"/>
      <c r="L699" s="10"/>
      <c r="M699" s="10"/>
      <c r="N699" s="10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20"/>
    </row>
    <row r="700">
      <c r="A700" s="14"/>
      <c r="B700" s="14"/>
      <c r="C700" s="149"/>
      <c r="D700" s="150"/>
      <c r="E700" s="151"/>
      <c r="F700" s="151"/>
      <c r="G700" s="151"/>
      <c r="H700" s="10"/>
      <c r="I700" s="152"/>
      <c r="J700" s="151"/>
      <c r="K700" s="151"/>
      <c r="L700" s="10"/>
      <c r="M700" s="10"/>
      <c r="N700" s="10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20"/>
    </row>
    <row r="701">
      <c r="A701" s="14"/>
      <c r="B701" s="14"/>
      <c r="C701" s="149"/>
      <c r="D701" s="150"/>
      <c r="E701" s="151"/>
      <c r="F701" s="151"/>
      <c r="G701" s="151"/>
      <c r="H701" s="10"/>
      <c r="I701" s="152"/>
      <c r="J701" s="151"/>
      <c r="K701" s="151"/>
      <c r="L701" s="10"/>
      <c r="M701" s="10"/>
      <c r="N701" s="10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20"/>
    </row>
    <row r="702">
      <c r="A702" s="14"/>
      <c r="B702" s="14"/>
      <c r="C702" s="149"/>
      <c r="D702" s="150"/>
      <c r="E702" s="151"/>
      <c r="F702" s="151"/>
      <c r="G702" s="151"/>
      <c r="H702" s="10"/>
      <c r="I702" s="152"/>
      <c r="J702" s="151"/>
      <c r="K702" s="151"/>
      <c r="L702" s="10"/>
      <c r="M702" s="10"/>
      <c r="N702" s="10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20"/>
    </row>
    <row r="703">
      <c r="A703" s="14"/>
      <c r="B703" s="14"/>
      <c r="C703" s="149"/>
      <c r="D703" s="150"/>
      <c r="E703" s="151"/>
      <c r="F703" s="151"/>
      <c r="G703" s="151"/>
      <c r="H703" s="10"/>
      <c r="I703" s="152"/>
      <c r="J703" s="151"/>
      <c r="K703" s="151"/>
      <c r="L703" s="10"/>
      <c r="M703" s="10"/>
      <c r="N703" s="10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20"/>
    </row>
    <row r="704">
      <c r="A704" s="14"/>
      <c r="B704" s="14"/>
      <c r="C704" s="149"/>
      <c r="D704" s="150"/>
      <c r="E704" s="151"/>
      <c r="F704" s="151"/>
      <c r="G704" s="151"/>
      <c r="H704" s="10"/>
      <c r="I704" s="152"/>
      <c r="J704" s="151"/>
      <c r="K704" s="151"/>
      <c r="L704" s="10"/>
      <c r="M704" s="10"/>
      <c r="N704" s="10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20"/>
    </row>
    <row r="705">
      <c r="A705" s="14"/>
      <c r="B705" s="14"/>
      <c r="C705" s="149"/>
      <c r="D705" s="150"/>
      <c r="E705" s="151"/>
      <c r="F705" s="151"/>
      <c r="G705" s="151"/>
      <c r="H705" s="10"/>
      <c r="I705" s="152"/>
      <c r="J705" s="151"/>
      <c r="K705" s="151"/>
      <c r="L705" s="10"/>
      <c r="M705" s="10"/>
      <c r="N705" s="10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20"/>
    </row>
    <row r="706">
      <c r="A706" s="14"/>
      <c r="B706" s="14"/>
      <c r="C706" s="149"/>
      <c r="D706" s="150"/>
      <c r="E706" s="151"/>
      <c r="F706" s="151"/>
      <c r="G706" s="151"/>
      <c r="H706" s="10"/>
      <c r="I706" s="152"/>
      <c r="J706" s="151"/>
      <c r="K706" s="151"/>
      <c r="L706" s="10"/>
      <c r="M706" s="10"/>
      <c r="N706" s="10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20"/>
    </row>
    <row r="707">
      <c r="A707" s="14"/>
      <c r="B707" s="14"/>
      <c r="C707" s="149"/>
      <c r="D707" s="150"/>
      <c r="E707" s="151"/>
      <c r="F707" s="151"/>
      <c r="G707" s="151"/>
      <c r="H707" s="10"/>
      <c r="I707" s="152"/>
      <c r="J707" s="151"/>
      <c r="K707" s="151"/>
      <c r="L707" s="10"/>
      <c r="M707" s="10"/>
      <c r="N707" s="10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20"/>
    </row>
    <row r="708">
      <c r="A708" s="14"/>
      <c r="B708" s="14"/>
      <c r="C708" s="149"/>
      <c r="D708" s="150"/>
      <c r="E708" s="151"/>
      <c r="F708" s="151"/>
      <c r="G708" s="151"/>
      <c r="H708" s="10"/>
      <c r="I708" s="152"/>
      <c r="J708" s="151"/>
      <c r="K708" s="151"/>
      <c r="L708" s="10"/>
      <c r="M708" s="10"/>
      <c r="N708" s="10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20"/>
    </row>
    <row r="709">
      <c r="A709" s="14"/>
      <c r="B709" s="14"/>
      <c r="C709" s="149"/>
      <c r="D709" s="150"/>
      <c r="E709" s="151"/>
      <c r="F709" s="151"/>
      <c r="G709" s="151"/>
      <c r="H709" s="10"/>
      <c r="I709" s="152"/>
      <c r="J709" s="151"/>
      <c r="K709" s="151"/>
      <c r="L709" s="10"/>
      <c r="M709" s="10"/>
      <c r="N709" s="10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20"/>
    </row>
    <row r="710">
      <c r="A710" s="14"/>
      <c r="B710" s="14"/>
      <c r="C710" s="149"/>
      <c r="D710" s="150"/>
      <c r="E710" s="151"/>
      <c r="F710" s="151"/>
      <c r="G710" s="151"/>
      <c r="H710" s="10"/>
      <c r="I710" s="152"/>
      <c r="J710" s="151"/>
      <c r="K710" s="151"/>
      <c r="L710" s="10"/>
      <c r="M710" s="10"/>
      <c r="N710" s="10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20"/>
    </row>
    <row r="711">
      <c r="A711" s="14"/>
      <c r="B711" s="14"/>
      <c r="C711" s="149"/>
      <c r="D711" s="150"/>
      <c r="E711" s="151"/>
      <c r="F711" s="151"/>
      <c r="G711" s="151"/>
      <c r="H711" s="10"/>
      <c r="I711" s="152"/>
      <c r="J711" s="151"/>
      <c r="K711" s="151"/>
      <c r="L711" s="10"/>
      <c r="M711" s="10"/>
      <c r="N711" s="10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20"/>
    </row>
    <row r="712">
      <c r="A712" s="14"/>
      <c r="B712" s="14"/>
      <c r="C712" s="149"/>
      <c r="D712" s="150"/>
      <c r="E712" s="151"/>
      <c r="F712" s="151"/>
      <c r="G712" s="151"/>
      <c r="H712" s="10"/>
      <c r="I712" s="152"/>
      <c r="J712" s="151"/>
      <c r="K712" s="151"/>
      <c r="L712" s="10"/>
      <c r="M712" s="10"/>
      <c r="N712" s="10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20"/>
    </row>
    <row r="713">
      <c r="A713" s="14"/>
      <c r="B713" s="14"/>
      <c r="C713" s="149"/>
      <c r="D713" s="150"/>
      <c r="E713" s="151"/>
      <c r="F713" s="151"/>
      <c r="G713" s="151"/>
      <c r="H713" s="10"/>
      <c r="I713" s="152"/>
      <c r="J713" s="151"/>
      <c r="K713" s="151"/>
      <c r="L713" s="10"/>
      <c r="M713" s="10"/>
      <c r="N713" s="10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20"/>
    </row>
    <row r="714">
      <c r="A714" s="14"/>
      <c r="B714" s="14"/>
      <c r="C714" s="149"/>
      <c r="D714" s="150"/>
      <c r="E714" s="151"/>
      <c r="F714" s="151"/>
      <c r="G714" s="151"/>
      <c r="H714" s="10"/>
      <c r="I714" s="152"/>
      <c r="J714" s="151"/>
      <c r="K714" s="151"/>
      <c r="L714" s="10"/>
      <c r="M714" s="10"/>
      <c r="N714" s="10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20"/>
    </row>
    <row r="715">
      <c r="A715" s="14"/>
      <c r="B715" s="14"/>
      <c r="C715" s="149"/>
      <c r="D715" s="150"/>
      <c r="E715" s="151"/>
      <c r="F715" s="151"/>
      <c r="G715" s="151"/>
      <c r="H715" s="10"/>
      <c r="I715" s="152"/>
      <c r="J715" s="151"/>
      <c r="K715" s="151"/>
      <c r="L715" s="10"/>
      <c r="M715" s="10"/>
      <c r="N715" s="10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20"/>
    </row>
    <row r="716">
      <c r="A716" s="14"/>
      <c r="B716" s="14"/>
      <c r="C716" s="149"/>
      <c r="D716" s="150"/>
      <c r="E716" s="151"/>
      <c r="F716" s="151"/>
      <c r="G716" s="151"/>
      <c r="H716" s="10"/>
      <c r="I716" s="152"/>
      <c r="J716" s="151"/>
      <c r="K716" s="151"/>
      <c r="L716" s="10"/>
      <c r="M716" s="10"/>
      <c r="N716" s="10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20"/>
    </row>
    <row r="717">
      <c r="A717" s="14"/>
      <c r="B717" s="14"/>
      <c r="C717" s="149"/>
      <c r="D717" s="150"/>
      <c r="E717" s="151"/>
      <c r="F717" s="151"/>
      <c r="G717" s="151"/>
      <c r="H717" s="10"/>
      <c r="I717" s="152"/>
      <c r="J717" s="151"/>
      <c r="K717" s="151"/>
      <c r="L717" s="10"/>
      <c r="M717" s="10"/>
      <c r="N717" s="10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20"/>
    </row>
    <row r="718">
      <c r="A718" s="14"/>
      <c r="B718" s="14"/>
      <c r="C718" s="149"/>
      <c r="D718" s="150"/>
      <c r="E718" s="151"/>
      <c r="F718" s="151"/>
      <c r="G718" s="151"/>
      <c r="H718" s="10"/>
      <c r="I718" s="152"/>
      <c r="J718" s="151"/>
      <c r="K718" s="151"/>
      <c r="L718" s="10"/>
      <c r="M718" s="10"/>
      <c r="N718" s="10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20"/>
    </row>
    <row r="719">
      <c r="A719" s="14"/>
      <c r="B719" s="14"/>
      <c r="C719" s="149"/>
      <c r="D719" s="150"/>
      <c r="E719" s="151"/>
      <c r="F719" s="151"/>
      <c r="G719" s="151"/>
      <c r="H719" s="10"/>
      <c r="I719" s="152"/>
      <c r="J719" s="151"/>
      <c r="K719" s="151"/>
      <c r="L719" s="10"/>
      <c r="M719" s="10"/>
      <c r="N719" s="10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20"/>
    </row>
    <row r="720">
      <c r="A720" s="14"/>
      <c r="B720" s="14"/>
      <c r="C720" s="149"/>
      <c r="D720" s="150"/>
      <c r="E720" s="151"/>
      <c r="F720" s="151"/>
      <c r="G720" s="151"/>
      <c r="H720" s="10"/>
      <c r="I720" s="152"/>
      <c r="J720" s="151"/>
      <c r="K720" s="151"/>
      <c r="L720" s="10"/>
      <c r="M720" s="10"/>
      <c r="N720" s="10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20"/>
    </row>
    <row r="721">
      <c r="A721" s="14"/>
      <c r="B721" s="14"/>
      <c r="C721" s="149"/>
      <c r="D721" s="150"/>
      <c r="E721" s="151"/>
      <c r="F721" s="151"/>
      <c r="G721" s="151"/>
      <c r="H721" s="10"/>
      <c r="I721" s="152"/>
      <c r="J721" s="151"/>
      <c r="K721" s="151"/>
      <c r="L721" s="10"/>
      <c r="M721" s="10"/>
      <c r="N721" s="10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20"/>
    </row>
    <row r="722">
      <c r="A722" s="14"/>
      <c r="B722" s="14"/>
      <c r="C722" s="149"/>
      <c r="D722" s="150"/>
      <c r="E722" s="151"/>
      <c r="F722" s="151"/>
      <c r="G722" s="151"/>
      <c r="H722" s="10"/>
      <c r="I722" s="152"/>
      <c r="J722" s="151"/>
      <c r="K722" s="151"/>
      <c r="L722" s="10"/>
      <c r="M722" s="10"/>
      <c r="N722" s="10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20"/>
    </row>
    <row r="723">
      <c r="A723" s="14"/>
      <c r="B723" s="14"/>
      <c r="C723" s="149"/>
      <c r="D723" s="150"/>
      <c r="E723" s="151"/>
      <c r="F723" s="151"/>
      <c r="G723" s="151"/>
      <c r="H723" s="10"/>
      <c r="I723" s="152"/>
      <c r="J723" s="151"/>
      <c r="K723" s="151"/>
      <c r="L723" s="10"/>
      <c r="M723" s="10"/>
      <c r="N723" s="10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20"/>
    </row>
    <row r="724">
      <c r="A724" s="14"/>
      <c r="B724" s="14"/>
      <c r="C724" s="149"/>
      <c r="D724" s="150"/>
      <c r="E724" s="151"/>
      <c r="F724" s="151"/>
      <c r="G724" s="151"/>
      <c r="H724" s="10"/>
      <c r="I724" s="152"/>
      <c r="J724" s="151"/>
      <c r="K724" s="151"/>
      <c r="L724" s="10"/>
      <c r="M724" s="10"/>
      <c r="N724" s="10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20"/>
    </row>
    <row r="725">
      <c r="A725" s="14"/>
      <c r="B725" s="14"/>
      <c r="C725" s="149"/>
      <c r="D725" s="150"/>
      <c r="E725" s="151"/>
      <c r="F725" s="151"/>
      <c r="G725" s="151"/>
      <c r="H725" s="10"/>
      <c r="I725" s="152"/>
      <c r="J725" s="151"/>
      <c r="K725" s="151"/>
      <c r="L725" s="10"/>
      <c r="M725" s="10"/>
      <c r="N725" s="10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20"/>
    </row>
    <row r="726">
      <c r="A726" s="14"/>
      <c r="B726" s="14"/>
      <c r="C726" s="149"/>
      <c r="D726" s="150"/>
      <c r="E726" s="151"/>
      <c r="F726" s="151"/>
      <c r="G726" s="151"/>
      <c r="H726" s="10"/>
      <c r="I726" s="152"/>
      <c r="J726" s="151"/>
      <c r="K726" s="151"/>
      <c r="L726" s="10"/>
      <c r="M726" s="10"/>
      <c r="N726" s="10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20"/>
    </row>
    <row r="727">
      <c r="A727" s="14"/>
      <c r="B727" s="14"/>
      <c r="C727" s="149"/>
      <c r="D727" s="150"/>
      <c r="E727" s="151"/>
      <c r="F727" s="151"/>
      <c r="G727" s="151"/>
      <c r="H727" s="10"/>
      <c r="I727" s="152"/>
      <c r="J727" s="151"/>
      <c r="K727" s="151"/>
      <c r="L727" s="10"/>
      <c r="M727" s="10"/>
      <c r="N727" s="10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20"/>
    </row>
    <row r="728">
      <c r="A728" s="14"/>
      <c r="B728" s="14"/>
      <c r="C728" s="149"/>
      <c r="D728" s="150"/>
      <c r="E728" s="151"/>
      <c r="F728" s="151"/>
      <c r="G728" s="151"/>
      <c r="H728" s="10"/>
      <c r="I728" s="152"/>
      <c r="J728" s="151"/>
      <c r="K728" s="151"/>
      <c r="L728" s="10"/>
      <c r="M728" s="10"/>
      <c r="N728" s="10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20"/>
    </row>
    <row r="729">
      <c r="A729" s="14"/>
      <c r="B729" s="14"/>
      <c r="C729" s="149"/>
      <c r="D729" s="150"/>
      <c r="E729" s="151"/>
      <c r="F729" s="151"/>
      <c r="G729" s="151"/>
      <c r="H729" s="10"/>
      <c r="I729" s="152"/>
      <c r="J729" s="151"/>
      <c r="K729" s="151"/>
      <c r="L729" s="10"/>
      <c r="M729" s="10"/>
      <c r="N729" s="10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20"/>
    </row>
    <row r="730">
      <c r="A730" s="14"/>
      <c r="B730" s="14"/>
      <c r="C730" s="149"/>
      <c r="D730" s="150"/>
      <c r="E730" s="151"/>
      <c r="F730" s="151"/>
      <c r="G730" s="151"/>
      <c r="H730" s="10"/>
      <c r="I730" s="152"/>
      <c r="J730" s="151"/>
      <c r="K730" s="151"/>
      <c r="L730" s="10"/>
      <c r="M730" s="10"/>
      <c r="N730" s="10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20"/>
    </row>
    <row r="731">
      <c r="A731" s="14"/>
      <c r="B731" s="14"/>
      <c r="C731" s="149"/>
      <c r="D731" s="150"/>
      <c r="E731" s="151"/>
      <c r="F731" s="151"/>
      <c r="G731" s="151"/>
      <c r="H731" s="10"/>
      <c r="I731" s="152"/>
      <c r="J731" s="151"/>
      <c r="K731" s="151"/>
      <c r="L731" s="10"/>
      <c r="M731" s="10"/>
      <c r="N731" s="10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20"/>
    </row>
    <row r="732">
      <c r="A732" s="14"/>
      <c r="B732" s="14"/>
      <c r="C732" s="149"/>
      <c r="D732" s="150"/>
      <c r="E732" s="151"/>
      <c r="F732" s="151"/>
      <c r="G732" s="151"/>
      <c r="H732" s="10"/>
      <c r="I732" s="152"/>
      <c r="J732" s="151"/>
      <c r="K732" s="151"/>
      <c r="L732" s="10"/>
      <c r="M732" s="10"/>
      <c r="N732" s="10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20"/>
    </row>
    <row r="733">
      <c r="A733" s="14"/>
      <c r="B733" s="14"/>
      <c r="C733" s="149"/>
      <c r="D733" s="150"/>
      <c r="E733" s="151"/>
      <c r="F733" s="151"/>
      <c r="G733" s="151"/>
      <c r="H733" s="10"/>
      <c r="I733" s="152"/>
      <c r="J733" s="151"/>
      <c r="K733" s="151"/>
      <c r="L733" s="10"/>
      <c r="M733" s="10"/>
      <c r="N733" s="10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20"/>
    </row>
    <row r="734">
      <c r="A734" s="14"/>
      <c r="B734" s="14"/>
      <c r="C734" s="149"/>
      <c r="D734" s="150"/>
      <c r="E734" s="151"/>
      <c r="F734" s="151"/>
      <c r="G734" s="151"/>
      <c r="H734" s="10"/>
      <c r="I734" s="152"/>
      <c r="J734" s="151"/>
      <c r="K734" s="151"/>
      <c r="L734" s="10"/>
      <c r="M734" s="10"/>
      <c r="N734" s="10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20"/>
    </row>
    <row r="735">
      <c r="A735" s="14"/>
      <c r="B735" s="14"/>
      <c r="C735" s="149"/>
      <c r="D735" s="150"/>
      <c r="E735" s="151"/>
      <c r="F735" s="151"/>
      <c r="G735" s="151"/>
      <c r="H735" s="10"/>
      <c r="I735" s="152"/>
      <c r="J735" s="151"/>
      <c r="K735" s="151"/>
      <c r="L735" s="10"/>
      <c r="M735" s="10"/>
      <c r="N735" s="10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20"/>
    </row>
    <row r="736">
      <c r="A736" s="14"/>
      <c r="B736" s="14"/>
      <c r="C736" s="149"/>
      <c r="D736" s="150"/>
      <c r="E736" s="151"/>
      <c r="F736" s="151"/>
      <c r="G736" s="151"/>
      <c r="H736" s="10"/>
      <c r="I736" s="152"/>
      <c r="J736" s="151"/>
      <c r="K736" s="151"/>
      <c r="L736" s="10"/>
      <c r="M736" s="10"/>
      <c r="N736" s="10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20"/>
    </row>
    <row r="737">
      <c r="A737" s="14"/>
      <c r="B737" s="14"/>
      <c r="C737" s="149"/>
      <c r="D737" s="150"/>
      <c r="E737" s="151"/>
      <c r="F737" s="151"/>
      <c r="G737" s="151"/>
      <c r="H737" s="10"/>
      <c r="I737" s="152"/>
      <c r="J737" s="151"/>
      <c r="K737" s="151"/>
      <c r="L737" s="10"/>
      <c r="M737" s="10"/>
      <c r="N737" s="10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20"/>
    </row>
    <row r="738">
      <c r="A738" s="14"/>
      <c r="B738" s="14"/>
      <c r="C738" s="149"/>
      <c r="D738" s="150"/>
      <c r="E738" s="151"/>
      <c r="F738" s="151"/>
      <c r="G738" s="151"/>
      <c r="H738" s="10"/>
      <c r="I738" s="152"/>
      <c r="J738" s="151"/>
      <c r="K738" s="151"/>
      <c r="L738" s="10"/>
      <c r="M738" s="10"/>
      <c r="N738" s="10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20"/>
    </row>
    <row r="739">
      <c r="A739" s="14"/>
      <c r="B739" s="14"/>
      <c r="C739" s="149"/>
      <c r="D739" s="150"/>
      <c r="E739" s="151"/>
      <c r="F739" s="151"/>
      <c r="G739" s="151"/>
      <c r="H739" s="10"/>
      <c r="I739" s="152"/>
      <c r="J739" s="151"/>
      <c r="K739" s="151"/>
      <c r="L739" s="10"/>
      <c r="M739" s="10"/>
      <c r="N739" s="10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20"/>
    </row>
    <row r="740">
      <c r="A740" s="14"/>
      <c r="B740" s="14"/>
      <c r="C740" s="149"/>
      <c r="D740" s="150"/>
      <c r="E740" s="151"/>
      <c r="F740" s="151"/>
      <c r="G740" s="151"/>
      <c r="H740" s="10"/>
      <c r="I740" s="152"/>
      <c r="J740" s="151"/>
      <c r="K740" s="151"/>
      <c r="L740" s="10"/>
      <c r="M740" s="10"/>
      <c r="N740" s="10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20"/>
    </row>
    <row r="741">
      <c r="A741" s="14"/>
      <c r="B741" s="14"/>
      <c r="C741" s="149"/>
      <c r="D741" s="150"/>
      <c r="E741" s="151"/>
      <c r="F741" s="151"/>
      <c r="G741" s="151"/>
      <c r="H741" s="10"/>
      <c r="I741" s="152"/>
      <c r="J741" s="151"/>
      <c r="K741" s="151"/>
      <c r="L741" s="10"/>
      <c r="M741" s="10"/>
      <c r="N741" s="10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20"/>
    </row>
    <row r="742">
      <c r="A742" s="14"/>
      <c r="B742" s="14"/>
      <c r="C742" s="149"/>
      <c r="D742" s="150"/>
      <c r="E742" s="151"/>
      <c r="F742" s="151"/>
      <c r="G742" s="151"/>
      <c r="H742" s="10"/>
      <c r="I742" s="152"/>
      <c r="J742" s="151"/>
      <c r="K742" s="151"/>
      <c r="L742" s="10"/>
      <c r="M742" s="10"/>
      <c r="N742" s="10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20"/>
    </row>
    <row r="743">
      <c r="A743" s="14"/>
      <c r="B743" s="14"/>
      <c r="C743" s="149"/>
      <c r="D743" s="150"/>
      <c r="E743" s="151"/>
      <c r="F743" s="151"/>
      <c r="G743" s="151"/>
      <c r="H743" s="10"/>
      <c r="I743" s="152"/>
      <c r="J743" s="151"/>
      <c r="K743" s="151"/>
      <c r="L743" s="10"/>
      <c r="M743" s="10"/>
      <c r="N743" s="10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20"/>
    </row>
    <row r="744">
      <c r="A744" s="14"/>
      <c r="B744" s="14"/>
      <c r="C744" s="149"/>
      <c r="D744" s="150"/>
      <c r="E744" s="151"/>
      <c r="F744" s="151"/>
      <c r="G744" s="151"/>
      <c r="H744" s="10"/>
      <c r="I744" s="152"/>
      <c r="J744" s="151"/>
      <c r="K744" s="151"/>
      <c r="L744" s="10"/>
      <c r="M744" s="10"/>
      <c r="N744" s="10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20"/>
    </row>
    <row r="745">
      <c r="A745" s="14"/>
      <c r="B745" s="14"/>
      <c r="C745" s="149"/>
      <c r="D745" s="150"/>
      <c r="E745" s="151"/>
      <c r="F745" s="151"/>
      <c r="G745" s="151"/>
      <c r="H745" s="10"/>
      <c r="I745" s="152"/>
      <c r="J745" s="151"/>
      <c r="K745" s="151"/>
      <c r="L745" s="10"/>
      <c r="M745" s="10"/>
      <c r="N745" s="10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20"/>
    </row>
    <row r="746">
      <c r="A746" s="14"/>
      <c r="B746" s="14"/>
      <c r="C746" s="149"/>
      <c r="D746" s="150"/>
      <c r="E746" s="151"/>
      <c r="F746" s="151"/>
      <c r="G746" s="151"/>
      <c r="H746" s="10"/>
      <c r="I746" s="152"/>
      <c r="J746" s="151"/>
      <c r="K746" s="151"/>
      <c r="L746" s="10"/>
      <c r="M746" s="10"/>
      <c r="N746" s="10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20"/>
    </row>
    <row r="747">
      <c r="A747" s="14"/>
      <c r="B747" s="14"/>
      <c r="C747" s="149"/>
      <c r="D747" s="150"/>
      <c r="E747" s="151"/>
      <c r="F747" s="151"/>
      <c r="G747" s="151"/>
      <c r="H747" s="10"/>
      <c r="I747" s="152"/>
      <c r="J747" s="151"/>
      <c r="K747" s="151"/>
      <c r="L747" s="10"/>
      <c r="M747" s="10"/>
      <c r="N747" s="10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20"/>
    </row>
    <row r="748">
      <c r="A748" s="14"/>
      <c r="B748" s="14"/>
      <c r="C748" s="149"/>
      <c r="D748" s="150"/>
      <c r="E748" s="151"/>
      <c r="F748" s="151"/>
      <c r="G748" s="151"/>
      <c r="H748" s="10"/>
      <c r="I748" s="152"/>
      <c r="J748" s="151"/>
      <c r="K748" s="151"/>
      <c r="L748" s="10"/>
      <c r="M748" s="10"/>
      <c r="N748" s="10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20"/>
    </row>
    <row r="749">
      <c r="A749" s="14"/>
      <c r="B749" s="14"/>
      <c r="C749" s="149"/>
      <c r="D749" s="150"/>
      <c r="E749" s="151"/>
      <c r="F749" s="151"/>
      <c r="G749" s="151"/>
      <c r="H749" s="10"/>
      <c r="I749" s="152"/>
      <c r="J749" s="151"/>
      <c r="K749" s="151"/>
      <c r="L749" s="10"/>
      <c r="M749" s="10"/>
      <c r="N749" s="10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20"/>
    </row>
    <row r="750">
      <c r="A750" s="14"/>
      <c r="B750" s="14"/>
      <c r="C750" s="149"/>
      <c r="D750" s="150"/>
      <c r="E750" s="151"/>
      <c r="F750" s="151"/>
      <c r="G750" s="151"/>
      <c r="H750" s="10"/>
      <c r="I750" s="152"/>
      <c r="J750" s="151"/>
      <c r="K750" s="151"/>
      <c r="L750" s="10"/>
      <c r="M750" s="10"/>
      <c r="N750" s="10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20"/>
    </row>
    <row r="751">
      <c r="A751" s="14"/>
      <c r="B751" s="14"/>
      <c r="C751" s="149"/>
      <c r="D751" s="150"/>
      <c r="E751" s="151"/>
      <c r="F751" s="151"/>
      <c r="G751" s="151"/>
      <c r="H751" s="10"/>
      <c r="I751" s="152"/>
      <c r="J751" s="151"/>
      <c r="K751" s="151"/>
      <c r="L751" s="10"/>
      <c r="M751" s="10"/>
      <c r="N751" s="10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20"/>
    </row>
    <row r="752">
      <c r="A752" s="14"/>
      <c r="B752" s="14"/>
      <c r="C752" s="149"/>
      <c r="D752" s="150"/>
      <c r="E752" s="151"/>
      <c r="F752" s="151"/>
      <c r="G752" s="151"/>
      <c r="H752" s="10"/>
      <c r="I752" s="152"/>
      <c r="J752" s="151"/>
      <c r="K752" s="151"/>
      <c r="L752" s="10"/>
      <c r="M752" s="10"/>
      <c r="N752" s="10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20"/>
    </row>
    <row r="753">
      <c r="A753" s="14"/>
      <c r="B753" s="14"/>
      <c r="C753" s="149"/>
      <c r="D753" s="150"/>
      <c r="E753" s="151"/>
      <c r="F753" s="151"/>
      <c r="G753" s="151"/>
      <c r="H753" s="10"/>
      <c r="I753" s="152"/>
      <c r="J753" s="151"/>
      <c r="K753" s="151"/>
      <c r="L753" s="10"/>
      <c r="M753" s="10"/>
      <c r="N753" s="10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20"/>
    </row>
    <row r="754">
      <c r="A754" s="14"/>
      <c r="B754" s="14"/>
      <c r="C754" s="149"/>
      <c r="D754" s="150"/>
      <c r="E754" s="151"/>
      <c r="F754" s="151"/>
      <c r="G754" s="151"/>
      <c r="H754" s="10"/>
      <c r="I754" s="152"/>
      <c r="J754" s="151"/>
      <c r="K754" s="151"/>
      <c r="L754" s="10"/>
      <c r="M754" s="10"/>
      <c r="N754" s="10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20"/>
    </row>
    <row r="755">
      <c r="A755" s="14"/>
      <c r="B755" s="14"/>
      <c r="C755" s="149"/>
      <c r="D755" s="150"/>
      <c r="E755" s="151"/>
      <c r="F755" s="151"/>
      <c r="G755" s="151"/>
      <c r="H755" s="10"/>
      <c r="I755" s="152"/>
      <c r="J755" s="151"/>
      <c r="K755" s="151"/>
      <c r="L755" s="10"/>
      <c r="M755" s="10"/>
      <c r="N755" s="10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20"/>
    </row>
    <row r="756">
      <c r="A756" s="14"/>
      <c r="B756" s="14"/>
      <c r="C756" s="149"/>
      <c r="D756" s="150"/>
      <c r="E756" s="151"/>
      <c r="F756" s="151"/>
      <c r="G756" s="151"/>
      <c r="H756" s="10"/>
      <c r="I756" s="152"/>
      <c r="J756" s="151"/>
      <c r="K756" s="151"/>
      <c r="L756" s="10"/>
      <c r="M756" s="10"/>
      <c r="N756" s="10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20"/>
    </row>
    <row r="757">
      <c r="A757" s="14"/>
      <c r="B757" s="14"/>
      <c r="C757" s="149"/>
      <c r="D757" s="150"/>
      <c r="E757" s="151"/>
      <c r="F757" s="151"/>
      <c r="G757" s="151"/>
      <c r="H757" s="10"/>
      <c r="I757" s="152"/>
      <c r="J757" s="151"/>
      <c r="K757" s="151"/>
      <c r="L757" s="10"/>
      <c r="M757" s="10"/>
      <c r="N757" s="10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20"/>
    </row>
    <row r="758">
      <c r="A758" s="14"/>
      <c r="B758" s="14"/>
      <c r="C758" s="149"/>
      <c r="D758" s="150"/>
      <c r="E758" s="151"/>
      <c r="F758" s="151"/>
      <c r="G758" s="151"/>
      <c r="H758" s="10"/>
      <c r="I758" s="152"/>
      <c r="J758" s="151"/>
      <c r="K758" s="151"/>
      <c r="L758" s="10"/>
      <c r="M758" s="10"/>
      <c r="N758" s="10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20"/>
    </row>
    <row r="759">
      <c r="A759" s="14"/>
      <c r="B759" s="14"/>
      <c r="C759" s="149"/>
      <c r="D759" s="150"/>
      <c r="E759" s="151"/>
      <c r="F759" s="151"/>
      <c r="G759" s="151"/>
      <c r="H759" s="10"/>
      <c r="I759" s="152"/>
      <c r="J759" s="151"/>
      <c r="K759" s="151"/>
      <c r="L759" s="10"/>
      <c r="M759" s="10"/>
      <c r="N759" s="10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20"/>
    </row>
    <row r="760">
      <c r="A760" s="14"/>
      <c r="B760" s="14"/>
      <c r="C760" s="149"/>
      <c r="D760" s="150"/>
      <c r="E760" s="151"/>
      <c r="F760" s="151"/>
      <c r="G760" s="151"/>
      <c r="H760" s="10"/>
      <c r="I760" s="152"/>
      <c r="J760" s="151"/>
      <c r="K760" s="151"/>
      <c r="L760" s="10"/>
      <c r="M760" s="10"/>
      <c r="N760" s="10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20"/>
    </row>
    <row r="761">
      <c r="A761" s="14"/>
      <c r="B761" s="14"/>
      <c r="C761" s="149"/>
      <c r="D761" s="150"/>
      <c r="E761" s="151"/>
      <c r="F761" s="151"/>
      <c r="G761" s="151"/>
      <c r="H761" s="10"/>
      <c r="I761" s="152"/>
      <c r="J761" s="151"/>
      <c r="K761" s="151"/>
      <c r="L761" s="10"/>
      <c r="M761" s="10"/>
      <c r="N761" s="10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20"/>
    </row>
    <row r="762">
      <c r="A762" s="14"/>
      <c r="B762" s="14"/>
      <c r="C762" s="149"/>
      <c r="D762" s="150"/>
      <c r="E762" s="151"/>
      <c r="F762" s="151"/>
      <c r="G762" s="151"/>
      <c r="H762" s="10"/>
      <c r="I762" s="152"/>
      <c r="J762" s="151"/>
      <c r="K762" s="151"/>
      <c r="L762" s="10"/>
      <c r="M762" s="10"/>
      <c r="N762" s="10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20"/>
    </row>
    <row r="763">
      <c r="A763" s="14"/>
      <c r="B763" s="14"/>
      <c r="C763" s="149"/>
      <c r="D763" s="150"/>
      <c r="E763" s="151"/>
      <c r="F763" s="151"/>
      <c r="G763" s="151"/>
      <c r="H763" s="10"/>
      <c r="I763" s="152"/>
      <c r="J763" s="151"/>
      <c r="K763" s="151"/>
      <c r="L763" s="10"/>
      <c r="M763" s="10"/>
      <c r="N763" s="10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20"/>
    </row>
    <row r="764">
      <c r="A764" s="14"/>
      <c r="B764" s="14"/>
      <c r="C764" s="149"/>
      <c r="D764" s="150"/>
      <c r="E764" s="151"/>
      <c r="F764" s="151"/>
      <c r="G764" s="151"/>
      <c r="H764" s="10"/>
      <c r="I764" s="152"/>
      <c r="J764" s="151"/>
      <c r="K764" s="151"/>
      <c r="L764" s="10"/>
      <c r="M764" s="10"/>
      <c r="N764" s="10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20"/>
    </row>
    <row r="765">
      <c r="A765" s="14"/>
      <c r="B765" s="14"/>
      <c r="C765" s="149"/>
      <c r="D765" s="150"/>
      <c r="E765" s="151"/>
      <c r="F765" s="151"/>
      <c r="G765" s="151"/>
      <c r="H765" s="10"/>
      <c r="I765" s="152"/>
      <c r="J765" s="151"/>
      <c r="K765" s="151"/>
      <c r="L765" s="10"/>
      <c r="M765" s="10"/>
      <c r="N765" s="10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20"/>
    </row>
    <row r="766">
      <c r="A766" s="14"/>
      <c r="B766" s="14"/>
      <c r="C766" s="149"/>
      <c r="D766" s="150"/>
      <c r="E766" s="151"/>
      <c r="F766" s="151"/>
      <c r="G766" s="151"/>
      <c r="H766" s="10"/>
      <c r="I766" s="152"/>
      <c r="J766" s="151"/>
      <c r="K766" s="151"/>
      <c r="L766" s="10"/>
      <c r="M766" s="10"/>
      <c r="N766" s="10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20"/>
    </row>
    <row r="767">
      <c r="A767" s="14"/>
      <c r="B767" s="14"/>
      <c r="C767" s="149"/>
      <c r="D767" s="150"/>
      <c r="E767" s="151"/>
      <c r="F767" s="151"/>
      <c r="G767" s="151"/>
      <c r="H767" s="10"/>
      <c r="I767" s="152"/>
      <c r="J767" s="151"/>
      <c r="K767" s="151"/>
      <c r="L767" s="10"/>
      <c r="M767" s="10"/>
      <c r="N767" s="10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20"/>
    </row>
    <row r="768">
      <c r="A768" s="14"/>
      <c r="B768" s="14"/>
      <c r="C768" s="149"/>
      <c r="D768" s="150"/>
      <c r="E768" s="151"/>
      <c r="F768" s="151"/>
      <c r="G768" s="151"/>
      <c r="H768" s="10"/>
      <c r="I768" s="152"/>
      <c r="J768" s="151"/>
      <c r="K768" s="151"/>
      <c r="L768" s="10"/>
      <c r="M768" s="10"/>
      <c r="N768" s="10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20"/>
    </row>
    <row r="769">
      <c r="A769" s="14"/>
      <c r="B769" s="14"/>
      <c r="C769" s="149"/>
      <c r="D769" s="150"/>
      <c r="E769" s="151"/>
      <c r="F769" s="151"/>
      <c r="G769" s="151"/>
      <c r="H769" s="10"/>
      <c r="I769" s="152"/>
      <c r="J769" s="151"/>
      <c r="K769" s="151"/>
      <c r="L769" s="10"/>
      <c r="M769" s="10"/>
      <c r="N769" s="10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20"/>
    </row>
    <row r="770">
      <c r="A770" s="14"/>
      <c r="B770" s="14"/>
      <c r="C770" s="149"/>
      <c r="D770" s="150"/>
      <c r="E770" s="151"/>
      <c r="F770" s="151"/>
      <c r="G770" s="151"/>
      <c r="H770" s="10"/>
      <c r="I770" s="152"/>
      <c r="J770" s="151"/>
      <c r="K770" s="151"/>
      <c r="L770" s="10"/>
      <c r="M770" s="10"/>
      <c r="N770" s="10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20"/>
    </row>
    <row r="771">
      <c r="A771" s="14"/>
      <c r="B771" s="14"/>
      <c r="C771" s="149"/>
      <c r="D771" s="150"/>
      <c r="E771" s="151"/>
      <c r="F771" s="151"/>
      <c r="G771" s="151"/>
      <c r="H771" s="10"/>
      <c r="I771" s="152"/>
      <c r="J771" s="151"/>
      <c r="K771" s="151"/>
      <c r="L771" s="10"/>
      <c r="M771" s="10"/>
      <c r="N771" s="10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20"/>
    </row>
    <row r="772">
      <c r="A772" s="14"/>
      <c r="B772" s="14"/>
      <c r="C772" s="149"/>
      <c r="D772" s="150"/>
      <c r="E772" s="151"/>
      <c r="F772" s="151"/>
      <c r="G772" s="151"/>
      <c r="H772" s="10"/>
      <c r="I772" s="152"/>
      <c r="J772" s="151"/>
      <c r="K772" s="151"/>
      <c r="L772" s="10"/>
      <c r="M772" s="10"/>
      <c r="N772" s="10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20"/>
    </row>
    <row r="773">
      <c r="A773" s="14"/>
      <c r="B773" s="14"/>
      <c r="C773" s="149"/>
      <c r="D773" s="150"/>
      <c r="E773" s="151"/>
      <c r="F773" s="151"/>
      <c r="G773" s="151"/>
      <c r="H773" s="10"/>
      <c r="I773" s="152"/>
      <c r="J773" s="151"/>
      <c r="K773" s="151"/>
      <c r="L773" s="10"/>
      <c r="M773" s="10"/>
      <c r="N773" s="10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20"/>
    </row>
    <row r="774">
      <c r="A774" s="14"/>
      <c r="B774" s="14"/>
      <c r="C774" s="149"/>
      <c r="D774" s="150"/>
      <c r="E774" s="151"/>
      <c r="F774" s="151"/>
      <c r="G774" s="151"/>
      <c r="H774" s="10"/>
      <c r="I774" s="152"/>
      <c r="J774" s="151"/>
      <c r="K774" s="151"/>
      <c r="L774" s="10"/>
      <c r="M774" s="10"/>
      <c r="N774" s="10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20"/>
    </row>
    <row r="775">
      <c r="A775" s="14"/>
      <c r="B775" s="14"/>
      <c r="C775" s="149"/>
      <c r="D775" s="150"/>
      <c r="E775" s="151"/>
      <c r="F775" s="151"/>
      <c r="G775" s="151"/>
      <c r="H775" s="10"/>
      <c r="I775" s="152"/>
      <c r="J775" s="151"/>
      <c r="K775" s="151"/>
      <c r="L775" s="10"/>
      <c r="M775" s="10"/>
      <c r="N775" s="10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20"/>
    </row>
    <row r="776">
      <c r="A776" s="14"/>
      <c r="B776" s="14"/>
      <c r="C776" s="149"/>
      <c r="D776" s="150"/>
      <c r="E776" s="151"/>
      <c r="F776" s="151"/>
      <c r="G776" s="151"/>
      <c r="H776" s="10"/>
      <c r="I776" s="152"/>
      <c r="J776" s="151"/>
      <c r="K776" s="151"/>
      <c r="L776" s="10"/>
      <c r="M776" s="10"/>
      <c r="N776" s="10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20"/>
    </row>
    <row r="777">
      <c r="A777" s="14"/>
      <c r="B777" s="14"/>
      <c r="C777" s="149"/>
      <c r="D777" s="150"/>
      <c r="E777" s="151"/>
      <c r="F777" s="151"/>
      <c r="G777" s="151"/>
      <c r="H777" s="10"/>
      <c r="I777" s="152"/>
      <c r="J777" s="151"/>
      <c r="K777" s="151"/>
      <c r="L777" s="10"/>
      <c r="M777" s="10"/>
      <c r="N777" s="10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20"/>
    </row>
    <row r="778">
      <c r="A778" s="14"/>
      <c r="B778" s="14"/>
      <c r="C778" s="149"/>
      <c r="D778" s="150"/>
      <c r="E778" s="151"/>
      <c r="F778" s="151"/>
      <c r="G778" s="151"/>
      <c r="H778" s="10"/>
      <c r="I778" s="152"/>
      <c r="J778" s="151"/>
      <c r="K778" s="151"/>
      <c r="L778" s="10"/>
      <c r="M778" s="10"/>
      <c r="N778" s="10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20"/>
    </row>
    <row r="779">
      <c r="A779" s="14"/>
      <c r="B779" s="14"/>
      <c r="C779" s="149"/>
      <c r="D779" s="150"/>
      <c r="E779" s="151"/>
      <c r="F779" s="151"/>
      <c r="G779" s="151"/>
      <c r="H779" s="10"/>
      <c r="I779" s="152"/>
      <c r="J779" s="151"/>
      <c r="K779" s="151"/>
      <c r="L779" s="10"/>
      <c r="M779" s="10"/>
      <c r="N779" s="10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20"/>
    </row>
    <row r="780">
      <c r="A780" s="14"/>
      <c r="B780" s="14"/>
      <c r="C780" s="149"/>
      <c r="D780" s="150"/>
      <c r="E780" s="151"/>
      <c r="F780" s="151"/>
      <c r="G780" s="151"/>
      <c r="H780" s="10"/>
      <c r="I780" s="152"/>
      <c r="J780" s="151"/>
      <c r="K780" s="151"/>
      <c r="L780" s="10"/>
      <c r="M780" s="10"/>
      <c r="N780" s="10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20"/>
    </row>
    <row r="781">
      <c r="A781" s="14"/>
      <c r="B781" s="14"/>
      <c r="C781" s="149"/>
      <c r="D781" s="150"/>
      <c r="E781" s="151"/>
      <c r="F781" s="151"/>
      <c r="G781" s="151"/>
      <c r="H781" s="10"/>
      <c r="I781" s="152"/>
      <c r="J781" s="151"/>
      <c r="K781" s="151"/>
      <c r="L781" s="10"/>
      <c r="M781" s="10"/>
      <c r="N781" s="10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20"/>
    </row>
    <row r="782">
      <c r="A782" s="14"/>
      <c r="B782" s="14"/>
      <c r="C782" s="149"/>
      <c r="D782" s="150"/>
      <c r="E782" s="151"/>
      <c r="F782" s="151"/>
      <c r="G782" s="151"/>
      <c r="H782" s="10"/>
      <c r="I782" s="152"/>
      <c r="J782" s="151"/>
      <c r="K782" s="151"/>
      <c r="L782" s="10"/>
      <c r="M782" s="10"/>
      <c r="N782" s="10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20"/>
    </row>
    <row r="783">
      <c r="A783" s="14"/>
      <c r="B783" s="14"/>
      <c r="C783" s="149"/>
      <c r="D783" s="150"/>
      <c r="E783" s="151"/>
      <c r="F783" s="151"/>
      <c r="G783" s="151"/>
      <c r="H783" s="10"/>
      <c r="I783" s="152"/>
      <c r="J783" s="151"/>
      <c r="K783" s="151"/>
      <c r="L783" s="10"/>
      <c r="M783" s="10"/>
      <c r="N783" s="10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20"/>
    </row>
    <row r="784">
      <c r="A784" s="14"/>
      <c r="B784" s="14"/>
      <c r="C784" s="149"/>
      <c r="D784" s="150"/>
      <c r="E784" s="151"/>
      <c r="F784" s="151"/>
      <c r="G784" s="151"/>
      <c r="H784" s="10"/>
      <c r="I784" s="152"/>
      <c r="J784" s="151"/>
      <c r="K784" s="151"/>
      <c r="L784" s="10"/>
      <c r="M784" s="10"/>
      <c r="N784" s="10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20"/>
    </row>
    <row r="785">
      <c r="A785" s="14"/>
      <c r="B785" s="14"/>
      <c r="C785" s="149"/>
      <c r="D785" s="150"/>
      <c r="E785" s="151"/>
      <c r="F785" s="151"/>
      <c r="G785" s="151"/>
      <c r="H785" s="10"/>
      <c r="I785" s="152"/>
      <c r="J785" s="151"/>
      <c r="K785" s="151"/>
      <c r="L785" s="10"/>
      <c r="M785" s="10"/>
      <c r="N785" s="10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20"/>
    </row>
    <row r="786">
      <c r="A786" s="14"/>
      <c r="B786" s="14"/>
      <c r="C786" s="149"/>
      <c r="D786" s="150"/>
      <c r="E786" s="151"/>
      <c r="F786" s="151"/>
      <c r="G786" s="151"/>
      <c r="H786" s="10"/>
      <c r="I786" s="152"/>
      <c r="J786" s="151"/>
      <c r="K786" s="151"/>
      <c r="L786" s="10"/>
      <c r="M786" s="10"/>
      <c r="N786" s="10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20"/>
    </row>
    <row r="787">
      <c r="A787" s="14"/>
      <c r="B787" s="14"/>
      <c r="C787" s="149"/>
      <c r="D787" s="150"/>
      <c r="E787" s="151"/>
      <c r="F787" s="151"/>
      <c r="G787" s="151"/>
      <c r="H787" s="10"/>
      <c r="I787" s="152"/>
      <c r="J787" s="151"/>
      <c r="K787" s="151"/>
      <c r="L787" s="10"/>
      <c r="M787" s="10"/>
      <c r="N787" s="10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20"/>
    </row>
    <row r="788">
      <c r="A788" s="14"/>
      <c r="B788" s="14"/>
      <c r="C788" s="149"/>
      <c r="D788" s="150"/>
      <c r="E788" s="151"/>
      <c r="F788" s="151"/>
      <c r="G788" s="151"/>
      <c r="H788" s="10"/>
      <c r="I788" s="152"/>
      <c r="J788" s="151"/>
      <c r="K788" s="151"/>
      <c r="L788" s="10"/>
      <c r="M788" s="10"/>
      <c r="N788" s="10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20"/>
    </row>
    <row r="789">
      <c r="A789" s="14"/>
      <c r="B789" s="14"/>
      <c r="C789" s="149"/>
      <c r="D789" s="150"/>
      <c r="E789" s="151"/>
      <c r="F789" s="151"/>
      <c r="G789" s="151"/>
      <c r="H789" s="10"/>
      <c r="I789" s="152"/>
      <c r="J789" s="151"/>
      <c r="K789" s="151"/>
      <c r="L789" s="10"/>
      <c r="M789" s="10"/>
      <c r="N789" s="10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20"/>
    </row>
    <row r="790">
      <c r="A790" s="14"/>
      <c r="B790" s="14"/>
      <c r="C790" s="149"/>
      <c r="D790" s="150"/>
      <c r="E790" s="151"/>
      <c r="F790" s="151"/>
      <c r="G790" s="151"/>
      <c r="H790" s="10"/>
      <c r="I790" s="152"/>
      <c r="J790" s="151"/>
      <c r="K790" s="151"/>
      <c r="L790" s="10"/>
      <c r="M790" s="10"/>
      <c r="N790" s="10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20"/>
    </row>
    <row r="791">
      <c r="A791" s="14"/>
      <c r="B791" s="14"/>
      <c r="C791" s="149"/>
      <c r="D791" s="150"/>
      <c r="E791" s="151"/>
      <c r="F791" s="151"/>
      <c r="G791" s="151"/>
      <c r="H791" s="10"/>
      <c r="I791" s="152"/>
      <c r="J791" s="151"/>
      <c r="K791" s="151"/>
      <c r="L791" s="10"/>
      <c r="M791" s="10"/>
      <c r="N791" s="10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20"/>
    </row>
    <row r="792">
      <c r="A792" s="14"/>
      <c r="B792" s="14"/>
      <c r="C792" s="149"/>
      <c r="D792" s="150"/>
      <c r="E792" s="151"/>
      <c r="F792" s="151"/>
      <c r="G792" s="151"/>
      <c r="H792" s="10"/>
      <c r="I792" s="152"/>
      <c r="J792" s="151"/>
      <c r="K792" s="151"/>
      <c r="L792" s="10"/>
      <c r="M792" s="10"/>
      <c r="N792" s="10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20"/>
    </row>
    <row r="793">
      <c r="A793" s="14"/>
      <c r="B793" s="14"/>
      <c r="C793" s="149"/>
      <c r="D793" s="150"/>
      <c r="E793" s="151"/>
      <c r="F793" s="151"/>
      <c r="G793" s="151"/>
      <c r="H793" s="10"/>
      <c r="I793" s="152"/>
      <c r="J793" s="151"/>
      <c r="K793" s="151"/>
      <c r="L793" s="10"/>
      <c r="M793" s="10"/>
      <c r="N793" s="10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20"/>
    </row>
    <row r="794">
      <c r="A794" s="14"/>
      <c r="B794" s="14"/>
      <c r="C794" s="149"/>
      <c r="D794" s="150"/>
      <c r="E794" s="151"/>
      <c r="F794" s="151"/>
      <c r="G794" s="151"/>
      <c r="H794" s="10"/>
      <c r="I794" s="152"/>
      <c r="J794" s="151"/>
      <c r="K794" s="151"/>
      <c r="L794" s="10"/>
      <c r="M794" s="10"/>
      <c r="N794" s="10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20"/>
    </row>
    <row r="795">
      <c r="A795" s="14"/>
      <c r="B795" s="14"/>
      <c r="C795" s="149"/>
      <c r="D795" s="150"/>
      <c r="E795" s="151"/>
      <c r="F795" s="151"/>
      <c r="G795" s="151"/>
      <c r="H795" s="10"/>
      <c r="I795" s="152"/>
      <c r="J795" s="151"/>
      <c r="K795" s="151"/>
      <c r="L795" s="10"/>
      <c r="M795" s="10"/>
      <c r="N795" s="10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20"/>
    </row>
    <row r="796">
      <c r="A796" s="14"/>
      <c r="B796" s="14"/>
      <c r="C796" s="149"/>
      <c r="D796" s="150"/>
      <c r="E796" s="151"/>
      <c r="F796" s="151"/>
      <c r="G796" s="151"/>
      <c r="H796" s="10"/>
      <c r="I796" s="152"/>
      <c r="J796" s="151"/>
      <c r="K796" s="151"/>
      <c r="L796" s="10"/>
      <c r="M796" s="10"/>
      <c r="N796" s="10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20"/>
    </row>
    <row r="797">
      <c r="A797" s="14"/>
      <c r="B797" s="14"/>
      <c r="C797" s="149"/>
      <c r="D797" s="150"/>
      <c r="E797" s="151"/>
      <c r="F797" s="151"/>
      <c r="G797" s="151"/>
      <c r="H797" s="10"/>
      <c r="I797" s="152"/>
      <c r="J797" s="151"/>
      <c r="K797" s="151"/>
      <c r="L797" s="10"/>
      <c r="M797" s="10"/>
      <c r="N797" s="10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20"/>
    </row>
    <row r="798">
      <c r="A798" s="14"/>
      <c r="B798" s="14"/>
      <c r="C798" s="149"/>
      <c r="D798" s="150"/>
      <c r="E798" s="151"/>
      <c r="F798" s="151"/>
      <c r="G798" s="151"/>
      <c r="H798" s="10"/>
      <c r="I798" s="152"/>
      <c r="J798" s="151"/>
      <c r="K798" s="151"/>
      <c r="L798" s="10"/>
      <c r="M798" s="10"/>
      <c r="N798" s="10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20"/>
    </row>
    <row r="799">
      <c r="A799" s="14"/>
      <c r="B799" s="14"/>
      <c r="C799" s="149"/>
      <c r="D799" s="150"/>
      <c r="E799" s="151"/>
      <c r="F799" s="151"/>
      <c r="G799" s="151"/>
      <c r="H799" s="10"/>
      <c r="I799" s="152"/>
      <c r="J799" s="151"/>
      <c r="K799" s="151"/>
      <c r="L799" s="10"/>
      <c r="M799" s="10"/>
      <c r="N799" s="10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20"/>
    </row>
    <row r="800">
      <c r="A800" s="14"/>
      <c r="B800" s="14"/>
      <c r="C800" s="149"/>
      <c r="D800" s="150"/>
      <c r="E800" s="151"/>
      <c r="F800" s="151"/>
      <c r="G800" s="151"/>
      <c r="H800" s="10"/>
      <c r="I800" s="152"/>
      <c r="J800" s="151"/>
      <c r="K800" s="151"/>
      <c r="L800" s="10"/>
      <c r="M800" s="10"/>
      <c r="N800" s="10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20"/>
    </row>
    <row r="801">
      <c r="A801" s="14"/>
      <c r="B801" s="14"/>
      <c r="C801" s="149"/>
      <c r="D801" s="150"/>
      <c r="E801" s="151"/>
      <c r="F801" s="151"/>
      <c r="G801" s="151"/>
      <c r="H801" s="10"/>
      <c r="I801" s="152"/>
      <c r="J801" s="151"/>
      <c r="K801" s="151"/>
      <c r="L801" s="10"/>
      <c r="M801" s="10"/>
      <c r="N801" s="10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20"/>
    </row>
    <row r="802">
      <c r="A802" s="14"/>
      <c r="B802" s="14"/>
      <c r="C802" s="149"/>
      <c r="D802" s="150"/>
      <c r="E802" s="151"/>
      <c r="F802" s="151"/>
      <c r="G802" s="151"/>
      <c r="H802" s="10"/>
      <c r="I802" s="152"/>
      <c r="J802" s="151"/>
      <c r="K802" s="151"/>
      <c r="L802" s="10"/>
      <c r="M802" s="10"/>
      <c r="N802" s="10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20"/>
    </row>
    <row r="803">
      <c r="A803" s="14"/>
      <c r="B803" s="14"/>
      <c r="C803" s="149"/>
      <c r="D803" s="150"/>
      <c r="E803" s="151"/>
      <c r="F803" s="151"/>
      <c r="G803" s="151"/>
      <c r="H803" s="10"/>
      <c r="I803" s="152"/>
      <c r="J803" s="151"/>
      <c r="K803" s="151"/>
      <c r="L803" s="10"/>
      <c r="M803" s="10"/>
      <c r="N803" s="10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20"/>
    </row>
    <row r="804">
      <c r="A804" s="14"/>
      <c r="B804" s="14"/>
      <c r="C804" s="149"/>
      <c r="D804" s="150"/>
      <c r="E804" s="151"/>
      <c r="F804" s="151"/>
      <c r="G804" s="151"/>
      <c r="H804" s="10"/>
      <c r="I804" s="152"/>
      <c r="J804" s="151"/>
      <c r="K804" s="151"/>
      <c r="L804" s="10"/>
      <c r="M804" s="10"/>
      <c r="N804" s="10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20"/>
    </row>
    <row r="805">
      <c r="A805" s="14"/>
      <c r="B805" s="14"/>
      <c r="C805" s="149"/>
      <c r="D805" s="150"/>
      <c r="E805" s="151"/>
      <c r="F805" s="151"/>
      <c r="G805" s="151"/>
      <c r="H805" s="10"/>
      <c r="I805" s="152"/>
      <c r="J805" s="151"/>
      <c r="K805" s="151"/>
      <c r="L805" s="10"/>
      <c r="M805" s="10"/>
      <c r="N805" s="10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20"/>
    </row>
    <row r="806">
      <c r="A806" s="14"/>
      <c r="B806" s="14"/>
      <c r="C806" s="149"/>
      <c r="D806" s="150"/>
      <c r="E806" s="151"/>
      <c r="F806" s="151"/>
      <c r="G806" s="151"/>
      <c r="H806" s="10"/>
      <c r="I806" s="152"/>
      <c r="J806" s="151"/>
      <c r="K806" s="151"/>
      <c r="L806" s="10"/>
      <c r="M806" s="10"/>
      <c r="N806" s="10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20"/>
    </row>
    <row r="807">
      <c r="A807" s="14"/>
      <c r="B807" s="14"/>
      <c r="C807" s="149"/>
      <c r="D807" s="150"/>
      <c r="E807" s="151"/>
      <c r="F807" s="151"/>
      <c r="G807" s="151"/>
      <c r="H807" s="10"/>
      <c r="I807" s="152"/>
      <c r="J807" s="151"/>
      <c r="K807" s="151"/>
      <c r="L807" s="10"/>
      <c r="M807" s="10"/>
      <c r="N807" s="10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20"/>
    </row>
    <row r="808">
      <c r="A808" s="14"/>
      <c r="B808" s="14"/>
      <c r="C808" s="149"/>
      <c r="D808" s="150"/>
      <c r="E808" s="151"/>
      <c r="F808" s="151"/>
      <c r="G808" s="151"/>
      <c r="H808" s="10"/>
      <c r="I808" s="152"/>
      <c r="J808" s="151"/>
      <c r="K808" s="151"/>
      <c r="L808" s="10"/>
      <c r="M808" s="10"/>
      <c r="N808" s="10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20"/>
    </row>
    <row r="809">
      <c r="A809" s="14"/>
      <c r="B809" s="14"/>
      <c r="C809" s="149"/>
      <c r="D809" s="150"/>
      <c r="E809" s="151"/>
      <c r="F809" s="151"/>
      <c r="G809" s="151"/>
      <c r="H809" s="10"/>
      <c r="I809" s="152"/>
      <c r="J809" s="151"/>
      <c r="K809" s="151"/>
      <c r="L809" s="10"/>
      <c r="M809" s="10"/>
      <c r="N809" s="10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20"/>
    </row>
    <row r="810">
      <c r="A810" s="14"/>
      <c r="B810" s="14"/>
      <c r="C810" s="149"/>
      <c r="D810" s="150"/>
      <c r="E810" s="151"/>
      <c r="F810" s="151"/>
      <c r="G810" s="151"/>
      <c r="H810" s="10"/>
      <c r="I810" s="152"/>
      <c r="J810" s="151"/>
      <c r="K810" s="151"/>
      <c r="L810" s="10"/>
      <c r="M810" s="10"/>
      <c r="N810" s="10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20"/>
    </row>
    <row r="811">
      <c r="A811" s="14"/>
      <c r="B811" s="14"/>
      <c r="C811" s="149"/>
      <c r="D811" s="150"/>
      <c r="E811" s="151"/>
      <c r="F811" s="151"/>
      <c r="G811" s="151"/>
      <c r="H811" s="10"/>
      <c r="I811" s="152"/>
      <c r="J811" s="151"/>
      <c r="K811" s="151"/>
      <c r="L811" s="10"/>
      <c r="M811" s="10"/>
      <c r="N811" s="10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20"/>
    </row>
    <row r="812">
      <c r="A812" s="14"/>
      <c r="B812" s="14"/>
      <c r="C812" s="149"/>
      <c r="D812" s="150"/>
      <c r="E812" s="151"/>
      <c r="F812" s="151"/>
      <c r="G812" s="151"/>
      <c r="H812" s="10"/>
      <c r="I812" s="152"/>
      <c r="J812" s="151"/>
      <c r="K812" s="151"/>
      <c r="L812" s="10"/>
      <c r="M812" s="10"/>
      <c r="N812" s="10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20"/>
    </row>
    <row r="813">
      <c r="A813" s="14"/>
      <c r="B813" s="14"/>
      <c r="C813" s="149"/>
      <c r="D813" s="150"/>
      <c r="E813" s="151"/>
      <c r="F813" s="151"/>
      <c r="G813" s="151"/>
      <c r="H813" s="10"/>
      <c r="I813" s="152"/>
      <c r="J813" s="151"/>
      <c r="K813" s="151"/>
      <c r="L813" s="10"/>
      <c r="M813" s="10"/>
      <c r="N813" s="10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20"/>
    </row>
    <row r="814">
      <c r="A814" s="14"/>
      <c r="B814" s="14"/>
      <c r="C814" s="149"/>
      <c r="D814" s="150"/>
      <c r="E814" s="151"/>
      <c r="F814" s="151"/>
      <c r="G814" s="151"/>
      <c r="H814" s="10"/>
      <c r="I814" s="152"/>
      <c r="J814" s="151"/>
      <c r="K814" s="151"/>
      <c r="L814" s="10"/>
      <c r="M814" s="10"/>
      <c r="N814" s="10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20"/>
    </row>
    <row r="815">
      <c r="A815" s="14"/>
      <c r="B815" s="14"/>
      <c r="C815" s="149"/>
      <c r="D815" s="150"/>
      <c r="E815" s="151"/>
      <c r="F815" s="151"/>
      <c r="G815" s="151"/>
      <c r="H815" s="10"/>
      <c r="I815" s="152"/>
      <c r="J815" s="151"/>
      <c r="K815" s="151"/>
      <c r="L815" s="10"/>
      <c r="M815" s="10"/>
      <c r="N815" s="10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20"/>
    </row>
    <row r="816">
      <c r="A816" s="14"/>
      <c r="B816" s="14"/>
      <c r="C816" s="149"/>
      <c r="D816" s="150"/>
      <c r="E816" s="151"/>
      <c r="F816" s="151"/>
      <c r="G816" s="151"/>
      <c r="H816" s="10"/>
      <c r="I816" s="152"/>
      <c r="J816" s="151"/>
      <c r="K816" s="151"/>
      <c r="L816" s="10"/>
      <c r="M816" s="10"/>
      <c r="N816" s="10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20"/>
    </row>
    <row r="817">
      <c r="A817" s="14"/>
      <c r="B817" s="14"/>
      <c r="C817" s="149"/>
      <c r="D817" s="150"/>
      <c r="E817" s="151"/>
      <c r="F817" s="151"/>
      <c r="G817" s="151"/>
      <c r="H817" s="10"/>
      <c r="I817" s="152"/>
      <c r="J817" s="151"/>
      <c r="K817" s="151"/>
      <c r="L817" s="10"/>
      <c r="M817" s="10"/>
      <c r="N817" s="10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20"/>
    </row>
    <row r="818">
      <c r="A818" s="14"/>
      <c r="B818" s="14"/>
      <c r="C818" s="149"/>
      <c r="D818" s="150"/>
      <c r="E818" s="151"/>
      <c r="F818" s="151"/>
      <c r="G818" s="151"/>
      <c r="H818" s="10"/>
      <c r="I818" s="152"/>
      <c r="J818" s="151"/>
      <c r="K818" s="151"/>
      <c r="L818" s="10"/>
      <c r="M818" s="10"/>
      <c r="N818" s="10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20"/>
    </row>
    <row r="819">
      <c r="A819" s="14"/>
      <c r="B819" s="14"/>
      <c r="C819" s="149"/>
      <c r="D819" s="150"/>
      <c r="E819" s="151"/>
      <c r="F819" s="151"/>
      <c r="G819" s="151"/>
      <c r="H819" s="10"/>
      <c r="I819" s="152"/>
      <c r="J819" s="151"/>
      <c r="K819" s="151"/>
      <c r="L819" s="10"/>
      <c r="M819" s="10"/>
      <c r="N819" s="10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20"/>
    </row>
    <row r="820">
      <c r="A820" s="14"/>
      <c r="B820" s="14"/>
      <c r="C820" s="149"/>
      <c r="D820" s="150"/>
      <c r="E820" s="151"/>
      <c r="F820" s="151"/>
      <c r="G820" s="151"/>
      <c r="H820" s="10"/>
      <c r="I820" s="152"/>
      <c r="J820" s="151"/>
      <c r="K820" s="151"/>
      <c r="L820" s="10"/>
      <c r="M820" s="10"/>
      <c r="N820" s="10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20"/>
    </row>
    <row r="821">
      <c r="A821" s="14"/>
      <c r="B821" s="14"/>
      <c r="C821" s="149"/>
      <c r="D821" s="150"/>
      <c r="E821" s="151"/>
      <c r="F821" s="151"/>
      <c r="G821" s="151"/>
      <c r="H821" s="10"/>
      <c r="I821" s="152"/>
      <c r="J821" s="151"/>
      <c r="K821" s="151"/>
      <c r="L821" s="10"/>
      <c r="M821" s="10"/>
      <c r="N821" s="10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20"/>
    </row>
    <row r="822">
      <c r="A822" s="14"/>
      <c r="B822" s="14"/>
      <c r="C822" s="149"/>
      <c r="D822" s="150"/>
      <c r="E822" s="151"/>
      <c r="F822" s="151"/>
      <c r="G822" s="151"/>
      <c r="H822" s="10"/>
      <c r="I822" s="152"/>
      <c r="J822" s="151"/>
      <c r="K822" s="151"/>
      <c r="L822" s="10"/>
      <c r="M822" s="10"/>
      <c r="N822" s="10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20"/>
    </row>
    <row r="823">
      <c r="A823" s="14"/>
      <c r="B823" s="14"/>
      <c r="C823" s="149"/>
      <c r="D823" s="150"/>
      <c r="E823" s="151"/>
      <c r="F823" s="151"/>
      <c r="G823" s="151"/>
      <c r="H823" s="10"/>
      <c r="I823" s="152"/>
      <c r="J823" s="151"/>
      <c r="K823" s="151"/>
      <c r="L823" s="10"/>
      <c r="M823" s="10"/>
      <c r="N823" s="10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20"/>
    </row>
    <row r="824">
      <c r="A824" s="14"/>
      <c r="B824" s="14"/>
      <c r="C824" s="149"/>
      <c r="D824" s="150"/>
      <c r="E824" s="151"/>
      <c r="F824" s="151"/>
      <c r="G824" s="151"/>
      <c r="H824" s="10"/>
      <c r="I824" s="152"/>
      <c r="J824" s="151"/>
      <c r="K824" s="151"/>
      <c r="L824" s="10"/>
      <c r="M824" s="10"/>
      <c r="N824" s="10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20"/>
    </row>
    <row r="825">
      <c r="A825" s="14"/>
      <c r="B825" s="14"/>
      <c r="C825" s="149"/>
      <c r="D825" s="150"/>
      <c r="E825" s="151"/>
      <c r="F825" s="151"/>
      <c r="G825" s="151"/>
      <c r="H825" s="10"/>
      <c r="I825" s="152"/>
      <c r="J825" s="151"/>
      <c r="K825" s="151"/>
      <c r="L825" s="10"/>
      <c r="M825" s="10"/>
      <c r="N825" s="10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20"/>
    </row>
    <row r="826">
      <c r="A826" s="14"/>
      <c r="B826" s="14"/>
      <c r="C826" s="149"/>
      <c r="D826" s="150"/>
      <c r="E826" s="151"/>
      <c r="F826" s="151"/>
      <c r="G826" s="151"/>
      <c r="H826" s="10"/>
      <c r="I826" s="152"/>
      <c r="J826" s="151"/>
      <c r="K826" s="151"/>
      <c r="L826" s="10"/>
      <c r="M826" s="10"/>
      <c r="N826" s="10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20"/>
    </row>
    <row r="827">
      <c r="A827" s="14"/>
      <c r="B827" s="14"/>
      <c r="C827" s="149"/>
      <c r="D827" s="150"/>
      <c r="E827" s="151"/>
      <c r="F827" s="151"/>
      <c r="G827" s="151"/>
      <c r="H827" s="10"/>
      <c r="I827" s="152"/>
      <c r="J827" s="151"/>
      <c r="K827" s="151"/>
      <c r="L827" s="10"/>
      <c r="M827" s="10"/>
      <c r="N827" s="10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20"/>
    </row>
    <row r="828">
      <c r="A828" s="14"/>
      <c r="B828" s="14"/>
      <c r="C828" s="149"/>
      <c r="D828" s="150"/>
      <c r="E828" s="151"/>
      <c r="F828" s="151"/>
      <c r="G828" s="151"/>
      <c r="H828" s="10"/>
      <c r="I828" s="152"/>
      <c r="J828" s="151"/>
      <c r="K828" s="151"/>
      <c r="L828" s="10"/>
      <c r="M828" s="10"/>
      <c r="N828" s="10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20"/>
    </row>
    <row r="829">
      <c r="A829" s="14"/>
      <c r="B829" s="14"/>
      <c r="C829" s="149"/>
      <c r="D829" s="150"/>
      <c r="E829" s="151"/>
      <c r="F829" s="151"/>
      <c r="G829" s="151"/>
      <c r="H829" s="10"/>
      <c r="I829" s="152"/>
      <c r="J829" s="151"/>
      <c r="K829" s="151"/>
      <c r="L829" s="10"/>
      <c r="M829" s="10"/>
      <c r="N829" s="10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20"/>
    </row>
    <row r="830">
      <c r="A830" s="14"/>
      <c r="B830" s="14"/>
      <c r="C830" s="149"/>
      <c r="D830" s="150"/>
      <c r="E830" s="151"/>
      <c r="F830" s="151"/>
      <c r="G830" s="151"/>
      <c r="H830" s="10"/>
      <c r="I830" s="152"/>
      <c r="J830" s="151"/>
      <c r="K830" s="151"/>
      <c r="L830" s="10"/>
      <c r="M830" s="10"/>
      <c r="N830" s="10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20"/>
    </row>
    <row r="831">
      <c r="A831" s="14"/>
      <c r="B831" s="14"/>
      <c r="C831" s="149"/>
      <c r="D831" s="150"/>
      <c r="E831" s="151"/>
      <c r="F831" s="151"/>
      <c r="G831" s="151"/>
      <c r="H831" s="10"/>
      <c r="I831" s="152"/>
      <c r="J831" s="151"/>
      <c r="K831" s="151"/>
      <c r="L831" s="10"/>
      <c r="M831" s="10"/>
      <c r="N831" s="10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20"/>
    </row>
    <row r="832">
      <c r="A832" s="14"/>
      <c r="B832" s="14"/>
      <c r="C832" s="149"/>
      <c r="D832" s="150"/>
      <c r="E832" s="151"/>
      <c r="F832" s="151"/>
      <c r="G832" s="151"/>
      <c r="H832" s="10"/>
      <c r="I832" s="152"/>
      <c r="J832" s="151"/>
      <c r="K832" s="151"/>
      <c r="L832" s="10"/>
      <c r="M832" s="10"/>
      <c r="N832" s="10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20"/>
    </row>
    <row r="833">
      <c r="A833" s="14"/>
      <c r="B833" s="14"/>
      <c r="C833" s="149"/>
      <c r="D833" s="150"/>
      <c r="E833" s="151"/>
      <c r="F833" s="151"/>
      <c r="G833" s="151"/>
      <c r="H833" s="10"/>
      <c r="I833" s="152"/>
      <c r="J833" s="151"/>
      <c r="K833" s="151"/>
      <c r="L833" s="10"/>
      <c r="M833" s="10"/>
      <c r="N833" s="10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20"/>
    </row>
    <row r="834">
      <c r="A834" s="14"/>
      <c r="B834" s="14"/>
      <c r="C834" s="149"/>
      <c r="D834" s="150"/>
      <c r="E834" s="151"/>
      <c r="F834" s="151"/>
      <c r="G834" s="151"/>
      <c r="H834" s="10"/>
      <c r="I834" s="152"/>
      <c r="J834" s="151"/>
      <c r="K834" s="151"/>
      <c r="L834" s="10"/>
      <c r="M834" s="10"/>
      <c r="N834" s="10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20"/>
    </row>
    <row r="835">
      <c r="A835" s="14"/>
      <c r="B835" s="14"/>
      <c r="C835" s="149"/>
      <c r="D835" s="150"/>
      <c r="E835" s="151"/>
      <c r="F835" s="151"/>
      <c r="G835" s="151"/>
      <c r="H835" s="10"/>
      <c r="I835" s="152"/>
      <c r="J835" s="151"/>
      <c r="K835" s="151"/>
      <c r="L835" s="10"/>
      <c r="M835" s="10"/>
      <c r="N835" s="10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20"/>
    </row>
    <row r="836">
      <c r="A836" s="14"/>
      <c r="B836" s="14"/>
      <c r="C836" s="149"/>
      <c r="D836" s="150"/>
      <c r="E836" s="151"/>
      <c r="F836" s="151"/>
      <c r="G836" s="151"/>
      <c r="H836" s="10"/>
      <c r="I836" s="152"/>
      <c r="J836" s="151"/>
      <c r="K836" s="151"/>
      <c r="L836" s="10"/>
      <c r="M836" s="10"/>
      <c r="N836" s="10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20"/>
    </row>
    <row r="837">
      <c r="A837" s="14"/>
      <c r="B837" s="14"/>
      <c r="C837" s="149"/>
      <c r="D837" s="150"/>
      <c r="E837" s="151"/>
      <c r="F837" s="151"/>
      <c r="G837" s="151"/>
      <c r="H837" s="10"/>
      <c r="I837" s="152"/>
      <c r="J837" s="151"/>
      <c r="K837" s="151"/>
      <c r="L837" s="10"/>
      <c r="M837" s="10"/>
      <c r="N837" s="10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20"/>
    </row>
    <row r="838">
      <c r="A838" s="14"/>
      <c r="B838" s="14"/>
      <c r="C838" s="149"/>
      <c r="D838" s="150"/>
      <c r="E838" s="151"/>
      <c r="F838" s="151"/>
      <c r="G838" s="151"/>
      <c r="H838" s="10"/>
      <c r="I838" s="152"/>
      <c r="J838" s="151"/>
      <c r="K838" s="151"/>
      <c r="L838" s="10"/>
      <c r="M838" s="10"/>
      <c r="N838" s="10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20"/>
    </row>
    <row r="839">
      <c r="A839" s="14"/>
      <c r="B839" s="14"/>
      <c r="C839" s="149"/>
      <c r="D839" s="150"/>
      <c r="E839" s="151"/>
      <c r="F839" s="151"/>
      <c r="G839" s="151"/>
      <c r="H839" s="10"/>
      <c r="I839" s="152"/>
      <c r="J839" s="151"/>
      <c r="K839" s="151"/>
      <c r="L839" s="10"/>
      <c r="M839" s="10"/>
      <c r="N839" s="10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20"/>
    </row>
    <row r="840">
      <c r="A840" s="14"/>
      <c r="B840" s="14"/>
      <c r="C840" s="149"/>
      <c r="D840" s="150"/>
      <c r="E840" s="151"/>
      <c r="F840" s="151"/>
      <c r="G840" s="151"/>
      <c r="H840" s="10"/>
      <c r="I840" s="152"/>
      <c r="J840" s="151"/>
      <c r="K840" s="151"/>
      <c r="L840" s="10"/>
      <c r="M840" s="10"/>
      <c r="N840" s="10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20"/>
    </row>
    <row r="841">
      <c r="A841" s="14"/>
      <c r="B841" s="14"/>
      <c r="C841" s="149"/>
      <c r="D841" s="150"/>
      <c r="E841" s="151"/>
      <c r="F841" s="151"/>
      <c r="G841" s="151"/>
      <c r="H841" s="10"/>
      <c r="I841" s="152"/>
      <c r="J841" s="151"/>
      <c r="K841" s="151"/>
      <c r="L841" s="10"/>
      <c r="M841" s="10"/>
      <c r="N841" s="10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20"/>
    </row>
    <row r="842">
      <c r="A842" s="14"/>
      <c r="B842" s="14"/>
      <c r="C842" s="149"/>
      <c r="D842" s="150"/>
      <c r="E842" s="151"/>
      <c r="F842" s="151"/>
      <c r="G842" s="151"/>
      <c r="H842" s="10"/>
      <c r="I842" s="152"/>
      <c r="J842" s="151"/>
      <c r="K842" s="151"/>
      <c r="L842" s="10"/>
      <c r="M842" s="10"/>
      <c r="N842" s="10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20"/>
    </row>
    <row r="843">
      <c r="A843" s="14"/>
      <c r="B843" s="14"/>
      <c r="C843" s="149"/>
      <c r="D843" s="150"/>
      <c r="E843" s="151"/>
      <c r="F843" s="151"/>
      <c r="G843" s="151"/>
      <c r="H843" s="10"/>
      <c r="I843" s="152"/>
      <c r="J843" s="151"/>
      <c r="K843" s="151"/>
      <c r="L843" s="10"/>
      <c r="M843" s="10"/>
      <c r="N843" s="10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20"/>
    </row>
    <row r="844">
      <c r="A844" s="14"/>
      <c r="B844" s="14"/>
      <c r="C844" s="149"/>
      <c r="D844" s="150"/>
      <c r="E844" s="151"/>
      <c r="F844" s="151"/>
      <c r="G844" s="151"/>
      <c r="H844" s="10"/>
      <c r="I844" s="152"/>
      <c r="J844" s="151"/>
      <c r="K844" s="151"/>
      <c r="L844" s="10"/>
      <c r="M844" s="10"/>
      <c r="N844" s="10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20"/>
    </row>
    <row r="845">
      <c r="A845" s="14"/>
      <c r="B845" s="14"/>
      <c r="C845" s="149"/>
      <c r="D845" s="150"/>
      <c r="E845" s="151"/>
      <c r="F845" s="151"/>
      <c r="G845" s="151"/>
      <c r="H845" s="10"/>
      <c r="I845" s="152"/>
      <c r="J845" s="151"/>
      <c r="K845" s="151"/>
      <c r="L845" s="10"/>
      <c r="M845" s="10"/>
      <c r="N845" s="10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20"/>
    </row>
    <row r="846">
      <c r="A846" s="14"/>
      <c r="B846" s="14"/>
      <c r="C846" s="149"/>
      <c r="D846" s="150"/>
      <c r="E846" s="151"/>
      <c r="F846" s="151"/>
      <c r="G846" s="151"/>
      <c r="H846" s="10"/>
      <c r="I846" s="152"/>
      <c r="J846" s="151"/>
      <c r="K846" s="151"/>
      <c r="L846" s="10"/>
      <c r="M846" s="10"/>
      <c r="N846" s="10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20"/>
    </row>
    <row r="847">
      <c r="A847" s="14"/>
      <c r="B847" s="14"/>
      <c r="C847" s="149"/>
      <c r="D847" s="150"/>
      <c r="E847" s="151"/>
      <c r="F847" s="151"/>
      <c r="G847" s="151"/>
      <c r="H847" s="10"/>
      <c r="I847" s="152"/>
      <c r="J847" s="151"/>
      <c r="K847" s="151"/>
      <c r="L847" s="10"/>
      <c r="M847" s="10"/>
      <c r="N847" s="10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20"/>
    </row>
    <row r="848">
      <c r="A848" s="14"/>
      <c r="B848" s="14"/>
      <c r="C848" s="149"/>
      <c r="D848" s="150"/>
      <c r="E848" s="151"/>
      <c r="F848" s="151"/>
      <c r="G848" s="151"/>
      <c r="H848" s="10"/>
      <c r="I848" s="152"/>
      <c r="J848" s="151"/>
      <c r="K848" s="151"/>
      <c r="L848" s="10"/>
      <c r="M848" s="10"/>
      <c r="N848" s="10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20"/>
    </row>
    <row r="849">
      <c r="A849" s="14"/>
      <c r="B849" s="14"/>
      <c r="C849" s="149"/>
      <c r="D849" s="150"/>
      <c r="E849" s="151"/>
      <c r="F849" s="151"/>
      <c r="G849" s="151"/>
      <c r="H849" s="10"/>
      <c r="I849" s="152"/>
      <c r="J849" s="151"/>
      <c r="K849" s="151"/>
      <c r="L849" s="10"/>
      <c r="M849" s="10"/>
      <c r="N849" s="10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20"/>
    </row>
    <row r="850">
      <c r="A850" s="14"/>
      <c r="B850" s="14"/>
      <c r="C850" s="149"/>
      <c r="D850" s="150"/>
      <c r="E850" s="151"/>
      <c r="F850" s="151"/>
      <c r="G850" s="151"/>
      <c r="H850" s="10"/>
      <c r="I850" s="152"/>
      <c r="J850" s="151"/>
      <c r="K850" s="151"/>
      <c r="L850" s="10"/>
      <c r="M850" s="10"/>
      <c r="N850" s="10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20"/>
    </row>
    <row r="851">
      <c r="A851" s="14"/>
      <c r="B851" s="14"/>
      <c r="C851" s="149"/>
      <c r="D851" s="150"/>
      <c r="E851" s="151"/>
      <c r="F851" s="151"/>
      <c r="G851" s="151"/>
      <c r="H851" s="10"/>
      <c r="I851" s="152"/>
      <c r="J851" s="151"/>
      <c r="K851" s="151"/>
      <c r="L851" s="10"/>
      <c r="M851" s="10"/>
      <c r="N851" s="10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20"/>
    </row>
    <row r="852">
      <c r="A852" s="14"/>
      <c r="B852" s="14"/>
      <c r="C852" s="149"/>
      <c r="D852" s="150"/>
      <c r="E852" s="151"/>
      <c r="F852" s="151"/>
      <c r="G852" s="151"/>
      <c r="H852" s="10"/>
      <c r="I852" s="152"/>
      <c r="J852" s="151"/>
      <c r="K852" s="151"/>
      <c r="L852" s="10"/>
      <c r="M852" s="10"/>
      <c r="N852" s="10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20"/>
    </row>
    <row r="853">
      <c r="A853" s="14"/>
      <c r="B853" s="14"/>
      <c r="C853" s="149"/>
      <c r="D853" s="150"/>
      <c r="E853" s="151"/>
      <c r="F853" s="151"/>
      <c r="G853" s="151"/>
      <c r="H853" s="10"/>
      <c r="I853" s="152"/>
      <c r="J853" s="151"/>
      <c r="K853" s="151"/>
      <c r="L853" s="10"/>
      <c r="M853" s="10"/>
      <c r="N853" s="10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20"/>
    </row>
    <row r="854">
      <c r="A854" s="14"/>
      <c r="B854" s="14"/>
      <c r="C854" s="149"/>
      <c r="D854" s="150"/>
      <c r="E854" s="151"/>
      <c r="F854" s="151"/>
      <c r="G854" s="151"/>
      <c r="H854" s="10"/>
      <c r="I854" s="152"/>
      <c r="J854" s="151"/>
      <c r="K854" s="151"/>
      <c r="L854" s="10"/>
      <c r="M854" s="10"/>
      <c r="N854" s="10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20"/>
    </row>
    <row r="855">
      <c r="A855" s="14"/>
      <c r="B855" s="14"/>
      <c r="C855" s="149"/>
      <c r="D855" s="150"/>
      <c r="E855" s="151"/>
      <c r="F855" s="151"/>
      <c r="G855" s="151"/>
      <c r="H855" s="10"/>
      <c r="I855" s="152"/>
      <c r="J855" s="151"/>
      <c r="K855" s="151"/>
      <c r="L855" s="10"/>
      <c r="M855" s="10"/>
      <c r="N855" s="10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20"/>
    </row>
    <row r="856">
      <c r="A856" s="14"/>
      <c r="B856" s="14"/>
      <c r="C856" s="149"/>
      <c r="D856" s="150"/>
      <c r="E856" s="151"/>
      <c r="F856" s="151"/>
      <c r="G856" s="151"/>
      <c r="H856" s="10"/>
      <c r="I856" s="152"/>
      <c r="J856" s="151"/>
      <c r="K856" s="151"/>
      <c r="L856" s="10"/>
      <c r="M856" s="10"/>
      <c r="N856" s="10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20"/>
    </row>
    <row r="857">
      <c r="A857" s="14"/>
      <c r="B857" s="14"/>
      <c r="C857" s="149"/>
      <c r="D857" s="150"/>
      <c r="E857" s="151"/>
      <c r="F857" s="151"/>
      <c r="G857" s="151"/>
      <c r="H857" s="10"/>
      <c r="I857" s="152"/>
      <c r="J857" s="151"/>
      <c r="K857" s="151"/>
      <c r="L857" s="10"/>
      <c r="M857" s="10"/>
      <c r="N857" s="10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20"/>
    </row>
    <row r="858">
      <c r="A858" s="14"/>
      <c r="B858" s="14"/>
      <c r="C858" s="149"/>
      <c r="D858" s="150"/>
      <c r="E858" s="151"/>
      <c r="F858" s="151"/>
      <c r="G858" s="151"/>
      <c r="H858" s="10"/>
      <c r="I858" s="152"/>
      <c r="J858" s="151"/>
      <c r="K858" s="151"/>
      <c r="L858" s="10"/>
      <c r="M858" s="10"/>
      <c r="N858" s="10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20"/>
    </row>
    <row r="859">
      <c r="A859" s="14"/>
      <c r="B859" s="14"/>
      <c r="C859" s="149"/>
      <c r="D859" s="150"/>
      <c r="E859" s="151"/>
      <c r="F859" s="151"/>
      <c r="G859" s="151"/>
      <c r="H859" s="10"/>
      <c r="I859" s="152"/>
      <c r="J859" s="151"/>
      <c r="K859" s="151"/>
      <c r="L859" s="10"/>
      <c r="M859" s="10"/>
      <c r="N859" s="10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20"/>
    </row>
    <row r="860">
      <c r="A860" s="14"/>
      <c r="B860" s="14"/>
      <c r="C860" s="149"/>
      <c r="D860" s="150"/>
      <c r="E860" s="151"/>
      <c r="F860" s="151"/>
      <c r="G860" s="151"/>
      <c r="H860" s="10"/>
      <c r="I860" s="152"/>
      <c r="J860" s="151"/>
      <c r="K860" s="151"/>
      <c r="L860" s="10"/>
      <c r="M860" s="10"/>
      <c r="N860" s="10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20"/>
    </row>
    <row r="861">
      <c r="A861" s="14"/>
      <c r="B861" s="14"/>
      <c r="C861" s="149"/>
      <c r="D861" s="150"/>
      <c r="E861" s="151"/>
      <c r="F861" s="151"/>
      <c r="G861" s="151"/>
      <c r="H861" s="10"/>
      <c r="I861" s="152"/>
      <c r="J861" s="151"/>
      <c r="K861" s="151"/>
      <c r="L861" s="10"/>
      <c r="M861" s="10"/>
      <c r="N861" s="10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20"/>
    </row>
    <row r="862">
      <c r="A862" s="14"/>
      <c r="B862" s="14"/>
      <c r="C862" s="149"/>
      <c r="D862" s="150"/>
      <c r="E862" s="151"/>
      <c r="F862" s="151"/>
      <c r="G862" s="151"/>
      <c r="H862" s="10"/>
      <c r="I862" s="152"/>
      <c r="J862" s="151"/>
      <c r="K862" s="151"/>
      <c r="L862" s="10"/>
      <c r="M862" s="10"/>
      <c r="N862" s="10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20"/>
    </row>
    <row r="863">
      <c r="A863" s="14"/>
      <c r="B863" s="14"/>
      <c r="C863" s="149"/>
      <c r="D863" s="150"/>
      <c r="E863" s="151"/>
      <c r="F863" s="151"/>
      <c r="G863" s="151"/>
      <c r="H863" s="10"/>
      <c r="I863" s="152"/>
      <c r="J863" s="151"/>
      <c r="K863" s="151"/>
      <c r="L863" s="10"/>
      <c r="M863" s="10"/>
      <c r="N863" s="10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20"/>
    </row>
    <row r="864">
      <c r="A864" s="14"/>
      <c r="B864" s="14"/>
      <c r="C864" s="149"/>
      <c r="D864" s="150"/>
      <c r="E864" s="151"/>
      <c r="F864" s="151"/>
      <c r="G864" s="151"/>
      <c r="H864" s="10"/>
      <c r="I864" s="152"/>
      <c r="J864" s="151"/>
      <c r="K864" s="151"/>
      <c r="L864" s="10"/>
      <c r="M864" s="10"/>
      <c r="N864" s="10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20"/>
    </row>
    <row r="865">
      <c r="A865" s="14"/>
      <c r="B865" s="14"/>
      <c r="C865" s="149"/>
      <c r="D865" s="150"/>
      <c r="E865" s="151"/>
      <c r="F865" s="151"/>
      <c r="G865" s="151"/>
      <c r="H865" s="10"/>
      <c r="I865" s="152"/>
      <c r="J865" s="151"/>
      <c r="K865" s="151"/>
      <c r="L865" s="10"/>
      <c r="M865" s="10"/>
      <c r="N865" s="10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20"/>
    </row>
    <row r="866">
      <c r="A866" s="14"/>
      <c r="B866" s="14"/>
      <c r="C866" s="149"/>
      <c r="D866" s="150"/>
      <c r="E866" s="151"/>
      <c r="F866" s="151"/>
      <c r="G866" s="151"/>
      <c r="H866" s="10"/>
      <c r="I866" s="152"/>
      <c r="J866" s="151"/>
      <c r="K866" s="151"/>
      <c r="L866" s="10"/>
      <c r="M866" s="10"/>
      <c r="N866" s="10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20"/>
    </row>
    <row r="867">
      <c r="A867" s="14"/>
      <c r="B867" s="14"/>
      <c r="C867" s="149"/>
      <c r="D867" s="150"/>
      <c r="E867" s="151"/>
      <c r="F867" s="151"/>
      <c r="G867" s="151"/>
      <c r="H867" s="10"/>
      <c r="I867" s="152"/>
      <c r="J867" s="151"/>
      <c r="K867" s="151"/>
      <c r="L867" s="10"/>
      <c r="M867" s="10"/>
      <c r="N867" s="10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20"/>
    </row>
    <row r="868">
      <c r="A868" s="14"/>
      <c r="B868" s="14"/>
      <c r="C868" s="149"/>
      <c r="D868" s="150"/>
      <c r="E868" s="151"/>
      <c r="F868" s="151"/>
      <c r="G868" s="151"/>
      <c r="H868" s="10"/>
      <c r="I868" s="152"/>
      <c r="J868" s="151"/>
      <c r="K868" s="151"/>
      <c r="L868" s="10"/>
      <c r="M868" s="10"/>
      <c r="N868" s="10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20"/>
    </row>
    <row r="869">
      <c r="A869" s="14"/>
      <c r="B869" s="14"/>
      <c r="C869" s="149"/>
      <c r="D869" s="150"/>
      <c r="E869" s="151"/>
      <c r="F869" s="151"/>
      <c r="G869" s="151"/>
      <c r="H869" s="10"/>
      <c r="I869" s="152"/>
      <c r="J869" s="151"/>
      <c r="K869" s="151"/>
      <c r="L869" s="10"/>
      <c r="M869" s="10"/>
      <c r="N869" s="10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20"/>
    </row>
    <row r="870">
      <c r="A870" s="14"/>
      <c r="B870" s="14"/>
      <c r="C870" s="149"/>
      <c r="D870" s="150"/>
      <c r="E870" s="151"/>
      <c r="F870" s="151"/>
      <c r="G870" s="151"/>
      <c r="H870" s="10"/>
      <c r="I870" s="152"/>
      <c r="J870" s="151"/>
      <c r="K870" s="151"/>
      <c r="L870" s="10"/>
      <c r="M870" s="10"/>
      <c r="N870" s="10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20"/>
    </row>
    <row r="871">
      <c r="A871" s="14"/>
      <c r="B871" s="14"/>
      <c r="C871" s="149"/>
      <c r="D871" s="150"/>
      <c r="E871" s="151"/>
      <c r="F871" s="151"/>
      <c r="G871" s="151"/>
      <c r="H871" s="10"/>
      <c r="I871" s="152"/>
      <c r="J871" s="151"/>
      <c r="K871" s="151"/>
      <c r="L871" s="10"/>
      <c r="M871" s="10"/>
      <c r="N871" s="10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20"/>
    </row>
    <row r="872">
      <c r="A872" s="14"/>
      <c r="B872" s="14"/>
      <c r="C872" s="149"/>
      <c r="D872" s="150"/>
      <c r="E872" s="151"/>
      <c r="F872" s="151"/>
      <c r="G872" s="151"/>
      <c r="H872" s="10"/>
      <c r="I872" s="152"/>
      <c r="J872" s="151"/>
      <c r="K872" s="151"/>
      <c r="L872" s="10"/>
      <c r="M872" s="10"/>
      <c r="N872" s="10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20"/>
    </row>
    <row r="873">
      <c r="A873" s="14"/>
      <c r="B873" s="14"/>
      <c r="C873" s="149"/>
      <c r="D873" s="150"/>
      <c r="E873" s="151"/>
      <c r="F873" s="151"/>
      <c r="G873" s="151"/>
      <c r="H873" s="10"/>
      <c r="I873" s="152"/>
      <c r="J873" s="151"/>
      <c r="K873" s="151"/>
      <c r="L873" s="10"/>
      <c r="M873" s="10"/>
      <c r="N873" s="10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20"/>
    </row>
    <row r="874">
      <c r="A874" s="14"/>
      <c r="B874" s="14"/>
      <c r="C874" s="149"/>
      <c r="D874" s="150"/>
      <c r="E874" s="151"/>
      <c r="F874" s="151"/>
      <c r="G874" s="151"/>
      <c r="H874" s="10"/>
      <c r="I874" s="152"/>
      <c r="J874" s="151"/>
      <c r="K874" s="151"/>
      <c r="L874" s="10"/>
      <c r="M874" s="10"/>
      <c r="N874" s="10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20"/>
    </row>
    <row r="875">
      <c r="A875" s="14"/>
      <c r="B875" s="14"/>
      <c r="C875" s="149"/>
      <c r="D875" s="150"/>
      <c r="E875" s="151"/>
      <c r="F875" s="151"/>
      <c r="G875" s="151"/>
      <c r="H875" s="10"/>
      <c r="I875" s="152"/>
      <c r="J875" s="151"/>
      <c r="K875" s="151"/>
      <c r="L875" s="10"/>
      <c r="M875" s="10"/>
      <c r="N875" s="10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20"/>
    </row>
    <row r="876">
      <c r="A876" s="14"/>
      <c r="B876" s="14"/>
      <c r="C876" s="149"/>
      <c r="D876" s="150"/>
      <c r="E876" s="151"/>
      <c r="F876" s="151"/>
      <c r="G876" s="151"/>
      <c r="H876" s="10"/>
      <c r="I876" s="152"/>
      <c r="J876" s="151"/>
      <c r="K876" s="151"/>
      <c r="L876" s="10"/>
      <c r="M876" s="10"/>
      <c r="N876" s="10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20"/>
    </row>
    <row r="877">
      <c r="A877" s="14"/>
      <c r="B877" s="14"/>
      <c r="C877" s="149"/>
      <c r="D877" s="150"/>
      <c r="E877" s="151"/>
      <c r="F877" s="151"/>
      <c r="G877" s="151"/>
      <c r="H877" s="10"/>
      <c r="I877" s="152"/>
      <c r="J877" s="151"/>
      <c r="K877" s="151"/>
      <c r="L877" s="10"/>
      <c r="M877" s="10"/>
      <c r="N877" s="10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20"/>
    </row>
    <row r="878">
      <c r="A878" s="14"/>
      <c r="B878" s="14"/>
      <c r="C878" s="149"/>
      <c r="D878" s="150"/>
      <c r="E878" s="151"/>
      <c r="F878" s="151"/>
      <c r="G878" s="151"/>
      <c r="H878" s="10"/>
      <c r="I878" s="152"/>
      <c r="J878" s="151"/>
      <c r="K878" s="151"/>
      <c r="L878" s="10"/>
      <c r="M878" s="10"/>
      <c r="N878" s="10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20"/>
    </row>
    <row r="879">
      <c r="A879" s="14"/>
      <c r="B879" s="14"/>
      <c r="C879" s="149"/>
      <c r="D879" s="150"/>
      <c r="E879" s="151"/>
      <c r="F879" s="151"/>
      <c r="G879" s="151"/>
      <c r="H879" s="10"/>
      <c r="I879" s="152"/>
      <c r="J879" s="151"/>
      <c r="K879" s="151"/>
      <c r="L879" s="10"/>
      <c r="M879" s="10"/>
      <c r="N879" s="10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20"/>
    </row>
    <row r="880">
      <c r="A880" s="14"/>
      <c r="B880" s="14"/>
      <c r="C880" s="149"/>
      <c r="D880" s="150"/>
      <c r="E880" s="151"/>
      <c r="F880" s="151"/>
      <c r="G880" s="151"/>
      <c r="H880" s="10"/>
      <c r="I880" s="152"/>
      <c r="J880" s="151"/>
      <c r="K880" s="151"/>
      <c r="L880" s="10"/>
      <c r="M880" s="10"/>
      <c r="N880" s="10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20"/>
    </row>
    <row r="881">
      <c r="A881" s="14"/>
      <c r="B881" s="14"/>
      <c r="C881" s="149"/>
      <c r="D881" s="150"/>
      <c r="E881" s="151"/>
      <c r="F881" s="151"/>
      <c r="G881" s="151"/>
      <c r="H881" s="10"/>
      <c r="I881" s="152"/>
      <c r="J881" s="151"/>
      <c r="K881" s="151"/>
      <c r="L881" s="10"/>
      <c r="M881" s="10"/>
      <c r="N881" s="10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20"/>
    </row>
    <row r="882">
      <c r="A882" s="14"/>
      <c r="B882" s="14"/>
      <c r="C882" s="149"/>
      <c r="D882" s="150"/>
      <c r="E882" s="151"/>
      <c r="F882" s="151"/>
      <c r="G882" s="151"/>
      <c r="H882" s="10"/>
      <c r="I882" s="152"/>
      <c r="J882" s="151"/>
      <c r="K882" s="151"/>
      <c r="L882" s="10"/>
      <c r="M882" s="10"/>
      <c r="N882" s="10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20"/>
    </row>
    <row r="883">
      <c r="A883" s="14"/>
      <c r="B883" s="14"/>
      <c r="C883" s="149"/>
      <c r="D883" s="150"/>
      <c r="E883" s="151"/>
      <c r="F883" s="151"/>
      <c r="G883" s="151"/>
      <c r="H883" s="10"/>
      <c r="I883" s="152"/>
      <c r="J883" s="151"/>
      <c r="K883" s="151"/>
      <c r="L883" s="10"/>
      <c r="M883" s="10"/>
      <c r="N883" s="10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20"/>
    </row>
    <row r="884">
      <c r="A884" s="14"/>
      <c r="B884" s="14"/>
      <c r="C884" s="149"/>
      <c r="D884" s="150"/>
      <c r="E884" s="151"/>
      <c r="F884" s="151"/>
      <c r="G884" s="151"/>
      <c r="H884" s="10"/>
      <c r="I884" s="152"/>
      <c r="J884" s="151"/>
      <c r="K884" s="151"/>
      <c r="L884" s="10"/>
      <c r="M884" s="10"/>
      <c r="N884" s="10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20"/>
    </row>
    <row r="885">
      <c r="A885" s="14"/>
      <c r="B885" s="14"/>
      <c r="C885" s="149"/>
      <c r="D885" s="150"/>
      <c r="E885" s="151"/>
      <c r="F885" s="151"/>
      <c r="G885" s="151"/>
      <c r="H885" s="10"/>
      <c r="I885" s="152"/>
      <c r="J885" s="151"/>
      <c r="K885" s="151"/>
      <c r="L885" s="10"/>
      <c r="M885" s="10"/>
      <c r="N885" s="10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20"/>
    </row>
    <row r="886">
      <c r="A886" s="14"/>
      <c r="B886" s="14"/>
      <c r="C886" s="149"/>
      <c r="D886" s="150"/>
      <c r="E886" s="151"/>
      <c r="F886" s="151"/>
      <c r="G886" s="151"/>
      <c r="H886" s="10"/>
      <c r="I886" s="152"/>
      <c r="J886" s="151"/>
      <c r="K886" s="151"/>
      <c r="L886" s="10"/>
      <c r="M886" s="10"/>
      <c r="N886" s="10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20"/>
    </row>
    <row r="887">
      <c r="A887" s="14"/>
      <c r="B887" s="14"/>
      <c r="C887" s="149"/>
      <c r="D887" s="150"/>
      <c r="E887" s="151"/>
      <c r="F887" s="151"/>
      <c r="G887" s="151"/>
      <c r="H887" s="10"/>
      <c r="I887" s="152"/>
      <c r="J887" s="151"/>
      <c r="K887" s="151"/>
      <c r="L887" s="10"/>
      <c r="M887" s="10"/>
      <c r="N887" s="10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20"/>
    </row>
    <row r="888">
      <c r="A888" s="14"/>
      <c r="B888" s="14"/>
      <c r="C888" s="149"/>
      <c r="D888" s="150"/>
      <c r="E888" s="151"/>
      <c r="F888" s="151"/>
      <c r="G888" s="151"/>
      <c r="H888" s="10"/>
      <c r="I888" s="152"/>
      <c r="J888" s="151"/>
      <c r="K888" s="151"/>
      <c r="L888" s="10"/>
      <c r="M888" s="10"/>
      <c r="N888" s="10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20"/>
    </row>
    <row r="889">
      <c r="A889" s="14"/>
      <c r="B889" s="14"/>
      <c r="C889" s="149"/>
      <c r="D889" s="150"/>
      <c r="E889" s="151"/>
      <c r="F889" s="151"/>
      <c r="G889" s="151"/>
      <c r="H889" s="10"/>
      <c r="I889" s="152"/>
      <c r="J889" s="151"/>
      <c r="K889" s="151"/>
      <c r="L889" s="10"/>
      <c r="M889" s="10"/>
      <c r="N889" s="10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20"/>
    </row>
    <row r="890">
      <c r="A890" s="14"/>
      <c r="B890" s="14"/>
      <c r="C890" s="149"/>
      <c r="D890" s="150"/>
      <c r="E890" s="151"/>
      <c r="F890" s="151"/>
      <c r="G890" s="151"/>
      <c r="H890" s="10"/>
      <c r="I890" s="152"/>
      <c r="J890" s="151"/>
      <c r="K890" s="151"/>
      <c r="L890" s="10"/>
      <c r="M890" s="10"/>
      <c r="N890" s="10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20"/>
    </row>
    <row r="891">
      <c r="A891" s="14"/>
      <c r="B891" s="14"/>
      <c r="C891" s="149"/>
      <c r="D891" s="150"/>
      <c r="E891" s="151"/>
      <c r="F891" s="151"/>
      <c r="G891" s="151"/>
      <c r="H891" s="10"/>
      <c r="I891" s="152"/>
      <c r="J891" s="151"/>
      <c r="K891" s="151"/>
      <c r="L891" s="10"/>
      <c r="M891" s="10"/>
      <c r="N891" s="10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20"/>
    </row>
    <row r="892">
      <c r="A892" s="14"/>
      <c r="B892" s="14"/>
      <c r="C892" s="149"/>
      <c r="D892" s="150"/>
      <c r="E892" s="151"/>
      <c r="F892" s="151"/>
      <c r="G892" s="151"/>
      <c r="H892" s="10"/>
      <c r="I892" s="152"/>
      <c r="J892" s="151"/>
      <c r="K892" s="151"/>
      <c r="L892" s="10"/>
      <c r="M892" s="10"/>
      <c r="N892" s="10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20"/>
    </row>
    <row r="893">
      <c r="A893" s="14"/>
      <c r="B893" s="14"/>
      <c r="C893" s="149"/>
      <c r="D893" s="150"/>
      <c r="E893" s="151"/>
      <c r="F893" s="151"/>
      <c r="G893" s="151"/>
      <c r="H893" s="10"/>
      <c r="I893" s="152"/>
      <c r="J893" s="151"/>
      <c r="K893" s="151"/>
      <c r="L893" s="10"/>
      <c r="M893" s="10"/>
      <c r="N893" s="10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20"/>
    </row>
    <row r="894">
      <c r="A894" s="14"/>
      <c r="B894" s="14"/>
      <c r="C894" s="149"/>
      <c r="D894" s="150"/>
      <c r="E894" s="151"/>
      <c r="F894" s="151"/>
      <c r="G894" s="151"/>
      <c r="H894" s="10"/>
      <c r="I894" s="152"/>
      <c r="J894" s="151"/>
      <c r="K894" s="151"/>
      <c r="L894" s="10"/>
      <c r="M894" s="10"/>
      <c r="N894" s="10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20"/>
    </row>
    <row r="895">
      <c r="A895" s="14"/>
      <c r="B895" s="14"/>
      <c r="C895" s="149"/>
      <c r="D895" s="150"/>
      <c r="E895" s="151"/>
      <c r="F895" s="151"/>
      <c r="G895" s="151"/>
      <c r="H895" s="10"/>
      <c r="I895" s="152"/>
      <c r="J895" s="151"/>
      <c r="K895" s="151"/>
      <c r="L895" s="10"/>
      <c r="M895" s="10"/>
      <c r="N895" s="10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20"/>
    </row>
    <row r="896">
      <c r="A896" s="14"/>
      <c r="B896" s="14"/>
      <c r="C896" s="149"/>
      <c r="D896" s="150"/>
      <c r="E896" s="151"/>
      <c r="F896" s="151"/>
      <c r="G896" s="151"/>
      <c r="H896" s="10"/>
      <c r="I896" s="152"/>
      <c r="J896" s="151"/>
      <c r="K896" s="151"/>
      <c r="L896" s="10"/>
      <c r="M896" s="10"/>
      <c r="N896" s="10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20"/>
    </row>
    <row r="897">
      <c r="A897" s="14"/>
      <c r="B897" s="14"/>
      <c r="C897" s="149"/>
      <c r="D897" s="150"/>
      <c r="E897" s="151"/>
      <c r="F897" s="151"/>
      <c r="G897" s="151"/>
      <c r="H897" s="10"/>
      <c r="I897" s="152"/>
      <c r="J897" s="151"/>
      <c r="K897" s="151"/>
      <c r="L897" s="10"/>
      <c r="M897" s="10"/>
      <c r="N897" s="10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20"/>
    </row>
    <row r="898">
      <c r="A898" s="14"/>
      <c r="B898" s="14"/>
      <c r="C898" s="149"/>
      <c r="D898" s="150"/>
      <c r="E898" s="151"/>
      <c r="F898" s="151"/>
      <c r="G898" s="151"/>
      <c r="H898" s="10"/>
      <c r="I898" s="152"/>
      <c r="J898" s="151"/>
      <c r="K898" s="151"/>
      <c r="L898" s="10"/>
      <c r="M898" s="10"/>
      <c r="N898" s="10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20"/>
    </row>
    <row r="899">
      <c r="A899" s="14"/>
      <c r="B899" s="14"/>
      <c r="C899" s="149"/>
      <c r="D899" s="150"/>
      <c r="E899" s="151"/>
      <c r="F899" s="151"/>
      <c r="G899" s="151"/>
      <c r="H899" s="10"/>
      <c r="I899" s="152"/>
      <c r="J899" s="151"/>
      <c r="K899" s="151"/>
      <c r="L899" s="10"/>
      <c r="M899" s="10"/>
      <c r="N899" s="10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20"/>
    </row>
    <row r="900">
      <c r="A900" s="14"/>
      <c r="B900" s="14"/>
      <c r="C900" s="149"/>
      <c r="D900" s="150"/>
      <c r="E900" s="151"/>
      <c r="F900" s="151"/>
      <c r="G900" s="151"/>
      <c r="H900" s="10"/>
      <c r="I900" s="152"/>
      <c r="J900" s="151"/>
      <c r="K900" s="151"/>
      <c r="L900" s="10"/>
      <c r="M900" s="10"/>
      <c r="N900" s="10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20"/>
    </row>
    <row r="901">
      <c r="A901" s="14"/>
      <c r="B901" s="14"/>
      <c r="C901" s="149"/>
      <c r="D901" s="150"/>
      <c r="E901" s="151"/>
      <c r="F901" s="151"/>
      <c r="G901" s="151"/>
      <c r="H901" s="10"/>
      <c r="I901" s="152"/>
      <c r="J901" s="151"/>
      <c r="K901" s="151"/>
      <c r="L901" s="10"/>
      <c r="M901" s="10"/>
      <c r="N901" s="10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20"/>
    </row>
    <row r="902">
      <c r="A902" s="14"/>
      <c r="B902" s="14"/>
      <c r="C902" s="149"/>
      <c r="D902" s="150"/>
      <c r="E902" s="151"/>
      <c r="F902" s="151"/>
      <c r="G902" s="151"/>
      <c r="H902" s="10"/>
      <c r="I902" s="152"/>
      <c r="J902" s="151"/>
      <c r="K902" s="151"/>
      <c r="L902" s="10"/>
      <c r="M902" s="10"/>
      <c r="N902" s="10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20"/>
    </row>
    <row r="903">
      <c r="A903" s="14"/>
      <c r="B903" s="14"/>
      <c r="C903" s="149"/>
      <c r="D903" s="150"/>
      <c r="E903" s="151"/>
      <c r="F903" s="151"/>
      <c r="G903" s="151"/>
      <c r="H903" s="10"/>
      <c r="I903" s="152"/>
      <c r="J903" s="151"/>
      <c r="K903" s="151"/>
      <c r="L903" s="10"/>
      <c r="M903" s="10"/>
      <c r="N903" s="10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20"/>
    </row>
    <row r="904">
      <c r="A904" s="14"/>
      <c r="B904" s="14"/>
      <c r="C904" s="149"/>
      <c r="D904" s="150"/>
      <c r="E904" s="151"/>
      <c r="F904" s="151"/>
      <c r="G904" s="151"/>
      <c r="H904" s="10"/>
      <c r="I904" s="152"/>
      <c r="J904" s="151"/>
      <c r="K904" s="151"/>
      <c r="L904" s="10"/>
      <c r="M904" s="10"/>
      <c r="N904" s="10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20"/>
    </row>
    <row r="905">
      <c r="A905" s="14"/>
      <c r="B905" s="14"/>
      <c r="C905" s="149"/>
      <c r="D905" s="150"/>
      <c r="E905" s="151"/>
      <c r="F905" s="151"/>
      <c r="G905" s="151"/>
      <c r="H905" s="10"/>
      <c r="I905" s="152"/>
      <c r="J905" s="151"/>
      <c r="K905" s="151"/>
      <c r="L905" s="10"/>
      <c r="M905" s="10"/>
      <c r="N905" s="10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20"/>
    </row>
    <row r="906">
      <c r="A906" s="14"/>
      <c r="B906" s="14"/>
      <c r="C906" s="149"/>
      <c r="D906" s="150"/>
      <c r="E906" s="151"/>
      <c r="F906" s="151"/>
      <c r="G906" s="151"/>
      <c r="H906" s="10"/>
      <c r="I906" s="152"/>
      <c r="J906" s="151"/>
      <c r="K906" s="151"/>
      <c r="L906" s="10"/>
      <c r="M906" s="10"/>
      <c r="N906" s="10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20"/>
    </row>
    <row r="907">
      <c r="A907" s="14"/>
      <c r="B907" s="14"/>
      <c r="C907" s="149"/>
      <c r="D907" s="150"/>
      <c r="E907" s="151"/>
      <c r="F907" s="151"/>
      <c r="G907" s="151"/>
      <c r="H907" s="10"/>
      <c r="I907" s="152"/>
      <c r="J907" s="151"/>
      <c r="K907" s="151"/>
      <c r="L907" s="10"/>
      <c r="M907" s="10"/>
      <c r="N907" s="10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20"/>
    </row>
    <row r="908">
      <c r="A908" s="14"/>
      <c r="B908" s="14"/>
      <c r="C908" s="149"/>
      <c r="D908" s="150"/>
      <c r="E908" s="151"/>
      <c r="F908" s="151"/>
      <c r="G908" s="151"/>
      <c r="H908" s="10"/>
      <c r="I908" s="152"/>
      <c r="J908" s="151"/>
      <c r="K908" s="151"/>
      <c r="L908" s="10"/>
      <c r="M908" s="10"/>
      <c r="N908" s="10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20"/>
    </row>
    <row r="909">
      <c r="A909" s="14"/>
      <c r="B909" s="14"/>
      <c r="C909" s="149"/>
      <c r="D909" s="150"/>
      <c r="E909" s="151"/>
      <c r="F909" s="151"/>
      <c r="G909" s="151"/>
      <c r="H909" s="10"/>
      <c r="I909" s="152"/>
      <c r="J909" s="151"/>
      <c r="K909" s="151"/>
      <c r="L909" s="10"/>
      <c r="M909" s="10"/>
      <c r="N909" s="10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20"/>
    </row>
    <row r="910">
      <c r="A910" s="14"/>
      <c r="B910" s="14"/>
      <c r="C910" s="149"/>
      <c r="D910" s="150"/>
      <c r="E910" s="151"/>
      <c r="F910" s="151"/>
      <c r="G910" s="151"/>
      <c r="H910" s="10"/>
      <c r="I910" s="152"/>
      <c r="J910" s="151"/>
      <c r="K910" s="151"/>
      <c r="L910" s="10"/>
      <c r="M910" s="10"/>
      <c r="N910" s="10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20"/>
    </row>
    <row r="911">
      <c r="A911" s="14"/>
      <c r="B911" s="14"/>
      <c r="C911" s="149"/>
      <c r="D911" s="150"/>
      <c r="E911" s="151"/>
      <c r="F911" s="151"/>
      <c r="G911" s="151"/>
      <c r="H911" s="10"/>
      <c r="I911" s="152"/>
      <c r="J911" s="151"/>
      <c r="K911" s="151"/>
      <c r="L911" s="10"/>
      <c r="M911" s="10"/>
      <c r="N911" s="10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20"/>
    </row>
    <row r="912">
      <c r="A912" s="14"/>
      <c r="B912" s="14"/>
      <c r="C912" s="149"/>
      <c r="D912" s="150"/>
      <c r="E912" s="151"/>
      <c r="F912" s="151"/>
      <c r="G912" s="151"/>
      <c r="H912" s="10"/>
      <c r="I912" s="152"/>
      <c r="J912" s="151"/>
      <c r="K912" s="151"/>
      <c r="L912" s="10"/>
      <c r="M912" s="10"/>
      <c r="N912" s="10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20"/>
    </row>
    <row r="913">
      <c r="A913" s="14"/>
      <c r="B913" s="14"/>
      <c r="C913" s="149"/>
      <c r="D913" s="150"/>
      <c r="E913" s="151"/>
      <c r="F913" s="151"/>
      <c r="G913" s="151"/>
      <c r="H913" s="10"/>
      <c r="I913" s="152"/>
      <c r="J913" s="151"/>
      <c r="K913" s="151"/>
      <c r="L913" s="10"/>
      <c r="M913" s="10"/>
      <c r="N913" s="10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20"/>
    </row>
    <row r="914">
      <c r="A914" s="14"/>
      <c r="B914" s="14"/>
      <c r="C914" s="149"/>
      <c r="D914" s="150"/>
      <c r="E914" s="151"/>
      <c r="F914" s="151"/>
      <c r="G914" s="151"/>
      <c r="H914" s="10"/>
      <c r="I914" s="152"/>
      <c r="J914" s="151"/>
      <c r="K914" s="151"/>
      <c r="L914" s="10"/>
      <c r="M914" s="10"/>
      <c r="N914" s="10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20"/>
    </row>
    <row r="915">
      <c r="A915" s="14"/>
      <c r="B915" s="14"/>
      <c r="C915" s="149"/>
      <c r="D915" s="150"/>
      <c r="E915" s="151"/>
      <c r="F915" s="151"/>
      <c r="G915" s="151"/>
      <c r="H915" s="10"/>
      <c r="I915" s="152"/>
      <c r="J915" s="151"/>
      <c r="K915" s="151"/>
      <c r="L915" s="10"/>
      <c r="M915" s="10"/>
      <c r="N915" s="10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20"/>
    </row>
    <row r="916">
      <c r="A916" s="14"/>
      <c r="B916" s="14"/>
      <c r="C916" s="149"/>
      <c r="D916" s="150"/>
      <c r="E916" s="151"/>
      <c r="F916" s="151"/>
      <c r="G916" s="151"/>
      <c r="H916" s="10"/>
      <c r="I916" s="152"/>
      <c r="J916" s="151"/>
      <c r="K916" s="151"/>
      <c r="L916" s="10"/>
      <c r="M916" s="10"/>
      <c r="N916" s="10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20"/>
    </row>
    <row r="917">
      <c r="A917" s="14"/>
      <c r="B917" s="14"/>
      <c r="C917" s="149"/>
      <c r="D917" s="150"/>
      <c r="E917" s="151"/>
      <c r="F917" s="151"/>
      <c r="G917" s="151"/>
      <c r="H917" s="10"/>
      <c r="I917" s="152"/>
      <c r="J917" s="151"/>
      <c r="K917" s="151"/>
      <c r="L917" s="10"/>
      <c r="M917" s="10"/>
      <c r="N917" s="10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20"/>
    </row>
    <row r="918">
      <c r="A918" s="14"/>
      <c r="B918" s="14"/>
      <c r="C918" s="149"/>
      <c r="D918" s="150"/>
      <c r="E918" s="151"/>
      <c r="F918" s="151"/>
      <c r="G918" s="151"/>
      <c r="H918" s="10"/>
      <c r="I918" s="152"/>
      <c r="J918" s="151"/>
      <c r="K918" s="151"/>
      <c r="L918" s="10"/>
      <c r="M918" s="10"/>
      <c r="N918" s="10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20"/>
    </row>
    <row r="919">
      <c r="A919" s="14"/>
      <c r="B919" s="14"/>
      <c r="C919" s="149"/>
      <c r="D919" s="150"/>
      <c r="E919" s="151"/>
      <c r="F919" s="151"/>
      <c r="G919" s="151"/>
      <c r="H919" s="10"/>
      <c r="I919" s="152"/>
      <c r="J919" s="151"/>
      <c r="K919" s="151"/>
      <c r="L919" s="10"/>
      <c r="M919" s="10"/>
      <c r="N919" s="10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20"/>
    </row>
    <row r="920">
      <c r="A920" s="14"/>
      <c r="B920" s="14"/>
      <c r="C920" s="149"/>
      <c r="D920" s="150"/>
      <c r="E920" s="151"/>
      <c r="F920" s="151"/>
      <c r="G920" s="151"/>
      <c r="H920" s="10"/>
      <c r="I920" s="152"/>
      <c r="J920" s="151"/>
      <c r="K920" s="151"/>
      <c r="L920" s="10"/>
      <c r="M920" s="10"/>
      <c r="N920" s="10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20"/>
    </row>
    <row r="921">
      <c r="A921" s="14"/>
      <c r="B921" s="14"/>
      <c r="C921" s="149"/>
      <c r="D921" s="150"/>
      <c r="E921" s="151"/>
      <c r="F921" s="151"/>
      <c r="G921" s="151"/>
      <c r="H921" s="10"/>
      <c r="I921" s="152"/>
      <c r="J921" s="151"/>
      <c r="K921" s="151"/>
      <c r="L921" s="10"/>
      <c r="M921" s="10"/>
      <c r="N921" s="10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20"/>
    </row>
    <row r="922">
      <c r="A922" s="14"/>
      <c r="B922" s="14"/>
      <c r="C922" s="149"/>
      <c r="D922" s="150"/>
      <c r="E922" s="151"/>
      <c r="F922" s="151"/>
      <c r="G922" s="151"/>
      <c r="H922" s="10"/>
      <c r="I922" s="152"/>
      <c r="J922" s="151"/>
      <c r="K922" s="151"/>
      <c r="L922" s="10"/>
      <c r="M922" s="10"/>
      <c r="N922" s="10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20"/>
    </row>
    <row r="923">
      <c r="A923" s="14"/>
      <c r="B923" s="14"/>
      <c r="C923" s="149"/>
      <c r="D923" s="150"/>
      <c r="E923" s="151"/>
      <c r="F923" s="151"/>
      <c r="G923" s="151"/>
      <c r="H923" s="10"/>
      <c r="I923" s="152"/>
      <c r="J923" s="151"/>
      <c r="K923" s="151"/>
      <c r="L923" s="10"/>
      <c r="M923" s="10"/>
      <c r="N923" s="10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20"/>
    </row>
    <row r="924">
      <c r="A924" s="14"/>
      <c r="B924" s="14"/>
      <c r="C924" s="149"/>
      <c r="D924" s="150"/>
      <c r="E924" s="151"/>
      <c r="F924" s="151"/>
      <c r="G924" s="151"/>
      <c r="H924" s="10"/>
      <c r="I924" s="152"/>
      <c r="J924" s="151"/>
      <c r="K924" s="151"/>
      <c r="L924" s="10"/>
      <c r="M924" s="10"/>
      <c r="N924" s="10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20"/>
    </row>
    <row r="925">
      <c r="A925" s="14"/>
      <c r="B925" s="14"/>
      <c r="C925" s="149"/>
      <c r="D925" s="150"/>
      <c r="E925" s="151"/>
      <c r="F925" s="151"/>
      <c r="G925" s="151"/>
      <c r="H925" s="10"/>
      <c r="I925" s="152"/>
      <c r="J925" s="151"/>
      <c r="K925" s="151"/>
      <c r="L925" s="10"/>
      <c r="M925" s="10"/>
      <c r="N925" s="10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20"/>
    </row>
    <row r="926">
      <c r="A926" s="14"/>
      <c r="B926" s="14"/>
      <c r="C926" s="149"/>
      <c r="D926" s="150"/>
      <c r="E926" s="151"/>
      <c r="F926" s="151"/>
      <c r="G926" s="151"/>
      <c r="H926" s="10"/>
      <c r="I926" s="152"/>
      <c r="J926" s="151"/>
      <c r="K926" s="151"/>
      <c r="L926" s="10"/>
      <c r="M926" s="10"/>
      <c r="N926" s="10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20"/>
    </row>
    <row r="927">
      <c r="A927" s="14"/>
      <c r="B927" s="14"/>
      <c r="C927" s="149"/>
      <c r="D927" s="150"/>
      <c r="E927" s="151"/>
      <c r="F927" s="151"/>
      <c r="G927" s="151"/>
      <c r="H927" s="10"/>
      <c r="I927" s="152"/>
      <c r="J927" s="151"/>
      <c r="K927" s="151"/>
      <c r="L927" s="10"/>
      <c r="M927" s="10"/>
      <c r="N927" s="10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20"/>
    </row>
    <row r="928">
      <c r="A928" s="14"/>
      <c r="B928" s="14"/>
      <c r="C928" s="149"/>
      <c r="D928" s="150"/>
      <c r="E928" s="151"/>
      <c r="F928" s="151"/>
      <c r="G928" s="151"/>
      <c r="H928" s="10"/>
      <c r="I928" s="152"/>
      <c r="J928" s="151"/>
      <c r="K928" s="151"/>
      <c r="L928" s="10"/>
      <c r="M928" s="10"/>
      <c r="N928" s="10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20"/>
    </row>
    <row r="929">
      <c r="A929" s="14"/>
      <c r="B929" s="14"/>
      <c r="C929" s="149"/>
      <c r="D929" s="150"/>
      <c r="E929" s="151"/>
      <c r="F929" s="151"/>
      <c r="G929" s="151"/>
      <c r="H929" s="10"/>
      <c r="I929" s="152"/>
      <c r="J929" s="151"/>
      <c r="K929" s="151"/>
      <c r="L929" s="10"/>
      <c r="M929" s="10"/>
      <c r="N929" s="10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20"/>
    </row>
    <row r="930">
      <c r="A930" s="14"/>
      <c r="B930" s="14"/>
      <c r="C930" s="149"/>
      <c r="D930" s="150"/>
      <c r="E930" s="151"/>
      <c r="F930" s="151"/>
      <c r="G930" s="151"/>
      <c r="H930" s="10"/>
      <c r="I930" s="152"/>
      <c r="J930" s="151"/>
      <c r="K930" s="151"/>
      <c r="L930" s="10"/>
      <c r="M930" s="10"/>
      <c r="N930" s="10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20"/>
    </row>
    <row r="931">
      <c r="A931" s="14"/>
      <c r="B931" s="14"/>
      <c r="C931" s="149"/>
      <c r="D931" s="150"/>
      <c r="E931" s="151"/>
      <c r="F931" s="151"/>
      <c r="G931" s="151"/>
      <c r="H931" s="10"/>
      <c r="I931" s="152"/>
      <c r="J931" s="151"/>
      <c r="K931" s="151"/>
      <c r="L931" s="10"/>
      <c r="M931" s="10"/>
      <c r="N931" s="10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20"/>
    </row>
    <row r="932">
      <c r="A932" s="14"/>
      <c r="B932" s="14"/>
      <c r="C932" s="149"/>
      <c r="D932" s="150"/>
      <c r="E932" s="151"/>
      <c r="F932" s="151"/>
      <c r="G932" s="151"/>
      <c r="H932" s="10"/>
      <c r="I932" s="152"/>
      <c r="J932" s="151"/>
      <c r="K932" s="151"/>
      <c r="L932" s="10"/>
      <c r="M932" s="10"/>
      <c r="N932" s="10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20"/>
    </row>
    <row r="933">
      <c r="A933" s="14"/>
      <c r="B933" s="14"/>
      <c r="C933" s="149"/>
      <c r="D933" s="150"/>
      <c r="E933" s="151"/>
      <c r="F933" s="151"/>
      <c r="G933" s="151"/>
      <c r="H933" s="10"/>
      <c r="I933" s="152"/>
      <c r="J933" s="151"/>
      <c r="K933" s="151"/>
      <c r="L933" s="10"/>
      <c r="M933" s="10"/>
      <c r="N933" s="10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20"/>
    </row>
    <row r="934">
      <c r="A934" s="14"/>
      <c r="B934" s="14"/>
      <c r="C934" s="149"/>
      <c r="D934" s="150"/>
      <c r="E934" s="151"/>
      <c r="F934" s="151"/>
      <c r="G934" s="151"/>
      <c r="H934" s="10"/>
      <c r="I934" s="152"/>
      <c r="J934" s="151"/>
      <c r="K934" s="151"/>
      <c r="L934" s="10"/>
      <c r="M934" s="10"/>
      <c r="N934" s="10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20"/>
    </row>
    <row r="935">
      <c r="A935" s="14"/>
      <c r="B935" s="14"/>
      <c r="C935" s="149"/>
      <c r="D935" s="150"/>
      <c r="E935" s="151"/>
      <c r="F935" s="151"/>
      <c r="G935" s="151"/>
      <c r="H935" s="10"/>
      <c r="I935" s="152"/>
      <c r="J935" s="151"/>
      <c r="K935" s="151"/>
      <c r="L935" s="10"/>
      <c r="M935" s="10"/>
      <c r="N935" s="10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20"/>
    </row>
    <row r="936">
      <c r="A936" s="14"/>
      <c r="B936" s="14"/>
      <c r="C936" s="149"/>
      <c r="D936" s="150"/>
      <c r="E936" s="151"/>
      <c r="F936" s="151"/>
      <c r="G936" s="151"/>
      <c r="H936" s="10"/>
      <c r="I936" s="152"/>
      <c r="J936" s="151"/>
      <c r="K936" s="151"/>
      <c r="L936" s="10"/>
      <c r="M936" s="10"/>
      <c r="N936" s="10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20"/>
    </row>
    <row r="937">
      <c r="A937" s="14"/>
      <c r="B937" s="14"/>
      <c r="C937" s="149"/>
      <c r="D937" s="150"/>
      <c r="E937" s="151"/>
      <c r="F937" s="151"/>
      <c r="G937" s="151"/>
      <c r="H937" s="10"/>
      <c r="I937" s="152"/>
      <c r="J937" s="151"/>
      <c r="K937" s="151"/>
      <c r="L937" s="10"/>
      <c r="M937" s="10"/>
      <c r="N937" s="10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20"/>
    </row>
    <row r="938">
      <c r="A938" s="14"/>
      <c r="B938" s="14"/>
      <c r="C938" s="149"/>
      <c r="D938" s="150"/>
      <c r="E938" s="151"/>
      <c r="F938" s="151"/>
      <c r="G938" s="151"/>
      <c r="H938" s="10"/>
      <c r="I938" s="152"/>
      <c r="J938" s="151"/>
      <c r="K938" s="151"/>
      <c r="L938" s="10"/>
      <c r="M938" s="10"/>
      <c r="N938" s="10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20"/>
    </row>
    <row r="939">
      <c r="A939" s="14"/>
      <c r="B939" s="14"/>
      <c r="C939" s="149"/>
      <c r="D939" s="150"/>
      <c r="E939" s="151"/>
      <c r="F939" s="151"/>
      <c r="G939" s="151"/>
      <c r="H939" s="10"/>
      <c r="I939" s="152"/>
      <c r="J939" s="151"/>
      <c r="K939" s="151"/>
      <c r="L939" s="10"/>
      <c r="M939" s="10"/>
      <c r="N939" s="10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20"/>
    </row>
    <row r="940">
      <c r="A940" s="14"/>
      <c r="B940" s="14"/>
      <c r="C940" s="149"/>
      <c r="D940" s="150"/>
      <c r="E940" s="151"/>
      <c r="F940" s="151"/>
      <c r="G940" s="151"/>
      <c r="H940" s="10"/>
      <c r="I940" s="152"/>
      <c r="J940" s="151"/>
      <c r="K940" s="151"/>
      <c r="L940" s="10"/>
      <c r="M940" s="10"/>
      <c r="N940" s="10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20"/>
    </row>
    <row r="941">
      <c r="A941" s="14"/>
      <c r="B941" s="14"/>
      <c r="C941" s="149"/>
      <c r="D941" s="150"/>
      <c r="E941" s="151"/>
      <c r="F941" s="151"/>
      <c r="G941" s="151"/>
      <c r="H941" s="10"/>
      <c r="I941" s="152"/>
      <c r="J941" s="151"/>
      <c r="K941" s="151"/>
      <c r="L941" s="10"/>
      <c r="M941" s="10"/>
      <c r="N941" s="10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20"/>
    </row>
    <row r="942">
      <c r="A942" s="14"/>
      <c r="B942" s="14"/>
      <c r="C942" s="149"/>
      <c r="D942" s="150"/>
      <c r="E942" s="151"/>
      <c r="F942" s="151"/>
      <c r="G942" s="151"/>
      <c r="H942" s="10"/>
      <c r="I942" s="152"/>
      <c r="J942" s="151"/>
      <c r="K942" s="151"/>
      <c r="L942" s="10"/>
      <c r="M942" s="10"/>
      <c r="N942" s="10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20"/>
    </row>
    <row r="943">
      <c r="A943" s="14"/>
      <c r="B943" s="14"/>
      <c r="C943" s="149"/>
      <c r="D943" s="150"/>
      <c r="E943" s="151"/>
      <c r="F943" s="151"/>
      <c r="G943" s="151"/>
      <c r="H943" s="10"/>
      <c r="I943" s="152"/>
      <c r="J943" s="151"/>
      <c r="K943" s="151"/>
      <c r="L943" s="10"/>
      <c r="M943" s="10"/>
      <c r="N943" s="10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20"/>
    </row>
    <row r="944">
      <c r="A944" s="14"/>
      <c r="B944" s="14"/>
      <c r="C944" s="149"/>
      <c r="D944" s="150"/>
      <c r="E944" s="151"/>
      <c r="F944" s="151"/>
      <c r="G944" s="151"/>
      <c r="H944" s="10"/>
      <c r="I944" s="152"/>
      <c r="J944" s="151"/>
      <c r="K944" s="151"/>
      <c r="L944" s="10"/>
      <c r="M944" s="10"/>
      <c r="N944" s="10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20"/>
    </row>
    <row r="945">
      <c r="A945" s="14"/>
      <c r="B945" s="14"/>
      <c r="C945" s="149"/>
      <c r="D945" s="150"/>
      <c r="E945" s="151"/>
      <c r="F945" s="151"/>
      <c r="G945" s="151"/>
      <c r="H945" s="10"/>
      <c r="I945" s="152"/>
      <c r="J945" s="151"/>
      <c r="K945" s="151"/>
      <c r="L945" s="10"/>
      <c r="M945" s="10"/>
      <c r="N945" s="10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20"/>
    </row>
    <row r="946">
      <c r="A946" s="14"/>
      <c r="B946" s="14"/>
      <c r="C946" s="149"/>
      <c r="D946" s="150"/>
      <c r="E946" s="151"/>
      <c r="F946" s="151"/>
      <c r="G946" s="151"/>
      <c r="H946" s="10"/>
      <c r="I946" s="152"/>
      <c r="J946" s="151"/>
      <c r="K946" s="151"/>
      <c r="L946" s="10"/>
      <c r="M946" s="10"/>
      <c r="N946" s="10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20"/>
    </row>
    <row r="947">
      <c r="A947" s="14"/>
      <c r="B947" s="14"/>
      <c r="C947" s="149"/>
      <c r="D947" s="150"/>
      <c r="E947" s="151"/>
      <c r="F947" s="151"/>
      <c r="G947" s="151"/>
      <c r="H947" s="10"/>
      <c r="I947" s="152"/>
      <c r="J947" s="151"/>
      <c r="K947" s="151"/>
      <c r="L947" s="10"/>
      <c r="M947" s="10"/>
      <c r="N947" s="10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20"/>
    </row>
    <row r="948">
      <c r="A948" s="14"/>
      <c r="B948" s="14"/>
      <c r="C948" s="149"/>
      <c r="D948" s="150"/>
      <c r="E948" s="151"/>
      <c r="F948" s="151"/>
      <c r="G948" s="151"/>
      <c r="H948" s="10"/>
      <c r="I948" s="152"/>
      <c r="J948" s="151"/>
      <c r="K948" s="151"/>
      <c r="L948" s="10"/>
      <c r="M948" s="10"/>
      <c r="N948" s="10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20"/>
    </row>
    <row r="949">
      <c r="A949" s="14"/>
      <c r="B949" s="14"/>
      <c r="C949" s="149"/>
      <c r="D949" s="150"/>
      <c r="E949" s="151"/>
      <c r="F949" s="151"/>
      <c r="G949" s="151"/>
      <c r="H949" s="10"/>
      <c r="I949" s="152"/>
      <c r="J949" s="151"/>
      <c r="K949" s="151"/>
      <c r="L949" s="10"/>
      <c r="M949" s="10"/>
      <c r="N949" s="10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20"/>
    </row>
    <row r="950">
      <c r="A950" s="14"/>
      <c r="B950" s="14"/>
      <c r="C950" s="149"/>
      <c r="D950" s="150"/>
      <c r="E950" s="151"/>
      <c r="F950" s="151"/>
      <c r="G950" s="151"/>
      <c r="H950" s="10"/>
      <c r="I950" s="152"/>
      <c r="J950" s="151"/>
      <c r="K950" s="151"/>
      <c r="L950" s="10"/>
      <c r="M950" s="10"/>
      <c r="N950" s="10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20"/>
    </row>
    <row r="951">
      <c r="A951" s="14"/>
      <c r="B951" s="14"/>
      <c r="C951" s="149"/>
      <c r="D951" s="150"/>
      <c r="E951" s="151"/>
      <c r="F951" s="151"/>
      <c r="G951" s="151"/>
      <c r="H951" s="10"/>
      <c r="I951" s="152"/>
      <c r="J951" s="151"/>
      <c r="K951" s="151"/>
      <c r="L951" s="10"/>
      <c r="M951" s="10"/>
      <c r="N951" s="10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20"/>
    </row>
    <row r="952">
      <c r="A952" s="14"/>
      <c r="B952" s="14"/>
      <c r="C952" s="149"/>
      <c r="D952" s="150"/>
      <c r="E952" s="151"/>
      <c r="F952" s="151"/>
      <c r="G952" s="151"/>
      <c r="H952" s="10"/>
      <c r="I952" s="152"/>
      <c r="J952" s="151"/>
      <c r="K952" s="151"/>
      <c r="L952" s="10"/>
      <c r="M952" s="10"/>
      <c r="N952" s="10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20"/>
    </row>
    <row r="953">
      <c r="A953" s="14"/>
      <c r="B953" s="14"/>
      <c r="C953" s="149"/>
      <c r="D953" s="150"/>
      <c r="E953" s="151"/>
      <c r="F953" s="151"/>
      <c r="G953" s="151"/>
      <c r="H953" s="10"/>
      <c r="I953" s="152"/>
      <c r="J953" s="151"/>
      <c r="K953" s="151"/>
      <c r="L953" s="10"/>
      <c r="M953" s="10"/>
      <c r="N953" s="10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20"/>
    </row>
    <row r="954">
      <c r="A954" s="14"/>
      <c r="B954" s="14"/>
      <c r="C954" s="149"/>
      <c r="D954" s="150"/>
      <c r="E954" s="151"/>
      <c r="F954" s="151"/>
      <c r="G954" s="151"/>
      <c r="H954" s="10"/>
      <c r="I954" s="152"/>
      <c r="J954" s="151"/>
      <c r="K954" s="151"/>
      <c r="L954" s="10"/>
      <c r="M954" s="10"/>
      <c r="N954" s="10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20"/>
    </row>
    <row r="955">
      <c r="A955" s="14"/>
      <c r="B955" s="14"/>
      <c r="C955" s="149"/>
      <c r="D955" s="150"/>
      <c r="E955" s="151"/>
      <c r="F955" s="151"/>
      <c r="G955" s="151"/>
      <c r="H955" s="10"/>
      <c r="I955" s="152"/>
      <c r="J955" s="151"/>
      <c r="K955" s="151"/>
      <c r="L955" s="10"/>
      <c r="M955" s="10"/>
      <c r="N955" s="10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20"/>
    </row>
    <row r="956">
      <c r="A956" s="14"/>
      <c r="B956" s="14"/>
      <c r="C956" s="149"/>
      <c r="D956" s="150"/>
      <c r="E956" s="151"/>
      <c r="F956" s="151"/>
      <c r="G956" s="151"/>
      <c r="H956" s="10"/>
      <c r="I956" s="152"/>
      <c r="J956" s="151"/>
      <c r="K956" s="151"/>
      <c r="L956" s="10"/>
      <c r="M956" s="10"/>
      <c r="N956" s="10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20"/>
    </row>
    <row r="957">
      <c r="A957" s="14"/>
      <c r="B957" s="14"/>
      <c r="C957" s="149"/>
      <c r="D957" s="150"/>
      <c r="E957" s="151"/>
      <c r="F957" s="151"/>
      <c r="G957" s="151"/>
      <c r="H957" s="10"/>
      <c r="I957" s="152"/>
      <c r="J957" s="151"/>
      <c r="K957" s="151"/>
      <c r="L957" s="10"/>
      <c r="M957" s="10"/>
      <c r="N957" s="10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20"/>
    </row>
    <row r="958">
      <c r="A958" s="14"/>
      <c r="B958" s="14"/>
      <c r="C958" s="149"/>
      <c r="D958" s="150"/>
      <c r="E958" s="151"/>
      <c r="F958" s="151"/>
      <c r="G958" s="151"/>
      <c r="H958" s="10"/>
      <c r="I958" s="152"/>
      <c r="J958" s="151"/>
      <c r="K958" s="151"/>
      <c r="L958" s="10"/>
      <c r="M958" s="10"/>
      <c r="N958" s="10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20"/>
    </row>
    <row r="959">
      <c r="A959" s="14"/>
      <c r="B959" s="14"/>
      <c r="C959" s="149"/>
      <c r="D959" s="150"/>
      <c r="E959" s="151"/>
      <c r="F959" s="151"/>
      <c r="G959" s="151"/>
      <c r="H959" s="10"/>
      <c r="I959" s="152"/>
      <c r="J959" s="151"/>
      <c r="K959" s="151"/>
      <c r="L959" s="10"/>
      <c r="M959" s="10"/>
      <c r="N959" s="10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20"/>
    </row>
    <row r="960">
      <c r="A960" s="14"/>
      <c r="B960" s="14"/>
      <c r="C960" s="149"/>
      <c r="D960" s="150"/>
      <c r="E960" s="151"/>
      <c r="F960" s="151"/>
      <c r="G960" s="151"/>
      <c r="H960" s="10"/>
      <c r="I960" s="152"/>
      <c r="J960" s="151"/>
      <c r="K960" s="151"/>
      <c r="L960" s="10"/>
      <c r="M960" s="10"/>
      <c r="N960" s="10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20"/>
    </row>
    <row r="961">
      <c r="A961" s="14"/>
      <c r="B961" s="14"/>
      <c r="C961" s="149"/>
      <c r="D961" s="150"/>
      <c r="E961" s="151"/>
      <c r="F961" s="151"/>
      <c r="G961" s="151"/>
      <c r="H961" s="10"/>
      <c r="I961" s="152"/>
      <c r="J961" s="151"/>
      <c r="K961" s="151"/>
      <c r="L961" s="10"/>
      <c r="M961" s="10"/>
      <c r="N961" s="10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20"/>
    </row>
    <row r="962">
      <c r="A962" s="14"/>
      <c r="B962" s="14"/>
      <c r="C962" s="149"/>
      <c r="D962" s="150"/>
      <c r="E962" s="151"/>
      <c r="F962" s="151"/>
      <c r="G962" s="151"/>
      <c r="H962" s="10"/>
      <c r="I962" s="152"/>
      <c r="J962" s="151"/>
      <c r="K962" s="151"/>
      <c r="L962" s="10"/>
      <c r="M962" s="10"/>
      <c r="N962" s="10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20"/>
    </row>
    <row r="963">
      <c r="A963" s="14"/>
      <c r="B963" s="14"/>
      <c r="C963" s="149"/>
      <c r="D963" s="150"/>
      <c r="E963" s="151"/>
      <c r="F963" s="151"/>
      <c r="G963" s="151"/>
      <c r="H963" s="10"/>
      <c r="I963" s="152"/>
      <c r="J963" s="151"/>
      <c r="K963" s="151"/>
      <c r="L963" s="10"/>
      <c r="M963" s="10"/>
      <c r="N963" s="10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20"/>
    </row>
    <row r="964">
      <c r="A964" s="14"/>
      <c r="B964" s="14"/>
      <c r="C964" s="149"/>
      <c r="D964" s="150"/>
      <c r="E964" s="151"/>
      <c r="F964" s="151"/>
      <c r="G964" s="151"/>
      <c r="H964" s="10"/>
      <c r="I964" s="152"/>
      <c r="J964" s="151"/>
      <c r="K964" s="151"/>
      <c r="L964" s="10"/>
      <c r="M964" s="10"/>
      <c r="N964" s="10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20"/>
    </row>
    <row r="965">
      <c r="A965" s="14"/>
      <c r="B965" s="14"/>
      <c r="C965" s="149"/>
      <c r="D965" s="150"/>
      <c r="E965" s="151"/>
      <c r="F965" s="151"/>
      <c r="G965" s="151"/>
      <c r="H965" s="10"/>
      <c r="I965" s="152"/>
      <c r="J965" s="151"/>
      <c r="K965" s="151"/>
      <c r="L965" s="10"/>
      <c r="M965" s="10"/>
      <c r="N965" s="10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20"/>
    </row>
    <row r="966">
      <c r="A966" s="14"/>
      <c r="B966" s="14"/>
      <c r="C966" s="149"/>
      <c r="D966" s="150"/>
      <c r="E966" s="151"/>
      <c r="F966" s="151"/>
      <c r="G966" s="151"/>
      <c r="H966" s="10"/>
      <c r="I966" s="152"/>
      <c r="J966" s="151"/>
      <c r="K966" s="151"/>
      <c r="L966" s="10"/>
      <c r="M966" s="10"/>
      <c r="N966" s="10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20"/>
    </row>
    <row r="967">
      <c r="A967" s="14"/>
      <c r="B967" s="14"/>
      <c r="C967" s="149"/>
      <c r="D967" s="150"/>
      <c r="E967" s="151"/>
      <c r="F967" s="151"/>
      <c r="G967" s="151"/>
      <c r="H967" s="10"/>
      <c r="I967" s="152"/>
      <c r="J967" s="151"/>
      <c r="K967" s="151"/>
      <c r="L967" s="10"/>
      <c r="M967" s="10"/>
      <c r="N967" s="10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20"/>
    </row>
    <row r="968">
      <c r="A968" s="14"/>
      <c r="B968" s="14"/>
      <c r="C968" s="149"/>
      <c r="D968" s="150"/>
      <c r="E968" s="151"/>
      <c r="F968" s="151"/>
      <c r="G968" s="151"/>
      <c r="H968" s="10"/>
      <c r="I968" s="152"/>
      <c r="J968" s="151"/>
      <c r="K968" s="151"/>
      <c r="L968" s="10"/>
      <c r="M968" s="10"/>
      <c r="N968" s="10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20"/>
    </row>
    <row r="969">
      <c r="A969" s="14"/>
      <c r="B969" s="14"/>
      <c r="C969" s="149"/>
      <c r="D969" s="150"/>
      <c r="E969" s="151"/>
      <c r="F969" s="151"/>
      <c r="G969" s="151"/>
      <c r="H969" s="10"/>
      <c r="I969" s="152"/>
      <c r="J969" s="151"/>
      <c r="K969" s="151"/>
      <c r="L969" s="10"/>
      <c r="M969" s="10"/>
      <c r="N969" s="10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20"/>
    </row>
    <row r="970">
      <c r="A970" s="14"/>
      <c r="B970" s="14"/>
      <c r="C970" s="149"/>
      <c r="D970" s="150"/>
      <c r="E970" s="151"/>
      <c r="F970" s="151"/>
      <c r="G970" s="151"/>
      <c r="H970" s="10"/>
      <c r="I970" s="152"/>
      <c r="J970" s="151"/>
      <c r="K970" s="151"/>
      <c r="L970" s="10"/>
      <c r="M970" s="10"/>
      <c r="N970" s="10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20"/>
    </row>
    <row r="971">
      <c r="A971" s="14"/>
      <c r="B971" s="14"/>
      <c r="C971" s="149"/>
      <c r="D971" s="150"/>
      <c r="E971" s="151"/>
      <c r="F971" s="151"/>
      <c r="G971" s="151"/>
      <c r="H971" s="10"/>
      <c r="I971" s="152"/>
      <c r="J971" s="151"/>
      <c r="K971" s="151"/>
      <c r="L971" s="10"/>
      <c r="M971" s="10"/>
      <c r="N971" s="10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20"/>
    </row>
    <row r="972">
      <c r="A972" s="14"/>
      <c r="B972" s="14"/>
      <c r="C972" s="149"/>
      <c r="D972" s="150"/>
      <c r="E972" s="151"/>
      <c r="F972" s="151"/>
      <c r="G972" s="151"/>
      <c r="H972" s="10"/>
      <c r="I972" s="152"/>
      <c r="J972" s="151"/>
      <c r="K972" s="151"/>
      <c r="L972" s="10"/>
      <c r="M972" s="10"/>
      <c r="N972" s="10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20"/>
    </row>
    <row r="973">
      <c r="A973" s="14"/>
      <c r="B973" s="14"/>
      <c r="C973" s="149"/>
      <c r="D973" s="150"/>
      <c r="E973" s="151"/>
      <c r="F973" s="151"/>
      <c r="G973" s="151"/>
      <c r="H973" s="10"/>
      <c r="I973" s="152"/>
      <c r="J973" s="151"/>
      <c r="K973" s="151"/>
      <c r="L973" s="10"/>
      <c r="M973" s="10"/>
      <c r="N973" s="10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20"/>
    </row>
    <row r="974">
      <c r="A974" s="14"/>
      <c r="B974" s="14"/>
      <c r="C974" s="149"/>
      <c r="D974" s="150"/>
      <c r="E974" s="151"/>
      <c r="F974" s="151"/>
      <c r="G974" s="151"/>
      <c r="H974" s="10"/>
      <c r="I974" s="152"/>
      <c r="J974" s="151"/>
      <c r="K974" s="151"/>
      <c r="L974" s="10"/>
      <c r="M974" s="10"/>
      <c r="N974" s="10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20"/>
    </row>
    <row r="975">
      <c r="A975" s="14"/>
      <c r="B975" s="14"/>
      <c r="C975" s="149"/>
      <c r="D975" s="150"/>
      <c r="E975" s="151"/>
      <c r="F975" s="151"/>
      <c r="G975" s="151"/>
      <c r="H975" s="10"/>
      <c r="I975" s="152"/>
      <c r="J975" s="151"/>
      <c r="K975" s="151"/>
      <c r="L975" s="10"/>
      <c r="M975" s="10"/>
      <c r="N975" s="10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20"/>
    </row>
    <row r="976">
      <c r="A976" s="14"/>
      <c r="B976" s="14"/>
      <c r="C976" s="149"/>
      <c r="D976" s="150"/>
      <c r="E976" s="151"/>
      <c r="F976" s="151"/>
      <c r="G976" s="151"/>
      <c r="H976" s="10"/>
      <c r="I976" s="152"/>
      <c r="J976" s="151"/>
      <c r="K976" s="151"/>
      <c r="L976" s="10"/>
      <c r="M976" s="10"/>
      <c r="N976" s="10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20"/>
    </row>
    <row r="977">
      <c r="A977" s="14"/>
      <c r="B977" s="14"/>
      <c r="C977" s="149"/>
      <c r="D977" s="150"/>
      <c r="E977" s="151"/>
      <c r="F977" s="151"/>
      <c r="G977" s="151"/>
      <c r="H977" s="10"/>
      <c r="I977" s="152"/>
      <c r="J977" s="151"/>
      <c r="K977" s="151"/>
      <c r="L977" s="10"/>
      <c r="M977" s="10"/>
      <c r="N977" s="10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20"/>
    </row>
    <row r="978">
      <c r="A978" s="14"/>
      <c r="B978" s="14"/>
      <c r="C978" s="149"/>
      <c r="D978" s="150"/>
      <c r="E978" s="151"/>
      <c r="F978" s="151"/>
      <c r="G978" s="151"/>
      <c r="H978" s="10"/>
      <c r="I978" s="152"/>
      <c r="J978" s="151"/>
      <c r="K978" s="151"/>
      <c r="L978" s="10"/>
      <c r="M978" s="10"/>
      <c r="N978" s="10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20"/>
    </row>
    <row r="979">
      <c r="A979" s="14"/>
      <c r="B979" s="14"/>
      <c r="C979" s="149"/>
      <c r="D979" s="150"/>
      <c r="E979" s="151"/>
      <c r="F979" s="151"/>
      <c r="G979" s="151"/>
      <c r="H979" s="10"/>
      <c r="I979" s="152"/>
      <c r="J979" s="151"/>
      <c r="K979" s="151"/>
      <c r="L979" s="10"/>
      <c r="M979" s="10"/>
      <c r="N979" s="10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20"/>
    </row>
    <row r="980">
      <c r="A980" s="14"/>
      <c r="B980" s="14"/>
      <c r="C980" s="149"/>
      <c r="D980" s="150"/>
      <c r="E980" s="151"/>
      <c r="F980" s="151"/>
      <c r="G980" s="151"/>
      <c r="H980" s="10"/>
      <c r="I980" s="152"/>
      <c r="J980" s="151"/>
      <c r="K980" s="151"/>
      <c r="L980" s="10"/>
      <c r="M980" s="10"/>
      <c r="N980" s="10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20"/>
    </row>
    <row r="981">
      <c r="A981" s="14"/>
      <c r="B981" s="14"/>
      <c r="C981" s="149"/>
      <c r="D981" s="150"/>
      <c r="E981" s="151"/>
      <c r="F981" s="151"/>
      <c r="G981" s="151"/>
      <c r="H981" s="10"/>
      <c r="I981" s="152"/>
      <c r="J981" s="151"/>
      <c r="K981" s="151"/>
      <c r="L981" s="10"/>
      <c r="M981" s="10"/>
      <c r="N981" s="10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20"/>
    </row>
    <row r="982">
      <c r="A982" s="14"/>
      <c r="B982" s="14"/>
      <c r="C982" s="149"/>
      <c r="D982" s="150"/>
      <c r="E982" s="151"/>
      <c r="F982" s="151"/>
      <c r="G982" s="151"/>
      <c r="H982" s="10"/>
      <c r="I982" s="152"/>
      <c r="J982" s="151"/>
      <c r="K982" s="151"/>
      <c r="L982" s="10"/>
      <c r="M982" s="10"/>
      <c r="N982" s="10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20"/>
    </row>
    <row r="983">
      <c r="A983" s="14"/>
      <c r="B983" s="14"/>
      <c r="C983" s="149"/>
      <c r="D983" s="150"/>
      <c r="E983" s="151"/>
      <c r="F983" s="151"/>
      <c r="G983" s="151"/>
      <c r="H983" s="10"/>
      <c r="I983" s="152"/>
      <c r="J983" s="151"/>
      <c r="K983" s="151"/>
      <c r="L983" s="10"/>
      <c r="M983" s="10"/>
      <c r="N983" s="10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20"/>
    </row>
    <row r="984">
      <c r="A984" s="14"/>
      <c r="B984" s="14"/>
      <c r="C984" s="149"/>
      <c r="D984" s="150"/>
      <c r="E984" s="151"/>
      <c r="F984" s="151"/>
      <c r="G984" s="151"/>
      <c r="H984" s="10"/>
      <c r="I984" s="152"/>
      <c r="J984" s="151"/>
      <c r="K984" s="151"/>
      <c r="L984" s="10"/>
      <c r="M984" s="10"/>
      <c r="N984" s="10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20"/>
    </row>
    <row r="985">
      <c r="A985" s="14"/>
      <c r="B985" s="14"/>
      <c r="C985" s="149"/>
      <c r="D985" s="150"/>
      <c r="E985" s="151"/>
      <c r="F985" s="151"/>
      <c r="G985" s="151"/>
      <c r="H985" s="10"/>
      <c r="I985" s="152"/>
      <c r="J985" s="151"/>
      <c r="K985" s="151"/>
      <c r="L985" s="10"/>
      <c r="M985" s="10"/>
      <c r="N985" s="10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20"/>
    </row>
    <row r="986">
      <c r="A986" s="14"/>
      <c r="B986" s="14"/>
      <c r="C986" s="149"/>
      <c r="D986" s="150"/>
      <c r="E986" s="151"/>
      <c r="F986" s="151"/>
      <c r="G986" s="151"/>
      <c r="H986" s="10"/>
      <c r="I986" s="152"/>
      <c r="J986" s="151"/>
      <c r="K986" s="151"/>
      <c r="L986" s="10"/>
      <c r="M986" s="10"/>
      <c r="N986" s="10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20"/>
    </row>
    <row r="987">
      <c r="A987" s="14"/>
      <c r="B987" s="14"/>
      <c r="C987" s="149"/>
      <c r="D987" s="150"/>
      <c r="E987" s="151"/>
      <c r="F987" s="151"/>
      <c r="G987" s="151"/>
      <c r="H987" s="10"/>
      <c r="I987" s="152"/>
      <c r="J987" s="151"/>
      <c r="K987" s="151"/>
      <c r="L987" s="10"/>
      <c r="M987" s="10"/>
      <c r="N987" s="10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20"/>
    </row>
    <row r="988">
      <c r="A988" s="14"/>
      <c r="B988" s="14"/>
      <c r="C988" s="149"/>
      <c r="D988" s="150"/>
      <c r="E988" s="151"/>
      <c r="F988" s="151"/>
      <c r="G988" s="151"/>
      <c r="H988" s="10"/>
      <c r="I988" s="152"/>
      <c r="J988" s="151"/>
      <c r="K988" s="151"/>
      <c r="L988" s="10"/>
      <c r="M988" s="10"/>
      <c r="N988" s="10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20"/>
    </row>
    <row r="989">
      <c r="A989" s="14"/>
      <c r="B989" s="14"/>
      <c r="C989" s="149"/>
      <c r="D989" s="150"/>
      <c r="E989" s="151"/>
      <c r="F989" s="151"/>
      <c r="G989" s="151"/>
      <c r="H989" s="10"/>
      <c r="I989" s="152"/>
      <c r="J989" s="151"/>
      <c r="K989" s="151"/>
      <c r="L989" s="10"/>
      <c r="M989" s="10"/>
      <c r="N989" s="10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20"/>
    </row>
    <row r="990">
      <c r="A990" s="14"/>
      <c r="B990" s="14"/>
      <c r="C990" s="149"/>
      <c r="D990" s="150"/>
      <c r="E990" s="151"/>
      <c r="F990" s="151"/>
      <c r="G990" s="151"/>
      <c r="H990" s="10"/>
      <c r="I990" s="152"/>
      <c r="J990" s="151"/>
      <c r="K990" s="151"/>
      <c r="L990" s="10"/>
      <c r="M990" s="10"/>
      <c r="N990" s="10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20"/>
    </row>
    <row r="991">
      <c r="A991" s="14"/>
      <c r="B991" s="14"/>
      <c r="C991" s="149"/>
      <c r="D991" s="150"/>
      <c r="E991" s="151"/>
      <c r="F991" s="151"/>
      <c r="G991" s="151"/>
      <c r="H991" s="10"/>
      <c r="I991" s="152"/>
      <c r="J991" s="151"/>
      <c r="K991" s="151"/>
      <c r="L991" s="10"/>
      <c r="M991" s="10"/>
      <c r="N991" s="10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20"/>
    </row>
    <row r="992">
      <c r="A992" s="14"/>
      <c r="B992" s="14"/>
      <c r="C992" s="149"/>
      <c r="D992" s="150"/>
      <c r="E992" s="151"/>
      <c r="F992" s="151"/>
      <c r="G992" s="151"/>
      <c r="H992" s="10"/>
      <c r="I992" s="152"/>
      <c r="J992" s="151"/>
      <c r="K992" s="151"/>
      <c r="L992" s="10"/>
      <c r="M992" s="10"/>
      <c r="N992" s="10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20"/>
    </row>
    <row r="993">
      <c r="A993" s="14"/>
      <c r="B993" s="14"/>
      <c r="C993" s="149"/>
      <c r="D993" s="150"/>
      <c r="E993" s="151"/>
      <c r="F993" s="151"/>
      <c r="G993" s="151"/>
      <c r="H993" s="10"/>
      <c r="I993" s="152"/>
      <c r="J993" s="151"/>
      <c r="K993" s="151"/>
      <c r="L993" s="10"/>
      <c r="M993" s="10"/>
      <c r="N993" s="10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20"/>
    </row>
    <row r="994">
      <c r="A994" s="14"/>
      <c r="B994" s="14"/>
      <c r="C994" s="149"/>
      <c r="D994" s="150"/>
      <c r="E994" s="151"/>
      <c r="F994" s="151"/>
      <c r="G994" s="151"/>
      <c r="H994" s="10"/>
      <c r="I994" s="152"/>
      <c r="J994" s="151"/>
      <c r="K994" s="151"/>
      <c r="L994" s="10"/>
      <c r="M994" s="10"/>
      <c r="N994" s="10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20"/>
    </row>
    <row r="995">
      <c r="A995" s="14"/>
      <c r="B995" s="14"/>
      <c r="C995" s="149"/>
      <c r="D995" s="150"/>
      <c r="E995" s="151"/>
      <c r="F995" s="151"/>
      <c r="G995" s="151"/>
      <c r="H995" s="10"/>
      <c r="I995" s="152"/>
      <c r="J995" s="151"/>
      <c r="K995" s="151"/>
      <c r="L995" s="10"/>
      <c r="M995" s="10"/>
      <c r="N995" s="10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20"/>
    </row>
    <row r="996">
      <c r="A996" s="14"/>
      <c r="B996" s="14"/>
      <c r="C996" s="149"/>
      <c r="D996" s="150"/>
      <c r="E996" s="151"/>
      <c r="F996" s="151"/>
      <c r="G996" s="151"/>
      <c r="H996" s="10"/>
      <c r="I996" s="152"/>
      <c r="J996" s="151"/>
      <c r="K996" s="151"/>
      <c r="L996" s="10"/>
      <c r="M996" s="10"/>
      <c r="N996" s="10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20"/>
    </row>
    <row r="997">
      <c r="A997" s="14"/>
      <c r="B997" s="14"/>
      <c r="C997" s="149"/>
      <c r="D997" s="150"/>
      <c r="E997" s="151"/>
      <c r="F997" s="151"/>
      <c r="G997" s="151"/>
      <c r="H997" s="10"/>
      <c r="I997" s="152"/>
      <c r="J997" s="151"/>
      <c r="K997" s="151"/>
      <c r="L997" s="10"/>
      <c r="M997" s="10"/>
      <c r="N997" s="10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20"/>
    </row>
    <row r="998">
      <c r="A998" s="14"/>
      <c r="B998" s="14"/>
      <c r="C998" s="149"/>
      <c r="D998" s="150"/>
      <c r="E998" s="151"/>
      <c r="F998" s="151"/>
      <c r="G998" s="151"/>
      <c r="H998" s="10"/>
      <c r="I998" s="152"/>
      <c r="J998" s="151"/>
      <c r="K998" s="151"/>
      <c r="L998" s="10"/>
      <c r="M998" s="10"/>
      <c r="N998" s="10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20"/>
    </row>
    <row r="999">
      <c r="A999" s="14"/>
      <c r="B999" s="14"/>
      <c r="C999" s="149"/>
      <c r="D999" s="150"/>
      <c r="E999" s="151"/>
      <c r="F999" s="151"/>
      <c r="G999" s="151"/>
      <c r="H999" s="10"/>
      <c r="I999" s="152"/>
      <c r="J999" s="151"/>
      <c r="K999" s="151"/>
      <c r="L999" s="10"/>
      <c r="M999" s="10"/>
      <c r="N999" s="10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20"/>
    </row>
    <row r="1000">
      <c r="A1000" s="14"/>
      <c r="B1000" s="14"/>
      <c r="C1000" s="149"/>
      <c r="D1000" s="150"/>
      <c r="E1000" s="151"/>
      <c r="F1000" s="151"/>
      <c r="G1000" s="151"/>
      <c r="H1000" s="10"/>
      <c r="I1000" s="152"/>
      <c r="J1000" s="151"/>
      <c r="K1000" s="151"/>
      <c r="L1000" s="10"/>
      <c r="M1000" s="10"/>
      <c r="N1000" s="10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20"/>
    </row>
    <row r="1001">
      <c r="A1001" s="14"/>
      <c r="B1001" s="14"/>
      <c r="C1001" s="149"/>
      <c r="D1001" s="150"/>
      <c r="E1001" s="151"/>
      <c r="F1001" s="151"/>
      <c r="G1001" s="151"/>
      <c r="H1001" s="10"/>
      <c r="I1001" s="152"/>
      <c r="J1001" s="151"/>
      <c r="K1001" s="151"/>
      <c r="L1001" s="10"/>
      <c r="M1001" s="10"/>
      <c r="N1001" s="10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20"/>
    </row>
    <row r="1002">
      <c r="A1002" s="14"/>
      <c r="B1002" s="14"/>
      <c r="C1002" s="149"/>
      <c r="D1002" s="150"/>
      <c r="E1002" s="151"/>
      <c r="F1002" s="151"/>
      <c r="G1002" s="151"/>
      <c r="H1002" s="10"/>
      <c r="I1002" s="152"/>
      <c r="J1002" s="151"/>
      <c r="K1002" s="151"/>
      <c r="L1002" s="10"/>
      <c r="M1002" s="10"/>
      <c r="N1002" s="10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20"/>
    </row>
    <row r="1003">
      <c r="A1003" s="14"/>
      <c r="B1003" s="14"/>
      <c r="C1003" s="149"/>
      <c r="D1003" s="150"/>
      <c r="E1003" s="151"/>
      <c r="F1003" s="151"/>
      <c r="G1003" s="151"/>
      <c r="H1003" s="10"/>
      <c r="I1003" s="152"/>
      <c r="J1003" s="151"/>
      <c r="K1003" s="151"/>
      <c r="L1003" s="10"/>
      <c r="M1003" s="10"/>
      <c r="N1003" s="10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20"/>
    </row>
    <row r="1004">
      <c r="A1004" s="14"/>
      <c r="B1004" s="14"/>
      <c r="C1004" s="149"/>
      <c r="D1004" s="150"/>
      <c r="E1004" s="151"/>
      <c r="F1004" s="151"/>
      <c r="G1004" s="151"/>
      <c r="H1004" s="10"/>
      <c r="I1004" s="152"/>
      <c r="J1004" s="151"/>
      <c r="K1004" s="151"/>
      <c r="L1004" s="10"/>
      <c r="M1004" s="10"/>
      <c r="N1004" s="10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20"/>
    </row>
    <row r="1005">
      <c r="A1005" s="14"/>
      <c r="B1005" s="14"/>
      <c r="C1005" s="149"/>
      <c r="D1005" s="150"/>
      <c r="E1005" s="151"/>
      <c r="F1005" s="151"/>
      <c r="G1005" s="151"/>
      <c r="H1005" s="10"/>
      <c r="I1005" s="152"/>
      <c r="J1005" s="151"/>
      <c r="K1005" s="151"/>
      <c r="L1005" s="10"/>
      <c r="M1005" s="10"/>
      <c r="N1005" s="10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20"/>
    </row>
    <row r="1006">
      <c r="A1006" s="14"/>
      <c r="B1006" s="14"/>
      <c r="C1006" s="149"/>
      <c r="D1006" s="150"/>
      <c r="E1006" s="151"/>
      <c r="F1006" s="151"/>
      <c r="G1006" s="151"/>
      <c r="H1006" s="10"/>
      <c r="I1006" s="152"/>
      <c r="J1006" s="151"/>
      <c r="K1006" s="151"/>
      <c r="L1006" s="10"/>
      <c r="M1006" s="10"/>
      <c r="N1006" s="10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20"/>
    </row>
    <row r="1007">
      <c r="A1007" s="14"/>
      <c r="B1007" s="14"/>
      <c r="C1007" s="149"/>
      <c r="D1007" s="150"/>
      <c r="E1007" s="151"/>
      <c r="F1007" s="151"/>
      <c r="G1007" s="151"/>
      <c r="H1007" s="10"/>
      <c r="I1007" s="152"/>
      <c r="J1007" s="151"/>
      <c r="K1007" s="151"/>
      <c r="L1007" s="10"/>
      <c r="M1007" s="10"/>
      <c r="N1007" s="10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20"/>
    </row>
    <row r="1008">
      <c r="A1008" s="14"/>
      <c r="B1008" s="14"/>
      <c r="C1008" s="149"/>
      <c r="D1008" s="150"/>
      <c r="E1008" s="151"/>
      <c r="F1008" s="151"/>
      <c r="G1008" s="151"/>
      <c r="H1008" s="10"/>
      <c r="I1008" s="152"/>
      <c r="J1008" s="151"/>
      <c r="K1008" s="151"/>
      <c r="L1008" s="10"/>
      <c r="M1008" s="10"/>
      <c r="N1008" s="10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20"/>
    </row>
    <row r="1009">
      <c r="A1009" s="14"/>
      <c r="B1009" s="14"/>
      <c r="C1009" s="149"/>
      <c r="D1009" s="150"/>
      <c r="E1009" s="151"/>
      <c r="F1009" s="151"/>
      <c r="G1009" s="151"/>
      <c r="H1009" s="10"/>
      <c r="I1009" s="152"/>
      <c r="J1009" s="151"/>
      <c r="K1009" s="151"/>
      <c r="L1009" s="10"/>
      <c r="M1009" s="10"/>
      <c r="N1009" s="10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20"/>
    </row>
    <row r="1010">
      <c r="A1010" s="14"/>
      <c r="B1010" s="14"/>
      <c r="C1010" s="149"/>
      <c r="D1010" s="150"/>
      <c r="E1010" s="151"/>
      <c r="F1010" s="151"/>
      <c r="G1010" s="151"/>
      <c r="H1010" s="10"/>
      <c r="I1010" s="152"/>
      <c r="J1010" s="151"/>
      <c r="K1010" s="151"/>
      <c r="L1010" s="10"/>
      <c r="M1010" s="10"/>
      <c r="N1010" s="10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20"/>
    </row>
  </sheetData>
  <mergeCells count="2">
    <mergeCell ref="A1:M1"/>
    <mergeCell ref="A2:M2"/>
  </mergeCells>
  <conditionalFormatting sqref="N1:N1010">
    <cfRule type="cellIs" dxfId="5" priority="1" operator="equal">
      <formula>"Finalizada OK"</formula>
    </cfRule>
  </conditionalFormatting>
  <conditionalFormatting sqref="N1:N1010">
    <cfRule type="cellIs" dxfId="6" priority="2" operator="equal">
      <formula>"Pendiente"</formula>
    </cfRule>
  </conditionalFormatting>
  <conditionalFormatting sqref="N1:N1010">
    <cfRule type="cellIs" dxfId="7" priority="3" operator="equal">
      <formula>"Instalando SO"</formula>
    </cfRule>
  </conditionalFormatting>
  <conditionalFormatting sqref="N1:N1010">
    <cfRule type="cellIs" dxfId="8" priority="4" operator="equal">
      <formula>"Diagnosticando"</formula>
    </cfRule>
  </conditionalFormatting>
  <conditionalFormatting sqref="N1:N1010">
    <cfRule type="cellIs" dxfId="9" priority="5" operator="equal">
      <formula>"Desbloqueada"</formula>
    </cfRule>
  </conditionalFormatting>
  <conditionalFormatting sqref="N1:N1010">
    <cfRule type="cellIs" dxfId="10" priority="6" operator="equal">
      <formula>"Configurando"</formula>
    </cfRule>
  </conditionalFormatting>
  <conditionalFormatting sqref="N1:N1010">
    <cfRule type="cellIs" dxfId="11" priority="7" operator="equal">
      <formula>"Probando"</formula>
    </cfRule>
  </conditionalFormatting>
  <conditionalFormatting sqref="N1:N1010">
    <cfRule type="cellIs" dxfId="12" priority="8" operator="equal">
      <formula>"Derivada"</formula>
    </cfRule>
  </conditionalFormatting>
  <dataValidations>
    <dataValidation type="list" allowBlank="1" sqref="F4:F150">
      <formula1>"---,G1,G2,G3,G4,G5,G6,G7,G8,G9"</formula1>
    </dataValidation>
    <dataValidation type="list" allowBlank="1" sqref="G4:G150">
      <formula1>"Grupo 1,Grupo 2"</formula1>
    </dataValidation>
    <dataValidation type="list" allowBlank="1" showErrorMessage="1" sqref="H4:H150">
      <formula1>RANKING[Apellido y Nombre]</formula1>
    </dataValidation>
    <dataValidation type="list" allowBlank="1" sqref="N4:N150">
      <formula1>"Pendiente,Diagnosticando,Desbloqueada,Instalando SO,Configurando,Probando,Finalizada OK,Derivada"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90D9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.71"/>
    <col customWidth="1" min="2" max="2" width="16.86"/>
    <col customWidth="1" min="3" max="3" width="8.86"/>
    <col customWidth="1" min="4" max="4" width="11.29"/>
    <col customWidth="1" min="5" max="5" width="16.71"/>
    <col customWidth="1" min="6" max="6" width="12.71"/>
    <col customWidth="1" min="7" max="7" width="13.71"/>
    <col customWidth="1" min="8" max="8" width="14.71"/>
    <col customWidth="1" min="9" max="9" width="14.0"/>
    <col customWidth="1" min="10" max="10" width="7.14"/>
    <col customWidth="1" min="11" max="11" width="13.14"/>
    <col customWidth="1" min="12" max="12" width="60.0"/>
    <col customWidth="1" min="13" max="13" width="129.29"/>
  </cols>
  <sheetData>
    <row r="1">
      <c r="A1" s="5" t="s">
        <v>448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</row>
    <row r="2">
      <c r="A2" s="23" t="s">
        <v>449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  <c r="AA2" s="159"/>
    </row>
    <row r="3">
      <c r="A3" s="22" t="s">
        <v>10</v>
      </c>
      <c r="B3" s="36" t="s">
        <v>20</v>
      </c>
      <c r="C3" s="39" t="s">
        <v>44</v>
      </c>
      <c r="D3" s="30" t="s">
        <v>46</v>
      </c>
      <c r="E3" s="30" t="s">
        <v>450</v>
      </c>
      <c r="F3" s="30" t="s">
        <v>451</v>
      </c>
      <c r="G3" s="34" t="s">
        <v>452</v>
      </c>
      <c r="H3" s="30" t="s">
        <v>21</v>
      </c>
      <c r="I3" s="30" t="s">
        <v>453</v>
      </c>
      <c r="J3" s="30" t="s">
        <v>23</v>
      </c>
      <c r="K3" s="30" t="s">
        <v>454</v>
      </c>
      <c r="L3" s="30" t="s">
        <v>455</v>
      </c>
      <c r="M3" s="30" t="s">
        <v>456</v>
      </c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</row>
    <row r="4">
      <c r="A4" s="47">
        <v>1.0</v>
      </c>
      <c r="B4" s="161" t="s">
        <v>73</v>
      </c>
      <c r="C4" s="61" t="str">
        <f>IFERROR(__xludf.DUMMYFUNCTION("IF(B4="""", """", IF(REGEXMATCH(TO_TEXT(B4), ""^(AA\d{10}|EDU\d{7}|\d+|SZSES10IS\d{9})$""), ""✅"", ""⚠️""))"),"✅")</f>
        <v>✅</v>
      </c>
      <c r="D4" s="61" t="s">
        <v>77</v>
      </c>
      <c r="E4" s="37"/>
      <c r="F4" s="37" t="s">
        <v>457</v>
      </c>
      <c r="G4" s="55">
        <v>46189.0</v>
      </c>
      <c r="H4" s="95" t="s">
        <v>79</v>
      </c>
      <c r="I4" s="61" t="str">
        <f>IF(B4="", "", IFERROR(VLOOKUP(B4, '🔧 OT'!D:N, 11, 0), IF(H4&lt;&gt;"", H4, "Sin OT")))</f>
        <v>Finalizada OK</v>
      </c>
      <c r="J4" s="61" t="str">
        <f>IFERROR(__xludf.DUMMYFUNCTION("IF(B4="""", """", IFERROR(VLOOKUP(TO_TEXT(B4), INDEX(TO_TEXT('🔧 OT'!D:G)), 4, 0), ""Sin OT""))"),"Grupo 2")</f>
        <v>Grupo 2</v>
      </c>
      <c r="K4" s="162" t="s">
        <v>458</v>
      </c>
      <c r="L4" s="51" t="s">
        <v>459</v>
      </c>
      <c r="M4" s="37" t="s">
        <v>89</v>
      </c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  <c r="AA4" s="159"/>
    </row>
    <row r="5">
      <c r="A5" s="47">
        <v>2.0</v>
      </c>
      <c r="B5" s="163" t="s">
        <v>96</v>
      </c>
      <c r="C5" s="61" t="str">
        <f>IFERROR(__xludf.DUMMYFUNCTION("IF(B5="""", """", IF(REGEXMATCH(TO_TEXT(B5), ""^(AA\d{10}|EDU\d{7}|\d+|SZSES10IS\d{9})$""), ""✅"", ""⚠️""))"),"✅")</f>
        <v>✅</v>
      </c>
      <c r="D5" s="88" t="s">
        <v>77</v>
      </c>
      <c r="E5" s="29"/>
      <c r="F5" s="29" t="s">
        <v>460</v>
      </c>
      <c r="G5" s="85">
        <v>46189.0</v>
      </c>
      <c r="H5" s="98" t="s">
        <v>79</v>
      </c>
      <c r="I5" s="61" t="str">
        <f>IF(B5="", "", IFERROR(VLOOKUP(B5, '🔧 OT'!D:N, 11, 0), IF(H5&lt;&gt;"", H5, "Sin OT")))</f>
        <v>Finalizada OK</v>
      </c>
      <c r="J5" s="61" t="str">
        <f>IFERROR(__xludf.DUMMYFUNCTION("IF(B5="""", """", IFERROR(VLOOKUP(TO_TEXT(B5), INDEX(TO_TEXT('🔧 OT'!D:G)), 4, 0), ""Sin OT""))"),"Grupo 2")</f>
        <v>Grupo 2</v>
      </c>
      <c r="K5" s="164" t="s">
        <v>461</v>
      </c>
      <c r="L5" s="92" t="s">
        <v>462</v>
      </c>
      <c r="M5" s="29" t="s">
        <v>463</v>
      </c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</row>
    <row r="6">
      <c r="A6" s="47">
        <v>3.0</v>
      </c>
      <c r="B6" s="161" t="s">
        <v>103</v>
      </c>
      <c r="C6" s="61" t="str">
        <f>IFERROR(__xludf.DUMMYFUNCTION("IF(B6="""", """", IF(REGEXMATCH(TO_TEXT(B6), ""^(AA\d{10}|EDU\d{7}|\d+|SZSES10IS\d{9})$""), ""✅"", ""⚠️""))"),"✅")</f>
        <v>✅</v>
      </c>
      <c r="D6" s="61" t="s">
        <v>77</v>
      </c>
      <c r="E6" s="37"/>
      <c r="F6" s="51" t="s">
        <v>464</v>
      </c>
      <c r="G6" s="55">
        <v>46190.0</v>
      </c>
      <c r="H6" s="95" t="s">
        <v>79</v>
      </c>
      <c r="I6" s="61" t="str">
        <f>IF(B6="", "", IFERROR(VLOOKUP(B6, '🔧 OT'!D:N, 11, 0), IF(H6&lt;&gt;"", H6, "Sin OT")))</f>
        <v>Finalizada OK</v>
      </c>
      <c r="J6" s="61" t="str">
        <f>IFERROR(__xludf.DUMMYFUNCTION("IF(B6="""", """", IFERROR(VLOOKUP(TO_TEXT(B6), INDEX(TO_TEXT('🔧 OT'!D:G)), 4, 0), ""Sin OT""))"),"Grupo 1")</f>
        <v>Grupo 1</v>
      </c>
      <c r="K6" s="162" t="s">
        <v>465</v>
      </c>
      <c r="L6" s="51" t="s">
        <v>466</v>
      </c>
      <c r="M6" s="37" t="s">
        <v>467</v>
      </c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  <c r="AA6" s="159"/>
    </row>
    <row r="7">
      <c r="A7" s="47">
        <v>4.0</v>
      </c>
      <c r="B7" s="163" t="s">
        <v>114</v>
      </c>
      <c r="C7" s="61" t="str">
        <f>IFERROR(__xludf.DUMMYFUNCTION("IF(B7="""", """", IF(REGEXMATCH(TO_TEXT(B7), ""^(AA\d{10}|EDU\d{7}|\d+|SZSES10IS\d{9})$""), ""✅"", ""⚠️""))"),"✅")</f>
        <v>✅</v>
      </c>
      <c r="D7" s="88" t="s">
        <v>77</v>
      </c>
      <c r="E7" s="29"/>
      <c r="F7" s="94" t="s">
        <v>464</v>
      </c>
      <c r="G7" s="85">
        <v>46190.0</v>
      </c>
      <c r="H7" s="98" t="s">
        <v>79</v>
      </c>
      <c r="I7" s="61" t="str">
        <f>IF(B7="", "", IFERROR(VLOOKUP(B7, '🔧 OT'!D:N, 11, 0), IF(H7&lt;&gt;"", H7, "Sin OT")))</f>
        <v>Derivada</v>
      </c>
      <c r="J7" s="61" t="str">
        <f>IFERROR(__xludf.DUMMYFUNCTION("IF(B7="""", """", IFERROR(VLOOKUP(TO_TEXT(B7), INDEX(TO_TEXT('🔧 OT'!D:G)), 4, 0), ""Sin OT""))"),"Grupo 1")</f>
        <v>Grupo 1</v>
      </c>
      <c r="K7" s="164" t="s">
        <v>468</v>
      </c>
      <c r="L7" s="94" t="s">
        <v>469</v>
      </c>
      <c r="M7" s="29" t="s">
        <v>470</v>
      </c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  <c r="AA7" s="159"/>
    </row>
    <row r="8">
      <c r="A8" s="47">
        <v>5.0</v>
      </c>
      <c r="B8" s="161" t="s">
        <v>118</v>
      </c>
      <c r="C8" s="61" t="str">
        <f>IFERROR(__xludf.DUMMYFUNCTION("IF(B8="""", """", IF(REGEXMATCH(TO_TEXT(B8), ""^(AA\d{10}|EDU\d{7}|\d+|SZSES10IS\d{9})$""), ""✅"", ""⚠️""))"),"✅")</f>
        <v>✅</v>
      </c>
      <c r="D8" s="61" t="s">
        <v>77</v>
      </c>
      <c r="E8" s="37"/>
      <c r="F8" s="37" t="s">
        <v>460</v>
      </c>
      <c r="G8" s="55">
        <v>46191.0</v>
      </c>
      <c r="H8" s="95" t="s">
        <v>79</v>
      </c>
      <c r="I8" s="61" t="str">
        <f>IF(B8="", "", IFERROR(VLOOKUP(B8, '🔧 OT'!D:N, 11, 0), IF(H8&lt;&gt;"", H8, "Sin OT")))</f>
        <v>Finalizada OK</v>
      </c>
      <c r="J8" s="61" t="str">
        <f>IFERROR(__xludf.DUMMYFUNCTION("IF(B8="""", """", IFERROR(VLOOKUP(TO_TEXT(B8), INDEX(TO_TEXT('🔧 OT'!D:G)), 4, 0), ""Sin OT""))"),"Grupo 2")</f>
        <v>Grupo 2</v>
      </c>
      <c r="K8" s="162" t="s">
        <v>471</v>
      </c>
      <c r="L8" s="165" t="s">
        <v>472</v>
      </c>
      <c r="M8" s="37" t="s">
        <v>473</v>
      </c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  <c r="AA8" s="159"/>
    </row>
    <row r="9">
      <c r="A9" s="47">
        <v>6.0</v>
      </c>
      <c r="B9" s="163" t="s">
        <v>123</v>
      </c>
      <c r="C9" s="61" t="str">
        <f>IFERROR(__xludf.DUMMYFUNCTION("IF(B9="""", """", IF(REGEXMATCH(TO_TEXT(B9), ""^(AA\d{10}|EDU\d{7}|\d+|SZSES10IS\d{9})$""), ""✅"", ""⚠️""))"),"✅")</f>
        <v>✅</v>
      </c>
      <c r="D9" s="88" t="s">
        <v>77</v>
      </c>
      <c r="E9" s="29"/>
      <c r="F9" s="29" t="s">
        <v>474</v>
      </c>
      <c r="G9" s="85">
        <v>46191.0</v>
      </c>
      <c r="H9" s="98" t="s">
        <v>79</v>
      </c>
      <c r="I9" s="61" t="str">
        <f>IF(B9="", "", IFERROR(VLOOKUP(B9, '🔧 OT'!D:N, 11, 0), IF(H9&lt;&gt;"", H9, "Sin OT")))</f>
        <v>Finalizada OK</v>
      </c>
      <c r="J9" s="61" t="str">
        <f>IFERROR(__xludf.DUMMYFUNCTION("IF(B9="""", """", IFERROR(VLOOKUP(TO_TEXT(B9), INDEX(TO_TEXT('🔧 OT'!D:G)), 4, 0), ""Sin OT""))"),"Grupo 2")</f>
        <v>Grupo 2</v>
      </c>
      <c r="K9" s="164" t="s">
        <v>475</v>
      </c>
      <c r="L9" s="29" t="s">
        <v>472</v>
      </c>
      <c r="M9" s="29" t="s">
        <v>476</v>
      </c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  <c r="AA9" s="159"/>
    </row>
    <row r="10">
      <c r="A10" s="47">
        <v>7.0</v>
      </c>
      <c r="B10" s="161" t="s">
        <v>127</v>
      </c>
      <c r="C10" s="61" t="str">
        <f>IFERROR(__xludf.DUMMYFUNCTION("IF(B10="""", """", IF(REGEXMATCH(TO_TEXT(B10), ""^(AA\d{10}|EDU\d{7}|\d+|SZSES10IS\d{9})$""), ""✅"", ""⚠️""))"),"✅")</f>
        <v>✅</v>
      </c>
      <c r="D10" s="61" t="s">
        <v>77</v>
      </c>
      <c r="E10" s="37"/>
      <c r="F10" s="51" t="s">
        <v>464</v>
      </c>
      <c r="G10" s="55">
        <v>46191.0</v>
      </c>
      <c r="H10" s="95" t="s">
        <v>79</v>
      </c>
      <c r="I10" s="61" t="str">
        <f>IF(B10="", "", IFERROR(VLOOKUP(B10, '🔧 OT'!D:N, 11, 0), IF(H10&lt;&gt;"", H10, "Sin OT")))</f>
        <v>Finalizada OK</v>
      </c>
      <c r="J10" s="61" t="str">
        <f>IFERROR(__xludf.DUMMYFUNCTION("IF(B10="""", """", IFERROR(VLOOKUP(TO_TEXT(B10), INDEX(TO_TEXT('🔧 OT'!D:G)), 4, 0), ""Sin OT""))"),"Grupo 2")</f>
        <v>Grupo 2</v>
      </c>
      <c r="K10" s="166" t="s">
        <v>477</v>
      </c>
      <c r="L10" s="37" t="s">
        <v>478</v>
      </c>
      <c r="M10" s="37" t="s">
        <v>479</v>
      </c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  <c r="AA10" s="159"/>
    </row>
    <row r="11">
      <c r="A11" s="47">
        <v>8.0</v>
      </c>
      <c r="B11" s="163" t="s">
        <v>133</v>
      </c>
      <c r="C11" s="61" t="str">
        <f>IFERROR(__xludf.DUMMYFUNCTION("IF(B11="""", """", IF(REGEXMATCH(TO_TEXT(B11), ""^(AA\d{10}|EDU\d{7}|\d+|SZSES10IS\d{9})$""), ""✅"", ""⚠️""))"),"✅")</f>
        <v>✅</v>
      </c>
      <c r="D11" s="88" t="s">
        <v>77</v>
      </c>
      <c r="E11" s="29"/>
      <c r="F11" s="94" t="s">
        <v>464</v>
      </c>
      <c r="G11" s="85">
        <v>46191.0</v>
      </c>
      <c r="H11" s="98" t="s">
        <v>79</v>
      </c>
      <c r="I11" s="61" t="str">
        <f>IF(B11="", "", IFERROR(VLOOKUP(B11, '🔧 OT'!D:N, 11, 0), IF(H11&lt;&gt;"", H11, "Sin OT")))</f>
        <v>Finalizada OK</v>
      </c>
      <c r="J11" s="61" t="str">
        <f>IFERROR(__xludf.DUMMYFUNCTION("IF(B11="""", """", IFERROR(VLOOKUP(TO_TEXT(B11), INDEX(TO_TEXT('🔧 OT'!D:G)), 4, 0), ""Sin OT""))"),"Grupo 1")</f>
        <v>Grupo 1</v>
      </c>
      <c r="K11" s="164" t="s">
        <v>480</v>
      </c>
      <c r="L11" s="94" t="s">
        <v>481</v>
      </c>
      <c r="M11" s="94" t="s">
        <v>482</v>
      </c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</row>
    <row r="12">
      <c r="A12" s="47">
        <v>9.0</v>
      </c>
      <c r="B12" s="167" t="s">
        <v>138</v>
      </c>
      <c r="C12" s="61" t="str">
        <f>IFERROR(__xludf.DUMMYFUNCTION("IF(B12="""", """", IF(REGEXMATCH(TO_TEXT(B12), ""^(AA\d{10}|EDU\d{7}|\d+|SZSES10IS\d{9})$""), ""✅"", ""⚠️""))"),"✅")</f>
        <v>✅</v>
      </c>
      <c r="D12" s="95" t="s">
        <v>77</v>
      </c>
      <c r="E12" s="37"/>
      <c r="F12" s="51" t="s">
        <v>474</v>
      </c>
      <c r="G12" s="101">
        <v>46195.0</v>
      </c>
      <c r="H12" s="95" t="s">
        <v>79</v>
      </c>
      <c r="I12" s="61" t="str">
        <f>IF(B12="", "", IFERROR(VLOOKUP(B12, '🔧 OT'!D:N, 11, 0), IF(H12&lt;&gt;"", H12, "Sin OT")))</f>
        <v>Finalizada OK</v>
      </c>
      <c r="J12" s="61" t="str">
        <f>IFERROR(__xludf.DUMMYFUNCTION("IF(B12="""", """", IFERROR(VLOOKUP(TO_TEXT(B12), INDEX(TO_TEXT('🔧 OT'!D:G)), 4, 0), ""Sin OT""))"),"Grupo 1")</f>
        <v>Grupo 1</v>
      </c>
      <c r="K12" s="166" t="s">
        <v>483</v>
      </c>
      <c r="L12" s="51" t="s">
        <v>484</v>
      </c>
      <c r="M12" s="51" t="s">
        <v>236</v>
      </c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  <c r="AA12" s="159"/>
    </row>
    <row r="13">
      <c r="A13" s="47">
        <v>10.0</v>
      </c>
      <c r="B13" s="168" t="s">
        <v>141</v>
      </c>
      <c r="C13" s="61" t="str">
        <f>IFERROR(__xludf.DUMMYFUNCTION("IF(B13="""", """", IF(REGEXMATCH(TO_TEXT(B13), ""^(AA\d{10}|EDU\d{7}|\d+|SZSES10IS\d{9})$""), ""✅"", ""⚠️""))"),"✅")</f>
        <v>✅</v>
      </c>
      <c r="D13" s="105" t="s">
        <v>77</v>
      </c>
      <c r="E13" s="29"/>
      <c r="F13" s="94" t="s">
        <v>464</v>
      </c>
      <c r="G13" s="103">
        <v>46195.0</v>
      </c>
      <c r="H13" s="98" t="s">
        <v>79</v>
      </c>
      <c r="I13" s="61" t="str">
        <f>IF(B13="", "", IFERROR(VLOOKUP(B13, '🔧 OT'!D:N, 11, 0), IF(H13&lt;&gt;"", H13, "Sin OT")))</f>
        <v>Finalizada OK</v>
      </c>
      <c r="J13" s="61" t="str">
        <f>IFERROR(__xludf.DUMMYFUNCTION("IF(B13="""", """", IFERROR(VLOOKUP(TO_TEXT(B13), INDEX(TO_TEXT('🔧 OT'!D:G)), 4, 0), ""Sin OT""))"),"Grupo 2")</f>
        <v>Grupo 2</v>
      </c>
      <c r="K13" s="169" t="s">
        <v>485</v>
      </c>
      <c r="L13" s="94" t="s">
        <v>486</v>
      </c>
      <c r="M13" s="94" t="s">
        <v>487</v>
      </c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</row>
    <row r="14">
      <c r="A14" s="47">
        <v>11.0</v>
      </c>
      <c r="B14" s="167" t="s">
        <v>144</v>
      </c>
      <c r="C14" s="61" t="str">
        <f>IFERROR(__xludf.DUMMYFUNCTION("IF(B14="""", """", IF(REGEXMATCH(TO_TEXT(B14), ""^(AA\d{10}|EDU\d{7}|\d+|SZSES10IS\d{9})$""), ""✅"", ""⚠️""))"),"✅")</f>
        <v>✅</v>
      </c>
      <c r="D14" s="95" t="s">
        <v>77</v>
      </c>
      <c r="E14" s="37"/>
      <c r="F14" s="51" t="s">
        <v>464</v>
      </c>
      <c r="G14" s="101">
        <v>46195.0</v>
      </c>
      <c r="H14" s="95" t="s">
        <v>79</v>
      </c>
      <c r="I14" s="61" t="str">
        <f>IF(B14="", "", IFERROR(VLOOKUP(B14, '🔧 OT'!D:N, 11, 0), IF(H14&lt;&gt;"", H14, "Sin OT")))</f>
        <v>Pendiente</v>
      </c>
      <c r="J14" s="61" t="str">
        <f>IFERROR(__xludf.DUMMYFUNCTION("IF(B14="""", """", IFERROR(VLOOKUP(TO_TEXT(B14), INDEX(TO_TEXT('🔧 OT'!D:G)), 4, 0), ""Sin OT""))"),"Grupo 1")</f>
        <v>Grupo 1</v>
      </c>
      <c r="K14" s="166" t="s">
        <v>488</v>
      </c>
      <c r="L14" s="51" t="s">
        <v>489</v>
      </c>
      <c r="M14" s="51" t="s">
        <v>490</v>
      </c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  <c r="AA14" s="159"/>
    </row>
    <row r="15">
      <c r="A15" s="47">
        <v>12.0</v>
      </c>
      <c r="B15" s="168" t="s">
        <v>150</v>
      </c>
      <c r="C15" s="61" t="str">
        <f>IFERROR(__xludf.DUMMYFUNCTION("IF(B15="""", """", IF(REGEXMATCH(TO_TEXT(B15), ""^(AA\d{10}|EDU\d{7}|\d+|SZSES10IS\d{9})$""), ""✅"", ""⚠️""))"),"✅")</f>
        <v>✅</v>
      </c>
      <c r="D15" s="105" t="s">
        <v>77</v>
      </c>
      <c r="E15" s="29"/>
      <c r="F15" s="94" t="s">
        <v>460</v>
      </c>
      <c r="G15" s="103">
        <v>46195.0</v>
      </c>
      <c r="H15" s="98" t="s">
        <v>79</v>
      </c>
      <c r="I15" s="61" t="str">
        <f>IF(B15="", "", IFERROR(VLOOKUP(B15, '🔧 OT'!D:N, 11, 0), IF(H15&lt;&gt;"", H15, "Sin OT")))</f>
        <v>Finalizada OK</v>
      </c>
      <c r="J15" s="61" t="str">
        <f>IFERROR(__xludf.DUMMYFUNCTION("IF(B15="""", """", IFERROR(VLOOKUP(TO_TEXT(B15), INDEX(TO_TEXT('🔧 OT'!D:G)), 4, 0), ""Sin OT""))"),"Grupo 1")</f>
        <v>Grupo 1</v>
      </c>
      <c r="K15" s="169" t="s">
        <v>494</v>
      </c>
      <c r="L15" s="94" t="s">
        <v>495</v>
      </c>
      <c r="M15" s="94" t="s">
        <v>496</v>
      </c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  <c r="AA15" s="159"/>
    </row>
    <row r="16">
      <c r="A16" s="47">
        <v>13.0</v>
      </c>
      <c r="B16" s="167" t="s">
        <v>153</v>
      </c>
      <c r="C16" s="61" t="str">
        <f>IFERROR(__xludf.DUMMYFUNCTION("IF(B16="""", """", IF(REGEXMATCH(TO_TEXT(B16), ""^(AA\d{10}|EDU\d{7}|\d+|SZSES10IS\d{9})$""), ""✅"", ""⚠️""))"),"✅")</f>
        <v>✅</v>
      </c>
      <c r="D16" s="95" t="s">
        <v>77</v>
      </c>
      <c r="E16" s="37"/>
      <c r="F16" s="51" t="s">
        <v>464</v>
      </c>
      <c r="G16" s="101">
        <v>46196.0</v>
      </c>
      <c r="H16" s="95" t="s">
        <v>79</v>
      </c>
      <c r="I16" s="61" t="str">
        <f>IF(B16="", "", IFERROR(VLOOKUP(B16, '🔧 OT'!D:N, 11, 0), IF(H16&lt;&gt;"", H16, "Sin OT")))</f>
        <v>Finalizada OK</v>
      </c>
      <c r="J16" s="61" t="str">
        <f>IFERROR(__xludf.DUMMYFUNCTION("IF(B16="""", """", IFERROR(VLOOKUP(TO_TEXT(B16), INDEX(TO_TEXT('🔧 OT'!D:G)), 4, 0), ""Sin OT""))"),"Grupo 2")</f>
        <v>Grupo 2</v>
      </c>
      <c r="K16" s="166" t="s">
        <v>505</v>
      </c>
      <c r="L16" s="51" t="s">
        <v>154</v>
      </c>
      <c r="M16" s="51" t="s">
        <v>506</v>
      </c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  <c r="AA16" s="159"/>
    </row>
    <row r="17">
      <c r="A17" s="47">
        <v>14.0</v>
      </c>
      <c r="B17" s="168" t="s">
        <v>155</v>
      </c>
      <c r="C17" s="61" t="str">
        <f>IFERROR(__xludf.DUMMYFUNCTION("IF(B17="""", """", IF(REGEXMATCH(TO_TEXT(B17), ""^(AA\d{10}|EDU\d{7}|\d+|SZSES10IS\d{9})$""), ""✅"", ""⚠️""))"),"✅")</f>
        <v>✅</v>
      </c>
      <c r="D17" s="105" t="s">
        <v>77</v>
      </c>
      <c r="E17" s="29"/>
      <c r="F17" s="94" t="s">
        <v>464</v>
      </c>
      <c r="G17" s="103">
        <v>46196.0</v>
      </c>
      <c r="H17" s="98" t="s">
        <v>189</v>
      </c>
      <c r="I17" s="61" t="str">
        <f>IF(B17="", "", IFERROR(VLOOKUP(B17, '🔧 OT'!D:N, 11, 0), IF(H17&lt;&gt;"", H17, "Sin OT")))</f>
        <v>Finalizada OK</v>
      </c>
      <c r="J17" s="61" t="str">
        <f>IFERROR(__xludf.DUMMYFUNCTION("IF(B17="""", """", IFERROR(VLOOKUP(TO_TEXT(B17), INDEX(TO_TEXT('🔧 OT'!D:G)), 4, 0), ""Sin OT""))"),"Grupo 2")</f>
        <v>Grupo 2</v>
      </c>
      <c r="K17" s="169" t="s">
        <v>507</v>
      </c>
      <c r="L17" s="94" t="s">
        <v>508</v>
      </c>
      <c r="M17" s="94" t="s">
        <v>506</v>
      </c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  <c r="AA17" s="159"/>
    </row>
    <row r="18">
      <c r="A18" s="47">
        <v>15.0</v>
      </c>
      <c r="B18" s="167" t="s">
        <v>160</v>
      </c>
      <c r="C18" s="61" t="str">
        <f>IFERROR(__xludf.DUMMYFUNCTION("IF(B18="""", """", IF(REGEXMATCH(TO_TEXT(B18), ""^(AA\d{10}|EDU\d{7}|\d+|SZSES10IS\d{9})$""), ""✅"", ""⚠️""))"),"✅")</f>
        <v>✅</v>
      </c>
      <c r="D18" s="95" t="s">
        <v>77</v>
      </c>
      <c r="E18" s="37"/>
      <c r="F18" s="51" t="s">
        <v>509</v>
      </c>
      <c r="G18" s="101">
        <v>46196.0</v>
      </c>
      <c r="H18" s="95" t="s">
        <v>79</v>
      </c>
      <c r="I18" s="61" t="str">
        <f>IF(B18="", "", IFERROR(VLOOKUP(B18, '🔧 OT'!D:N, 11, 0), IF(H18&lt;&gt;"", H18, "Sin OT")))</f>
        <v>Finalizada OK</v>
      </c>
      <c r="J18" s="61" t="str">
        <f>IFERROR(__xludf.DUMMYFUNCTION("IF(B18="""", """", IFERROR(VLOOKUP(TO_TEXT(B18), INDEX(TO_TEXT('🔧 OT'!D:G)), 4, 0), ""Sin OT""))"),"Grupo 2")</f>
        <v>Grupo 2</v>
      </c>
      <c r="K18" s="166" t="s">
        <v>510</v>
      </c>
      <c r="L18" s="51" t="s">
        <v>511</v>
      </c>
      <c r="M18" s="51" t="s">
        <v>506</v>
      </c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  <c r="AA18" s="159"/>
    </row>
    <row r="19">
      <c r="A19" s="47">
        <v>16.0</v>
      </c>
      <c r="B19" s="168" t="s">
        <v>163</v>
      </c>
      <c r="C19" s="61" t="str">
        <f>IFERROR(__xludf.DUMMYFUNCTION("IF(B19="""", """", IF(REGEXMATCH(TO_TEXT(B19), ""^(AA\d{10}|EDU\d{7}|\d+|SZSES10IS\d{9})$""), ""✅"", ""⚠️""))"),"✅")</f>
        <v>✅</v>
      </c>
      <c r="D19" s="105" t="s">
        <v>77</v>
      </c>
      <c r="E19" s="29"/>
      <c r="F19" s="94" t="s">
        <v>464</v>
      </c>
      <c r="G19" s="103">
        <v>46196.0</v>
      </c>
      <c r="H19" s="98" t="s">
        <v>79</v>
      </c>
      <c r="I19" s="61" t="str">
        <f>IF(B19="", "", IFERROR(VLOOKUP(B19, '🔧 OT'!D:N, 11, 0), IF(H19&lt;&gt;"", H19, "Sin OT")))</f>
        <v>Finalizada OK</v>
      </c>
      <c r="J19" s="61" t="str">
        <f>IFERROR(__xludf.DUMMYFUNCTION("IF(B19="""", """", IFERROR(VLOOKUP(TO_TEXT(B19), INDEX(TO_TEXT('🔧 OT'!D:G)), 4, 0), ""Sin OT""))"),"Grupo 1")</f>
        <v>Grupo 1</v>
      </c>
      <c r="K19" s="169" t="s">
        <v>512</v>
      </c>
      <c r="L19" s="94" t="s">
        <v>513</v>
      </c>
      <c r="M19" s="94" t="s">
        <v>514</v>
      </c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</row>
    <row r="20">
      <c r="A20" s="47">
        <v>17.0</v>
      </c>
      <c r="B20" s="167" t="s">
        <v>168</v>
      </c>
      <c r="C20" s="61" t="str">
        <f>IFERROR(__xludf.DUMMYFUNCTION("IF(B20="""", """", IF(REGEXMATCH(TO_TEXT(B20), ""^(AA\d{10}|EDU\d{7}|\d+|SZSES10IS\d{9})$""), ""✅"", ""⚠️""))"),"✅")</f>
        <v>✅</v>
      </c>
      <c r="D20" s="95" t="s">
        <v>77</v>
      </c>
      <c r="E20" s="37"/>
      <c r="F20" s="51" t="s">
        <v>464</v>
      </c>
      <c r="G20" s="101">
        <v>46196.0</v>
      </c>
      <c r="H20" s="95" t="s">
        <v>79</v>
      </c>
      <c r="I20" s="61" t="str">
        <f>IF(B20="", "", IFERROR(VLOOKUP(B20, '🔧 OT'!D:N, 11, 0), IF(H20&lt;&gt;"", H20, "Sin OT")))</f>
        <v>Configurando</v>
      </c>
      <c r="J20" s="61" t="str">
        <f>IFERROR(__xludf.DUMMYFUNCTION("IF(B20="""", """", IFERROR(VLOOKUP(TO_TEXT(B20), INDEX(TO_TEXT('🔧 OT'!D:G)), 4, 0), ""Sin OT""))"),"Grupo 2")</f>
        <v>Grupo 2</v>
      </c>
      <c r="K20" s="166" t="s">
        <v>515</v>
      </c>
      <c r="L20" s="51" t="s">
        <v>516</v>
      </c>
      <c r="M20" s="51" t="s">
        <v>517</v>
      </c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</row>
    <row r="21">
      <c r="A21" s="47">
        <v>18.0</v>
      </c>
      <c r="B21" s="168" t="s">
        <v>171</v>
      </c>
      <c r="C21" s="61" t="str">
        <f>IFERROR(__xludf.DUMMYFUNCTION("IF(B21="""", """", IF(REGEXMATCH(TO_TEXT(B21), ""^(AA\d{10}|EDU\d{7}|\d+|SZSES10IS\d{9})$""), ""✅"", ""⚠️""))"),"✅")</f>
        <v>✅</v>
      </c>
      <c r="D21" s="105" t="s">
        <v>77</v>
      </c>
      <c r="E21" s="29"/>
      <c r="F21" s="94" t="s">
        <v>464</v>
      </c>
      <c r="G21" s="103">
        <v>46196.0</v>
      </c>
      <c r="H21" s="98" t="s">
        <v>79</v>
      </c>
      <c r="I21" s="61" t="str">
        <f>IF(B21="", "", IFERROR(VLOOKUP(B21, '🔧 OT'!D:N, 11, 0), IF(H21&lt;&gt;"", H21, "Sin OT")))</f>
        <v>Pendiente</v>
      </c>
      <c r="J21" s="61" t="str">
        <f>IFERROR(__xludf.DUMMYFUNCTION("IF(B21="""", """", IFERROR(VLOOKUP(TO_TEXT(B21), INDEX(TO_TEXT('🔧 OT'!D:G)), 4, 0), ""Sin OT""))"),"Grupo 1")</f>
        <v>Grupo 1</v>
      </c>
      <c r="K21" s="169" t="s">
        <v>518</v>
      </c>
      <c r="L21" s="94" t="s">
        <v>519</v>
      </c>
      <c r="M21" s="94" t="s">
        <v>520</v>
      </c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  <c r="AA21" s="159"/>
    </row>
    <row r="22">
      <c r="A22" s="47">
        <v>19.0</v>
      </c>
      <c r="B22" s="167" t="s">
        <v>174</v>
      </c>
      <c r="C22" s="61" t="str">
        <f>IFERROR(__xludf.DUMMYFUNCTION("IF(B22="""", """", IF(REGEXMATCH(TO_TEXT(B22), ""^(AA\d{10}|EDU\d{7}|\d+|SZSES10IS\d{9})$""), ""✅"", ""⚠️""))"),"✅")</f>
        <v>✅</v>
      </c>
      <c r="D22" s="95" t="s">
        <v>77</v>
      </c>
      <c r="E22" s="37"/>
      <c r="F22" s="51" t="s">
        <v>464</v>
      </c>
      <c r="G22" s="101">
        <v>46197.0</v>
      </c>
      <c r="H22" s="95" t="s">
        <v>79</v>
      </c>
      <c r="I22" s="61" t="str">
        <f>IF(B22="", "", IFERROR(VLOOKUP(B22, '🔧 OT'!D:N, 11, 0), IF(H22&lt;&gt;"", H22, "Sin OT")))</f>
        <v>Derivada</v>
      </c>
      <c r="J22" s="61" t="str">
        <f>IFERROR(__xludf.DUMMYFUNCTION("IF(B22="""", """", IFERROR(VLOOKUP(TO_TEXT(B22), INDEX(TO_TEXT('🔧 OT'!D:G)), 4, 0), ""Sin OT""))"),"Grupo 1")</f>
        <v>Grupo 1</v>
      </c>
      <c r="K22" s="166" t="s">
        <v>521</v>
      </c>
      <c r="L22" s="51" t="s">
        <v>522</v>
      </c>
      <c r="M22" s="51" t="s">
        <v>523</v>
      </c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  <c r="AA22" s="159"/>
    </row>
    <row r="23">
      <c r="A23" s="47">
        <v>20.0</v>
      </c>
      <c r="B23" s="168" t="s">
        <v>176</v>
      </c>
      <c r="C23" s="61" t="str">
        <f>IFERROR(__xludf.DUMMYFUNCTION("IF(B23="""", """", IF(REGEXMATCH(TO_TEXT(B23), ""^(AA\d{10}|EDU\d{7}|\d+|SZSES10IS\d{9})$""), ""✅"", ""⚠️""))"),"✅")</f>
        <v>✅</v>
      </c>
      <c r="D23" s="105" t="s">
        <v>77</v>
      </c>
      <c r="E23" s="29"/>
      <c r="F23" s="94" t="s">
        <v>474</v>
      </c>
      <c r="G23" s="103">
        <v>46197.0</v>
      </c>
      <c r="H23" s="98" t="s">
        <v>79</v>
      </c>
      <c r="I23" s="61" t="str">
        <f>IF(B23="", "", IFERROR(VLOOKUP(B23, '🔧 OT'!D:N, 11, 0), IF(H23&lt;&gt;"", H23, "Sin OT")))</f>
        <v>Derivada</v>
      </c>
      <c r="J23" s="61" t="str">
        <f>IFERROR(__xludf.DUMMYFUNCTION("IF(B23="""", """", IFERROR(VLOOKUP(TO_TEXT(B23), INDEX(TO_TEXT('🔧 OT'!D:G)), 4, 0), ""Sin OT""))"),"Grupo 1")</f>
        <v>Grupo 1</v>
      </c>
      <c r="K23" s="169" t="s">
        <v>524</v>
      </c>
      <c r="L23" s="94" t="s">
        <v>525</v>
      </c>
      <c r="M23" s="94" t="s">
        <v>526</v>
      </c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  <c r="AA23" s="159"/>
    </row>
    <row r="24">
      <c r="A24" s="47">
        <v>21.0</v>
      </c>
      <c r="B24" s="167" t="s">
        <v>181</v>
      </c>
      <c r="C24" s="61" t="str">
        <f>IFERROR(__xludf.DUMMYFUNCTION("IF(B24="""", """", IF(REGEXMATCH(TO_TEXT(B24), ""^(AA\d{10}|EDU\d{7}|\d+|SZSES10IS\d{9})$""), ""✅"", ""⚠️""))"),"✅")</f>
        <v>✅</v>
      </c>
      <c r="D24" s="95" t="s">
        <v>77</v>
      </c>
      <c r="E24" s="37"/>
      <c r="F24" s="51" t="s">
        <v>464</v>
      </c>
      <c r="G24" s="101">
        <v>46197.0</v>
      </c>
      <c r="H24" s="95" t="s">
        <v>79</v>
      </c>
      <c r="I24" s="61" t="str">
        <f>IF(B24="", "", IFERROR(VLOOKUP(B24, '🔧 OT'!D:N, 11, 0), IF(H24&lt;&gt;"", H24, "Sin OT")))</f>
        <v>Derivada</v>
      </c>
      <c r="J24" s="61" t="str">
        <f>IFERROR(__xludf.DUMMYFUNCTION("IF(B24="""", """", IFERROR(VLOOKUP(TO_TEXT(B24), INDEX(TO_TEXT('🔧 OT'!D:G)), 4, 0), ""Sin OT""))"),"Grupo 1")</f>
        <v>Grupo 1</v>
      </c>
      <c r="K24" s="166" t="s">
        <v>527</v>
      </c>
      <c r="L24" s="51" t="s">
        <v>528</v>
      </c>
      <c r="M24" s="51" t="s">
        <v>529</v>
      </c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  <c r="AA24" s="159"/>
    </row>
    <row r="25">
      <c r="A25" s="47">
        <v>22.0</v>
      </c>
      <c r="B25" s="168" t="s">
        <v>183</v>
      </c>
      <c r="C25" s="61" t="str">
        <f>IFERROR(__xludf.DUMMYFUNCTION("IF(B25="""", """", IF(REGEXMATCH(TO_TEXT(B25), ""^(AA\d{10}|EDU\d{7}|\d+|SZSES10IS\d{9})$""), ""✅"", ""⚠️""))"),"✅")</f>
        <v>✅</v>
      </c>
      <c r="D25" s="105" t="s">
        <v>77</v>
      </c>
      <c r="E25" s="29"/>
      <c r="F25" s="94" t="s">
        <v>464</v>
      </c>
      <c r="G25" s="103">
        <v>46197.0</v>
      </c>
      <c r="H25" s="98" t="s">
        <v>129</v>
      </c>
      <c r="I25" s="61" t="str">
        <f>IF(B25="", "", IFERROR(VLOOKUP(B25, '🔧 OT'!D:N, 11, 0), IF(H25&lt;&gt;"", H25, "Sin OT")))</f>
        <v>Finalizada OK</v>
      </c>
      <c r="J25" s="61" t="str">
        <f>IFERROR(__xludf.DUMMYFUNCTION("IF(B25="""", """", IFERROR(VLOOKUP(TO_TEXT(B25), INDEX(TO_TEXT('🔧 OT'!D:G)), 4, 0), ""Sin OT""))"),"Grupo 2")</f>
        <v>Grupo 2</v>
      </c>
      <c r="K25" s="169" t="s">
        <v>530</v>
      </c>
      <c r="L25" s="94" t="s">
        <v>531</v>
      </c>
      <c r="M25" s="94" t="s">
        <v>532</v>
      </c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</row>
    <row r="26">
      <c r="A26" s="47">
        <v>23.0</v>
      </c>
      <c r="B26" s="167" t="s">
        <v>186</v>
      </c>
      <c r="C26" s="61" t="str">
        <f>IFERROR(__xludf.DUMMYFUNCTION("IF(B26="""", """", IF(REGEXMATCH(TO_TEXT(B26), ""^(AA\d{10}|EDU\d{7}|\d+|SZSES10IS\d{9})$""), ""✅"", ""⚠️""))"),"✅")</f>
        <v>✅</v>
      </c>
      <c r="D26" s="95" t="s">
        <v>77</v>
      </c>
      <c r="E26" s="37"/>
      <c r="F26" s="51" t="s">
        <v>457</v>
      </c>
      <c r="G26" s="101">
        <v>46197.0</v>
      </c>
      <c r="H26" s="95" t="s">
        <v>189</v>
      </c>
      <c r="I26" s="61" t="str">
        <f>IF(B26="", "", IFERROR(VLOOKUP(B26, '🔧 OT'!D:N, 11, 0), IF(H26&lt;&gt;"", H26, "Sin OT")))</f>
        <v>Derivada</v>
      </c>
      <c r="J26" s="61" t="str">
        <f>IFERROR(__xludf.DUMMYFUNCTION("IF(B26="""", """", IFERROR(VLOOKUP(TO_TEXT(B26), INDEX(TO_TEXT('🔧 OT'!D:G)), 4, 0), ""Sin OT""))"),"Grupo 1")</f>
        <v>Grupo 1</v>
      </c>
      <c r="K26" s="166" t="s">
        <v>533</v>
      </c>
      <c r="L26" s="51" t="s">
        <v>534</v>
      </c>
      <c r="M26" s="51" t="s">
        <v>529</v>
      </c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</row>
    <row r="27">
      <c r="A27" s="47">
        <v>24.0</v>
      </c>
      <c r="B27" s="168" t="s">
        <v>190</v>
      </c>
      <c r="C27" s="61" t="str">
        <f>IFERROR(__xludf.DUMMYFUNCTION("IF(B27="""", """", IF(REGEXMATCH(TO_TEXT(B27), ""^(AA\d{10}|EDU\d{7}|\d+|SZSES10IS\d{9})$""), ""✅"", ""⚠️""))"),"✅")</f>
        <v>✅</v>
      </c>
      <c r="D27" s="105" t="s">
        <v>77</v>
      </c>
      <c r="E27" s="29"/>
      <c r="F27" s="94" t="s">
        <v>464</v>
      </c>
      <c r="G27" s="103">
        <v>46197.0</v>
      </c>
      <c r="H27" s="98" t="s">
        <v>189</v>
      </c>
      <c r="I27" s="61" t="str">
        <f>IF(B27="", "", IFERROR(VLOOKUP(B27, '🔧 OT'!D:N, 11, 0), IF(H27&lt;&gt;"", H27, "Sin OT")))</f>
        <v>Finalizada OK</v>
      </c>
      <c r="J27" s="61" t="str">
        <f>IFERROR(__xludf.DUMMYFUNCTION("IF(B27="""", """", IFERROR(VLOOKUP(TO_TEXT(B27), INDEX(TO_TEXT('🔧 OT'!D:G)), 4, 0), ""Sin OT""))"),"Grupo 2")</f>
        <v>Grupo 2</v>
      </c>
      <c r="K27" s="169" t="s">
        <v>535</v>
      </c>
      <c r="L27" s="94" t="s">
        <v>536</v>
      </c>
      <c r="M27" s="94" t="s">
        <v>537</v>
      </c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  <c r="AA27" s="159"/>
    </row>
    <row r="28">
      <c r="A28" s="47">
        <v>25.0</v>
      </c>
      <c r="B28" s="167" t="s">
        <v>193</v>
      </c>
      <c r="C28" s="61" t="str">
        <f>IFERROR(__xludf.DUMMYFUNCTION("IF(B28="""", """", IF(REGEXMATCH(TO_TEXT(B28), ""^(AA\d{10}|EDU\d{7}|\d+|SZSES10IS\d{9})$""), ""✅"", ""⚠️""))"),"✅")</f>
        <v>✅</v>
      </c>
      <c r="D28" s="95" t="s">
        <v>77</v>
      </c>
      <c r="E28" s="37"/>
      <c r="F28" s="51" t="s">
        <v>509</v>
      </c>
      <c r="G28" s="101">
        <v>46197.0</v>
      </c>
      <c r="H28" s="95" t="s">
        <v>79</v>
      </c>
      <c r="I28" s="61" t="str">
        <f>IF(B28="", "", IFERROR(VLOOKUP(B28, '🔧 OT'!D:N, 11, 0), IF(H28&lt;&gt;"", H28, "Sin OT")))</f>
        <v>Pendiente</v>
      </c>
      <c r="J28" s="61" t="str">
        <f>IFERROR(__xludf.DUMMYFUNCTION("IF(B28="""", """", IFERROR(VLOOKUP(TO_TEXT(B28), INDEX(TO_TEXT('🔧 OT'!D:G)), 4, 0), ""Sin OT""))"),"Grupo 2")</f>
        <v>Grupo 2</v>
      </c>
      <c r="K28" s="166" t="s">
        <v>538</v>
      </c>
      <c r="L28" s="51" t="s">
        <v>539</v>
      </c>
      <c r="M28" s="51" t="s">
        <v>540</v>
      </c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</row>
    <row r="29">
      <c r="A29" s="47">
        <v>26.0</v>
      </c>
      <c r="B29" s="168" t="s">
        <v>196</v>
      </c>
      <c r="C29" s="61" t="str">
        <f>IFERROR(__xludf.DUMMYFUNCTION("IF(B29="""", """", IF(REGEXMATCH(TO_TEXT(B29), ""^(AA\d{10}|EDU\d{7}|\d+|SZSES10IS\d{9})$""), ""✅"", ""⚠️""))"),"✅")</f>
        <v>✅</v>
      </c>
      <c r="D29" s="105" t="s">
        <v>77</v>
      </c>
      <c r="E29" s="29"/>
      <c r="F29" s="94" t="s">
        <v>464</v>
      </c>
      <c r="G29" s="103">
        <v>46197.0</v>
      </c>
      <c r="H29" s="98" t="s">
        <v>79</v>
      </c>
      <c r="I29" s="61" t="str">
        <f>IF(B29="", "", IFERROR(VLOOKUP(B29, '🔧 OT'!D:N, 11, 0), IF(H29&lt;&gt;"", H29, "Sin OT")))</f>
        <v>Finalizada OK</v>
      </c>
      <c r="J29" s="61" t="str">
        <f>IFERROR(__xludf.DUMMYFUNCTION("IF(B29="""", """", IFERROR(VLOOKUP(TO_TEXT(B29), INDEX(TO_TEXT('🔧 OT'!D:G)), 4, 0), ""Sin OT""))"),"Grupo 2")</f>
        <v>Grupo 2</v>
      </c>
      <c r="K29" s="169" t="s">
        <v>541</v>
      </c>
      <c r="L29" s="94" t="s">
        <v>484</v>
      </c>
      <c r="M29" s="94" t="s">
        <v>542</v>
      </c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  <c r="AA29" s="159"/>
    </row>
    <row r="30">
      <c r="A30" s="47">
        <v>27.0</v>
      </c>
      <c r="B30" s="167" t="s">
        <v>199</v>
      </c>
      <c r="C30" s="61" t="str">
        <f>IFERROR(__xludf.DUMMYFUNCTION("IF(B30="""", """", IF(REGEXMATCH(TO_TEXT(B30), ""^(AA\d{10}|EDU\d{7}|\d+|SZSES10IS\d{9})$""), ""✅"", ""⚠️""))"),"✅")</f>
        <v>✅</v>
      </c>
      <c r="D30" s="95" t="s">
        <v>77</v>
      </c>
      <c r="E30" s="37"/>
      <c r="F30" s="51" t="s">
        <v>464</v>
      </c>
      <c r="G30" s="101">
        <v>46198.0</v>
      </c>
      <c r="H30" s="95" t="s">
        <v>79</v>
      </c>
      <c r="I30" s="61" t="str">
        <f>IF(B30="", "", IFERROR(VLOOKUP(B30, '🔧 OT'!D:N, 11, 0), IF(H30&lt;&gt;"", H30, "Sin OT")))</f>
        <v>Finalizada OK</v>
      </c>
      <c r="J30" s="61" t="str">
        <f>IFERROR(__xludf.DUMMYFUNCTION("IF(B30="""", """", IFERROR(VLOOKUP(TO_TEXT(B30), INDEX(TO_TEXT('🔧 OT'!D:G)), 4, 0), ""Sin OT""))"),"Grupo 2")</f>
        <v>Grupo 2</v>
      </c>
      <c r="K30" s="166" t="s">
        <v>543</v>
      </c>
      <c r="L30" s="51" t="s">
        <v>544</v>
      </c>
      <c r="M30" s="51" t="s">
        <v>545</v>
      </c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  <c r="AA30" s="159"/>
    </row>
    <row r="31">
      <c r="A31" s="47">
        <v>28.0</v>
      </c>
      <c r="B31" s="168" t="s">
        <v>202</v>
      </c>
      <c r="C31" s="61" t="str">
        <f>IFERROR(__xludf.DUMMYFUNCTION("IF(B31="""", """", IF(REGEXMATCH(TO_TEXT(B31), ""^(AA\d{10}|EDU\d{7}|\d+|SZSES10IS\d{9})$""), ""✅"", ""⚠️""))"),"✅")</f>
        <v>✅</v>
      </c>
      <c r="D31" s="105" t="s">
        <v>77</v>
      </c>
      <c r="E31" s="29"/>
      <c r="F31" s="94" t="s">
        <v>464</v>
      </c>
      <c r="G31" s="101">
        <v>46198.0</v>
      </c>
      <c r="H31" s="98" t="s">
        <v>79</v>
      </c>
      <c r="I31" s="61" t="str">
        <f>IF(B31="", "", IFERROR(VLOOKUP(B31, '🔧 OT'!D:N, 11, 0), IF(H31&lt;&gt;"", H31, "Sin OT")))</f>
        <v>Finalizada OK</v>
      </c>
      <c r="J31" s="61" t="str">
        <f>IFERROR(__xludf.DUMMYFUNCTION("IF(B31="""", """", IFERROR(VLOOKUP(TO_TEXT(B31), INDEX(TO_TEXT('🔧 OT'!D:G)), 4, 0), ""Sin OT""))"),"Grupo 2")</f>
        <v>Grupo 2</v>
      </c>
      <c r="K31" s="169" t="s">
        <v>546</v>
      </c>
      <c r="L31" s="94" t="s">
        <v>547</v>
      </c>
      <c r="M31" s="94" t="s">
        <v>106</v>
      </c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  <c r="AA31" s="159"/>
    </row>
    <row r="32">
      <c r="A32" s="47">
        <v>29.0</v>
      </c>
      <c r="B32" s="167" t="s">
        <v>206</v>
      </c>
      <c r="C32" s="61" t="str">
        <f>IFERROR(__xludf.DUMMYFUNCTION("IF(B32="""", """", IF(REGEXMATCH(TO_TEXT(B32), ""^(AA\d{10}|EDU\d{7}|\d+|SZSES10IS\d{9})$""), ""✅"", ""⚠️""))"),"✅")</f>
        <v>✅</v>
      </c>
      <c r="D32" s="95" t="s">
        <v>77</v>
      </c>
      <c r="E32" s="37"/>
      <c r="F32" s="51" t="s">
        <v>464</v>
      </c>
      <c r="G32" s="101">
        <v>46198.0</v>
      </c>
      <c r="H32" s="95" t="s">
        <v>79</v>
      </c>
      <c r="I32" s="61" t="str">
        <f>IF(B32="", "", IFERROR(VLOOKUP(B32, '🔧 OT'!D:N, 11, 0), IF(H32&lt;&gt;"", H32, "Sin OT")))</f>
        <v>Finalizada OK</v>
      </c>
      <c r="J32" s="61" t="str">
        <f>IFERROR(__xludf.DUMMYFUNCTION("IF(B32="""", """", IFERROR(VLOOKUP(TO_TEXT(B32), INDEX(TO_TEXT('🔧 OT'!D:G)), 4, 0), ""Sin OT""))"),"Grupo 2")</f>
        <v>Grupo 2</v>
      </c>
      <c r="K32" s="166" t="s">
        <v>548</v>
      </c>
      <c r="L32" s="51" t="s">
        <v>549</v>
      </c>
      <c r="M32" s="51" t="s">
        <v>87</v>
      </c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  <c r="AA32" s="159"/>
    </row>
    <row r="33">
      <c r="A33" s="47">
        <v>30.0</v>
      </c>
      <c r="B33" s="167" t="s">
        <v>208</v>
      </c>
      <c r="C33" s="61" t="str">
        <f>IFERROR(__xludf.DUMMYFUNCTION("IF(B33="""", """", IF(REGEXMATCH(TO_TEXT(B33), ""^(AA\d{10}|EDU\d{7}|\d+|SZSES10IS\d{9})$""), ""✅"", ""⚠️""))"),"✅")</f>
        <v>✅</v>
      </c>
      <c r="D33" s="95" t="s">
        <v>77</v>
      </c>
      <c r="E33" s="37"/>
      <c r="F33" s="51" t="s">
        <v>464</v>
      </c>
      <c r="G33" s="101">
        <v>46198.0</v>
      </c>
      <c r="H33" s="95" t="s">
        <v>79</v>
      </c>
      <c r="I33" s="61" t="str">
        <f>IF(B33="", "", IFERROR(VLOOKUP(B33, '🔧 OT'!D:N, 11, 0), IF(H33&lt;&gt;"", H33, "Sin OT")))</f>
        <v>Finalizada OK</v>
      </c>
      <c r="J33" s="61" t="str">
        <f>IFERROR(__xludf.DUMMYFUNCTION("IF(B33="""", """", IFERROR(VLOOKUP(TO_TEXT(B33), INDEX(TO_TEXT('🔧 OT'!D:G)), 4, 0), ""Sin OT""))"),"Grupo 2")</f>
        <v>Grupo 2</v>
      </c>
      <c r="K33" s="166" t="s">
        <v>550</v>
      </c>
      <c r="L33" s="51" t="s">
        <v>544</v>
      </c>
      <c r="M33" s="51" t="s">
        <v>87</v>
      </c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  <c r="AA33" s="159"/>
    </row>
    <row r="34">
      <c r="A34" s="47">
        <v>31.0</v>
      </c>
      <c r="B34" s="168" t="s">
        <v>212</v>
      </c>
      <c r="C34" s="61" t="str">
        <f>IFERROR(__xludf.DUMMYFUNCTION("IF(B34="""", """", IF(REGEXMATCH(TO_TEXT(B34), ""^(AA\d{10}|EDU\d{7}|\d+|SZSES10IS\d{9})$""), ""✅"", ""⚠️""))"),"✅")</f>
        <v>✅</v>
      </c>
      <c r="D34" s="105" t="s">
        <v>214</v>
      </c>
      <c r="E34" s="29"/>
      <c r="F34" s="94" t="s">
        <v>551</v>
      </c>
      <c r="G34" s="103">
        <v>46198.0</v>
      </c>
      <c r="H34" s="98" t="s">
        <v>79</v>
      </c>
      <c r="I34" s="61" t="str">
        <f>IF(B34="", "", IFERROR(VLOOKUP(B34, '🔧 OT'!D:N, 11, 0), IF(H34&lt;&gt;"", H34, "Sin OT")))</f>
        <v>Finalizada OK</v>
      </c>
      <c r="J34" s="61" t="str">
        <f>IFERROR(__xludf.DUMMYFUNCTION("IF(B34="""", """", IFERROR(VLOOKUP(TO_TEXT(B34), INDEX(TO_TEXT('🔧 OT'!D:G)), 4, 0), ""Sin OT""))"),"Grupo 2")</f>
        <v>Grupo 2</v>
      </c>
      <c r="K34" s="169" t="s">
        <v>552</v>
      </c>
      <c r="L34" s="94" t="s">
        <v>553</v>
      </c>
      <c r="M34" s="94" t="s">
        <v>554</v>
      </c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  <c r="AA34" s="159"/>
    </row>
    <row r="35">
      <c r="A35" s="47">
        <v>32.0</v>
      </c>
      <c r="B35" s="219" t="s">
        <v>216</v>
      </c>
      <c r="C35" s="61" t="str">
        <f>IFERROR(__xludf.DUMMYFUNCTION("IF(B35="""", """", IF(REGEXMATCH(TO_TEXT(B35), ""^(AA\d{10}|EDU\d{7}|\d+|SZSES10IS\d{9})$""), ""✅"", ""⚠️""))"),"✅")</f>
        <v>✅</v>
      </c>
      <c r="D35" s="220" t="s">
        <v>214</v>
      </c>
      <c r="E35" s="221"/>
      <c r="F35" s="222" t="s">
        <v>457</v>
      </c>
      <c r="G35" s="223">
        <v>46198.0</v>
      </c>
      <c r="H35" s="220" t="s">
        <v>79</v>
      </c>
      <c r="I35" s="61" t="str">
        <f>IF(B35="", "", IFERROR(VLOOKUP(B35, '🔧 OT'!D:N, 11, 0), IF(H35&lt;&gt;"", H35, "Sin OT")))</f>
        <v>Finalizada OK</v>
      </c>
      <c r="J35" s="61" t="str">
        <f>IFERROR(__xludf.DUMMYFUNCTION("IF(B35="""", """", IFERROR(VLOOKUP(TO_TEXT(B35), INDEX(TO_TEXT('🔧 OT'!D:G)), 4, 0), ""Sin OT""))"),"Grupo 1")</f>
        <v>Grupo 1</v>
      </c>
      <c r="K35" s="224" t="s">
        <v>555</v>
      </c>
      <c r="L35" s="225" t="s">
        <v>556</v>
      </c>
      <c r="M35" s="226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  <c r="AA35" s="159"/>
    </row>
    <row r="36">
      <c r="A36" s="47">
        <v>33.0</v>
      </c>
      <c r="B36" s="134" t="s">
        <v>218</v>
      </c>
      <c r="C36" s="61" t="str">
        <f>IFERROR(__xludf.DUMMYFUNCTION("IF(B36="""", """", IF(REGEXMATCH(TO_TEXT(B36), ""^(AA\d{10}|EDU\d{7}|\d+|SZSES10IS\d{9})$""), ""✅"", ""⚠️""))"),"✅")</f>
        <v>✅</v>
      </c>
      <c r="D36" s="227" t="s">
        <v>219</v>
      </c>
      <c r="E36" s="228"/>
      <c r="F36" s="229" t="s">
        <v>460</v>
      </c>
      <c r="G36" s="133">
        <v>46198.0</v>
      </c>
      <c r="H36" s="230" t="s">
        <v>79</v>
      </c>
      <c r="I36" s="61" t="str">
        <f>IF(B36="", "", IFERROR(VLOOKUP(B36, '🔧 OT'!D:N, 11, 0), IF(H36&lt;&gt;"", H36, "Sin OT")))</f>
        <v>Finalizada OK</v>
      </c>
      <c r="J36" s="61" t="str">
        <f>IFERROR(__xludf.DUMMYFUNCTION("IF(B36="""", """", IFERROR(VLOOKUP(TO_TEXT(B36), INDEX(TO_TEXT('🔧 OT'!D:G)), 4, 0), ""Sin OT""))"),"Grupo 1")</f>
        <v>Grupo 1</v>
      </c>
      <c r="K36" s="231" t="s">
        <v>557</v>
      </c>
      <c r="L36" s="232" t="s">
        <v>559</v>
      </c>
      <c r="M36" s="234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  <c r="AA36" s="159"/>
    </row>
    <row r="37">
      <c r="A37" s="47">
        <v>34.0</v>
      </c>
      <c r="B37" s="219" t="s">
        <v>221</v>
      </c>
      <c r="C37" s="61" t="str">
        <f>IFERROR(__xludf.DUMMYFUNCTION("IF(B37="""", """", IF(REGEXMATCH(TO_TEXT(B37), ""^(AA\d{10}|EDU\d{7}|\d+|SZSES10IS\d{9})$""), ""✅"", ""⚠️""))"),"✅")</f>
        <v>✅</v>
      </c>
      <c r="D37" s="220" t="s">
        <v>77</v>
      </c>
      <c r="E37" s="221"/>
      <c r="F37" s="222" t="s">
        <v>464</v>
      </c>
      <c r="G37" s="223">
        <v>46202.0</v>
      </c>
      <c r="H37" s="220" t="s">
        <v>79</v>
      </c>
      <c r="I37" s="61" t="str">
        <f>IF(B37="", "", IFERROR(VLOOKUP(B37, '🔧 OT'!D:N, 11, 0), IF(H37&lt;&gt;"", H37, "Sin OT")))</f>
        <v>Finalizada OK</v>
      </c>
      <c r="J37" s="61" t="str">
        <f>IFERROR(__xludf.DUMMYFUNCTION("IF(B37="""", """", IFERROR(VLOOKUP(TO_TEXT(B37), INDEX(TO_TEXT('🔧 OT'!D:G)), 4, 0), ""Sin OT""))"),"Grupo 1")</f>
        <v>Grupo 1</v>
      </c>
      <c r="K37" s="224" t="s">
        <v>563</v>
      </c>
      <c r="L37" s="225" t="s">
        <v>564</v>
      </c>
      <c r="M37" s="225" t="s">
        <v>87</v>
      </c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  <c r="AA37" s="159"/>
    </row>
    <row r="38">
      <c r="A38" s="47">
        <v>35.0</v>
      </c>
      <c r="B38" s="134" t="s">
        <v>223</v>
      </c>
      <c r="C38" s="61" t="str">
        <f>IFERROR(__xludf.DUMMYFUNCTION("IF(B38="""", """", IF(REGEXMATCH(TO_TEXT(B38), ""^(AA\d{10}|EDU\d{7}|\d+|SZSES10IS\d{9})$""), ""✅"", ""⚠️""))"),"✅")</f>
        <v>✅</v>
      </c>
      <c r="D38" s="227" t="s">
        <v>77</v>
      </c>
      <c r="E38" s="228"/>
      <c r="F38" s="229" t="s">
        <v>457</v>
      </c>
      <c r="G38" s="133">
        <v>46202.0</v>
      </c>
      <c r="H38" s="230" t="s">
        <v>571</v>
      </c>
      <c r="I38" s="61" t="str">
        <f>IF(B38="", "", IFERROR(VLOOKUP(B38, '🔧 OT'!D:N, 11, 0), IF(H38&lt;&gt;"", H38, "Sin OT")))</f>
        <v>Derivada</v>
      </c>
      <c r="J38" s="61" t="str">
        <f>IFERROR(__xludf.DUMMYFUNCTION("IF(B38="""", """", IFERROR(VLOOKUP(TO_TEXT(B38), INDEX(TO_TEXT('🔧 OT'!D:G)), 4, 0), ""Sin OT""))"),"Grupo 1")</f>
        <v>Grupo 1</v>
      </c>
      <c r="K38" s="231" t="s">
        <v>572</v>
      </c>
      <c r="L38" s="232" t="s">
        <v>573</v>
      </c>
      <c r="M38" s="232" t="s">
        <v>574</v>
      </c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  <c r="AA38" s="159"/>
    </row>
    <row r="39">
      <c r="A39" s="47">
        <v>36.0</v>
      </c>
      <c r="B39" s="219" t="s">
        <v>226</v>
      </c>
      <c r="C39" s="61" t="str">
        <f>IFERROR(__xludf.DUMMYFUNCTION("IF(B39="""", """", IF(REGEXMATCH(TO_TEXT(B39), ""^(AA\d{10}|EDU\d{7}|\d+|SZSES10IS\d{9})$""), ""✅"", ""⚠️""))"),"✅")</f>
        <v>✅</v>
      </c>
      <c r="D39" s="220" t="s">
        <v>77</v>
      </c>
      <c r="E39" s="221"/>
      <c r="F39" s="222" t="s">
        <v>460</v>
      </c>
      <c r="G39" s="223">
        <v>46202.0</v>
      </c>
      <c r="H39" s="220" t="s">
        <v>189</v>
      </c>
      <c r="I39" s="61" t="str">
        <f>IF(B39="", "", IFERROR(VLOOKUP(B39, '🔧 OT'!D:N, 11, 0), IF(H39&lt;&gt;"", H39, "Sin OT")))</f>
        <v>Finalizada OK</v>
      </c>
      <c r="J39" s="61" t="str">
        <f>IFERROR(__xludf.DUMMYFUNCTION("IF(B39="""", """", IFERROR(VLOOKUP(TO_TEXT(B39), INDEX(TO_TEXT('🔧 OT'!D:G)), 4, 0), ""Sin OT""))"),"Grupo 1")</f>
        <v>Grupo 1</v>
      </c>
      <c r="K39" s="224" t="s">
        <v>578</v>
      </c>
      <c r="L39" s="225" t="s">
        <v>579</v>
      </c>
      <c r="M39" s="225" t="s">
        <v>580</v>
      </c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  <c r="AA39" s="159"/>
    </row>
    <row r="40">
      <c r="A40" s="47">
        <v>37.0</v>
      </c>
      <c r="B40" s="134" t="s">
        <v>229</v>
      </c>
      <c r="C40" s="61" t="str">
        <f>IFERROR(__xludf.DUMMYFUNCTION("IF(B40="""", """", IF(REGEXMATCH(TO_TEXT(B40), ""^(AA\d{10}|EDU\d{7}|\d+|SZSES10IS\d{9})$""), ""✅"", ""⚠️""))"),"✅")</f>
        <v>✅</v>
      </c>
      <c r="D40" s="227" t="s">
        <v>77</v>
      </c>
      <c r="E40" s="228"/>
      <c r="F40" s="229" t="s">
        <v>464</v>
      </c>
      <c r="G40" s="133">
        <v>46202.0</v>
      </c>
      <c r="H40" s="230" t="s">
        <v>79</v>
      </c>
      <c r="I40" s="61" t="str">
        <f>IF(B40="", "", IFERROR(VLOOKUP(B40, '🔧 OT'!D:N, 11, 0), IF(H40&lt;&gt;"", H40, "Sin OT")))</f>
        <v>Finalizada OK</v>
      </c>
      <c r="J40" s="61" t="str">
        <f>IFERROR(__xludf.DUMMYFUNCTION("IF(B40="""", """", IFERROR(VLOOKUP(TO_TEXT(B40), INDEX(TO_TEXT('🔧 OT'!D:G)), 4, 0), ""Sin OT""))"),"Grupo 1")</f>
        <v>Grupo 1</v>
      </c>
      <c r="K40" s="231" t="s">
        <v>581</v>
      </c>
      <c r="L40" s="232" t="s">
        <v>582</v>
      </c>
      <c r="M40" s="232" t="s">
        <v>583</v>
      </c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  <c r="AA40" s="159"/>
    </row>
    <row r="41">
      <c r="A41" s="47">
        <v>38.0</v>
      </c>
      <c r="B41" s="219" t="s">
        <v>232</v>
      </c>
      <c r="C41" s="61" t="str">
        <f>IFERROR(__xludf.DUMMYFUNCTION("IF(B41="""", """", IF(REGEXMATCH(TO_TEXT(B41), ""^(AA\d{10}|EDU\d{7}|\d+|SZSES10IS\d{9})$""), ""✅"", ""⚠️""))"),"✅")</f>
        <v>✅</v>
      </c>
      <c r="D41" s="220" t="s">
        <v>77</v>
      </c>
      <c r="E41" s="221"/>
      <c r="F41" s="222" t="s">
        <v>464</v>
      </c>
      <c r="G41" s="223">
        <v>46202.0</v>
      </c>
      <c r="H41" s="220" t="s">
        <v>79</v>
      </c>
      <c r="I41" s="61" t="str">
        <f>IF(B41="", "", IFERROR(VLOOKUP(B41, '🔧 OT'!D:N, 11, 0), IF(H41&lt;&gt;"", H41, "Sin OT")))</f>
        <v>Derivada</v>
      </c>
      <c r="J41" s="61" t="str">
        <f>IFERROR(__xludf.DUMMYFUNCTION("IF(B41="""", """", IFERROR(VLOOKUP(TO_TEXT(B41), INDEX(TO_TEXT('🔧 OT'!D:G)), 4, 0), ""Sin OT""))"),"Grupo 1")</f>
        <v>Grupo 1</v>
      </c>
      <c r="K41" s="224" t="s">
        <v>584</v>
      </c>
      <c r="L41" s="225" t="s">
        <v>585</v>
      </c>
      <c r="M41" s="225" t="s">
        <v>586</v>
      </c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  <c r="AA41" s="159"/>
    </row>
    <row r="42">
      <c r="A42" s="47">
        <v>39.0</v>
      </c>
      <c r="B42" s="134" t="s">
        <v>235</v>
      </c>
      <c r="C42" s="61" t="str">
        <f>IFERROR(__xludf.DUMMYFUNCTION("IF(B42="""", """", IF(REGEXMATCH(TO_TEXT(B42), ""^(AA\d{10}|EDU\d{7}|\d+|SZSES10IS\d{9})$""), ""✅"", ""⚠️""))"),"✅")</f>
        <v>✅</v>
      </c>
      <c r="D42" s="227" t="s">
        <v>77</v>
      </c>
      <c r="E42" s="228"/>
      <c r="F42" s="229" t="s">
        <v>464</v>
      </c>
      <c r="G42" s="133">
        <v>46202.0</v>
      </c>
      <c r="H42" s="230" t="s">
        <v>79</v>
      </c>
      <c r="I42" s="61" t="str">
        <f>IF(B42="", "", IFERROR(VLOOKUP(B42, '🔧 OT'!D:N, 11, 0), IF(H42&lt;&gt;"", H42, "Sin OT")))</f>
        <v>Pendiente</v>
      </c>
      <c r="J42" s="61" t="str">
        <f>IFERROR(__xludf.DUMMYFUNCTION("IF(B42="""", """", IFERROR(VLOOKUP(TO_TEXT(B42), INDEX(TO_TEXT('🔧 OT'!D:G)), 4, 0), ""Sin OT""))"),"Grupo 1")</f>
        <v>Grupo 1</v>
      </c>
      <c r="K42" s="231" t="s">
        <v>587</v>
      </c>
      <c r="L42" s="232" t="s">
        <v>588</v>
      </c>
      <c r="M42" s="232" t="s">
        <v>589</v>
      </c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  <c r="AA42" s="159"/>
    </row>
    <row r="43">
      <c r="A43" s="47">
        <v>40.0</v>
      </c>
      <c r="B43" s="219" t="s">
        <v>238</v>
      </c>
      <c r="C43" s="61" t="str">
        <f>IFERROR(__xludf.DUMMYFUNCTION("IF(B43="""", """", IF(REGEXMATCH(TO_TEXT(B43), ""^(AA\d{10}|EDU\d{7}|\d+|SZSES10IS\d{9})$""), ""✅"", ""⚠️""))"),"✅")</f>
        <v>✅</v>
      </c>
      <c r="D43" s="220" t="s">
        <v>77</v>
      </c>
      <c r="E43" s="221"/>
      <c r="F43" s="222" t="s">
        <v>590</v>
      </c>
      <c r="G43" s="223">
        <v>46202.0</v>
      </c>
      <c r="H43" s="220" t="s">
        <v>79</v>
      </c>
      <c r="I43" s="61" t="str">
        <f>IF(B43="", "", IFERROR(VLOOKUP(B43, '🔧 OT'!D:N, 11, 0), IF(H43&lt;&gt;"", H43, "Sin OT")))</f>
        <v>Finalizada OK</v>
      </c>
      <c r="J43" s="61" t="str">
        <f>IFERROR(__xludf.DUMMYFUNCTION("IF(B43="""", """", IFERROR(VLOOKUP(TO_TEXT(B43), INDEX(TO_TEXT('🔧 OT'!D:G)), 4, 0), ""Sin OT""))"),"Grupo 1")</f>
        <v>Grupo 1</v>
      </c>
      <c r="K43" s="224" t="s">
        <v>591</v>
      </c>
      <c r="L43" s="225" t="s">
        <v>592</v>
      </c>
      <c r="M43" s="232" t="s">
        <v>87</v>
      </c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  <c r="AA43" s="159"/>
    </row>
    <row r="44">
      <c r="A44" s="47">
        <v>41.0</v>
      </c>
      <c r="B44" s="134" t="s">
        <v>240</v>
      </c>
      <c r="C44" s="61" t="str">
        <f>IFERROR(__xludf.DUMMYFUNCTION("IF(B44="""", """", IF(REGEXMATCH(TO_TEXT(B44), ""^(AA\d{10}|EDU\d{7}|\d+|SZSES10IS\d{9})$""), ""✅"", ""⚠️""))"),"✅")</f>
        <v>✅</v>
      </c>
      <c r="D44" s="227" t="s">
        <v>241</v>
      </c>
      <c r="E44" s="228"/>
      <c r="F44" s="229" t="s">
        <v>509</v>
      </c>
      <c r="G44" s="133">
        <v>46203.0</v>
      </c>
      <c r="H44" s="230" t="s">
        <v>189</v>
      </c>
      <c r="I44" s="61" t="str">
        <f>IF(B44="", "", IFERROR(VLOOKUP(B44, '🔧 OT'!D:N, 11, 0), IF(H44&lt;&gt;"", H44, "Sin OT")))</f>
        <v>Finalizada OK</v>
      </c>
      <c r="J44" s="61" t="str">
        <f>IFERROR(__xludf.DUMMYFUNCTION("IF(B44="""", """", IFERROR(VLOOKUP(TO_TEXT(B44), INDEX(TO_TEXT('🔧 OT'!D:G)), 4, 0), ""Sin OT""))"),"Grupo 2")</f>
        <v>Grupo 2</v>
      </c>
      <c r="K44" s="231" t="s">
        <v>593</v>
      </c>
      <c r="L44" s="232" t="s">
        <v>594</v>
      </c>
      <c r="M44" s="246" t="s">
        <v>595</v>
      </c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  <c r="AA44" s="159"/>
    </row>
    <row r="45">
      <c r="A45" s="47">
        <v>42.0</v>
      </c>
      <c r="B45" s="219" t="s">
        <v>245</v>
      </c>
      <c r="C45" s="61" t="str">
        <f>IFERROR(__xludf.DUMMYFUNCTION("IF(B45="""", """", IF(REGEXMATCH(TO_TEXT(B45), ""^(AA\d{10}|EDU\d{7}|\d+|SZSES10IS\d{9})$""), ""✅"", ""⚠️""))"),"✅")</f>
        <v>✅</v>
      </c>
      <c r="D45" s="220" t="s">
        <v>241</v>
      </c>
      <c r="E45" s="221"/>
      <c r="F45" s="222" t="s">
        <v>509</v>
      </c>
      <c r="G45" s="223">
        <v>46203.0</v>
      </c>
      <c r="H45" s="220" t="s">
        <v>189</v>
      </c>
      <c r="I45" s="61" t="str">
        <f>IF(B45="", "", IFERROR(VLOOKUP(B45, '🔧 OT'!D:N, 11, 0), IF(H45&lt;&gt;"", H45, "Sin OT")))</f>
        <v>Finalizada OK</v>
      </c>
      <c r="J45" s="61" t="str">
        <f>IFERROR(__xludf.DUMMYFUNCTION("IF(B45="""", """", IFERROR(VLOOKUP(TO_TEXT(B45), INDEX(TO_TEXT('🔧 OT'!D:G)), 4, 0), ""Sin OT""))"),"Grupo 2")</f>
        <v>Grupo 2</v>
      </c>
      <c r="K45" s="224" t="s">
        <v>598</v>
      </c>
      <c r="L45" s="225" t="s">
        <v>594</v>
      </c>
      <c r="M45" s="225" t="s">
        <v>595</v>
      </c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  <c r="AA45" s="159"/>
    </row>
    <row r="46">
      <c r="A46" s="47">
        <v>43.0</v>
      </c>
      <c r="B46" s="134" t="s">
        <v>246</v>
      </c>
      <c r="C46" s="61" t="str">
        <f>IFERROR(__xludf.DUMMYFUNCTION("IF(B46="""", """", IF(REGEXMATCH(TO_TEXT(B46), ""^(AA\d{10}|EDU\d{7}|\d+|SZSES10IS\d{9})$""), ""✅"", ""⚠️""))"),"✅")</f>
        <v>✅</v>
      </c>
      <c r="D46" s="227" t="s">
        <v>241</v>
      </c>
      <c r="E46" s="228"/>
      <c r="F46" s="229" t="s">
        <v>509</v>
      </c>
      <c r="G46" s="133">
        <v>46203.0</v>
      </c>
      <c r="H46" s="230" t="s">
        <v>189</v>
      </c>
      <c r="I46" s="61" t="str">
        <f>IF(B46="", "", IFERROR(VLOOKUP(B46, '🔧 OT'!D:N, 11, 0), IF(H46&lt;&gt;"", H46, "Sin OT")))</f>
        <v>Finalizada OK</v>
      </c>
      <c r="J46" s="61" t="str">
        <f>IFERROR(__xludf.DUMMYFUNCTION("IF(B46="""", """", IFERROR(VLOOKUP(TO_TEXT(B46), INDEX(TO_TEXT('🔧 OT'!D:G)), 4, 0), ""Sin OT""))"),"Grupo 2")</f>
        <v>Grupo 2</v>
      </c>
      <c r="K46" s="231" t="s">
        <v>601</v>
      </c>
      <c r="L46" s="232" t="s">
        <v>594</v>
      </c>
      <c r="M46" s="232" t="s">
        <v>595</v>
      </c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  <c r="AA46" s="159"/>
    </row>
    <row r="47">
      <c r="A47" s="47">
        <v>44.0</v>
      </c>
      <c r="B47" s="219" t="s">
        <v>248</v>
      </c>
      <c r="C47" s="61" t="str">
        <f>IFERROR(__xludf.DUMMYFUNCTION("IF(B47="""", """", IF(REGEXMATCH(TO_TEXT(B47), ""^(AA\d{10}|EDU\d{7}|\d+|SZSES10IS\d{9})$""), ""✅"", ""⚠️""))"),"✅")</f>
        <v>✅</v>
      </c>
      <c r="D47" s="220" t="s">
        <v>214</v>
      </c>
      <c r="E47" s="221"/>
      <c r="F47" s="222" t="s">
        <v>460</v>
      </c>
      <c r="G47" s="223">
        <v>46203.0</v>
      </c>
      <c r="H47" s="220" t="s">
        <v>79</v>
      </c>
      <c r="I47" s="61" t="str">
        <f>IF(B47="", "", IFERROR(VLOOKUP(B47, '🔧 OT'!D:N, 11, 0), IF(H47&lt;&gt;"", H47, "Sin OT")))</f>
        <v>Finalizada OK</v>
      </c>
      <c r="J47" s="61" t="str">
        <f>IFERROR(__xludf.DUMMYFUNCTION("IF(B47="""", """", IFERROR(VLOOKUP(TO_TEXT(B47), INDEX(TO_TEXT('🔧 OT'!D:G)), 4, 0), ""Sin OT""))"),"Grupo 2")</f>
        <v>Grupo 2</v>
      </c>
      <c r="K47" s="224" t="s">
        <v>604</v>
      </c>
      <c r="L47" s="225" t="s">
        <v>605</v>
      </c>
      <c r="M47" s="225" t="s">
        <v>606</v>
      </c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  <c r="AA47" s="159"/>
    </row>
    <row r="48">
      <c r="A48" s="47">
        <v>45.0</v>
      </c>
      <c r="B48" s="134" t="s">
        <v>251</v>
      </c>
      <c r="C48" s="61" t="str">
        <f>IFERROR(__xludf.DUMMYFUNCTION("IF(B48="""", """", IF(REGEXMATCH(TO_TEXT(B48), ""^(AA\d{10}|EDU\d{7}|\d+|SZSES10IS\d{9})$""), ""✅"", ""⚠️""))"),"✅")</f>
        <v>✅</v>
      </c>
      <c r="D48" s="227" t="s">
        <v>214</v>
      </c>
      <c r="E48" s="228"/>
      <c r="F48" s="229" t="s">
        <v>460</v>
      </c>
      <c r="G48" s="133">
        <v>46203.0</v>
      </c>
      <c r="H48" s="230" t="s">
        <v>79</v>
      </c>
      <c r="I48" s="61" t="str">
        <f>IF(B48="", "", IFERROR(VLOOKUP(B48, '🔧 OT'!D:N, 11, 0), IF(H48&lt;&gt;"", H48, "Sin OT")))</f>
        <v>Finalizada OK</v>
      </c>
      <c r="J48" s="61" t="str">
        <f>IFERROR(__xludf.DUMMYFUNCTION("IF(B48="""", """", IFERROR(VLOOKUP(TO_TEXT(B48), INDEX(TO_TEXT('🔧 OT'!D:G)), 4, 0), ""Sin OT""))"),"Grupo 2")</f>
        <v>Grupo 2</v>
      </c>
      <c r="K48" s="231" t="s">
        <v>608</v>
      </c>
      <c r="L48" s="232" t="s">
        <v>605</v>
      </c>
      <c r="M48" s="232" t="s">
        <v>606</v>
      </c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  <c r="AA48" s="159"/>
    </row>
    <row r="49">
      <c r="A49" s="47">
        <v>46.0</v>
      </c>
      <c r="B49" s="219" t="s">
        <v>254</v>
      </c>
      <c r="C49" s="61" t="str">
        <f>IFERROR(__xludf.DUMMYFUNCTION("IF(B49="""", """", IF(REGEXMATCH(TO_TEXT(B49), ""^(AA\d{10}|EDU\d{7}|\d+|SZSES10IS\d{9})$""), ""✅"", ""⚠️""))"),"✅")</f>
        <v>✅</v>
      </c>
      <c r="D49" s="220" t="s">
        <v>214</v>
      </c>
      <c r="E49" s="221"/>
      <c r="F49" s="222" t="s">
        <v>460</v>
      </c>
      <c r="G49" s="223">
        <v>46203.0</v>
      </c>
      <c r="H49" s="220" t="s">
        <v>79</v>
      </c>
      <c r="I49" s="61" t="str">
        <f>IF(B49="", "", IFERROR(VLOOKUP(B49, '🔧 OT'!D:N, 11, 0), IF(H49&lt;&gt;"", H49, "Sin OT")))</f>
        <v>Finalizada OK</v>
      </c>
      <c r="J49" s="61" t="str">
        <f>IFERROR(__xludf.DUMMYFUNCTION("IF(B49="""", """", IFERROR(VLOOKUP(TO_TEXT(B49), INDEX(TO_TEXT('🔧 OT'!D:G)), 4, 0), ""Sin OT""))"),"Grupo 2")</f>
        <v>Grupo 2</v>
      </c>
      <c r="K49" s="224" t="s">
        <v>609</v>
      </c>
      <c r="L49" s="225" t="s">
        <v>605</v>
      </c>
      <c r="M49" s="225" t="s">
        <v>606</v>
      </c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  <c r="AA49" s="159"/>
    </row>
    <row r="50">
      <c r="A50" s="47">
        <v>47.0</v>
      </c>
      <c r="B50" s="134" t="s">
        <v>257</v>
      </c>
      <c r="C50" s="61" t="str">
        <f>IFERROR(__xludf.DUMMYFUNCTION("IF(B50="""", """", IF(REGEXMATCH(TO_TEXT(B50), ""^(AA\d{10}|EDU\d{7}|\d+|SZSES10IS\d{9})$""), ""✅"", ""⚠️""))"),"✅")</f>
        <v>✅</v>
      </c>
      <c r="D50" s="227" t="s">
        <v>214</v>
      </c>
      <c r="E50" s="228"/>
      <c r="F50" s="229" t="s">
        <v>460</v>
      </c>
      <c r="G50" s="133">
        <v>46203.0</v>
      </c>
      <c r="H50" s="230" t="s">
        <v>79</v>
      </c>
      <c r="I50" s="61" t="str">
        <f>IF(B50="", "", IFERROR(VLOOKUP(B50, '🔧 OT'!D:N, 11, 0), IF(H50&lt;&gt;"", H50, "Sin OT")))</f>
        <v>Finalizada OK</v>
      </c>
      <c r="J50" s="61" t="str">
        <f>IFERROR(__xludf.DUMMYFUNCTION("IF(B50="""", """", IFERROR(VLOOKUP(TO_TEXT(B50), INDEX(TO_TEXT('🔧 OT'!D:G)), 4, 0), ""Sin OT""))"),"Grupo 2")</f>
        <v>Grupo 2</v>
      </c>
      <c r="K50" s="231" t="s">
        <v>610</v>
      </c>
      <c r="L50" s="232" t="s">
        <v>605</v>
      </c>
      <c r="M50" s="232" t="s">
        <v>606</v>
      </c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</row>
    <row r="51">
      <c r="A51" s="47">
        <v>48.0</v>
      </c>
      <c r="B51" s="219" t="s">
        <v>260</v>
      </c>
      <c r="C51" s="61" t="str">
        <f>IFERROR(__xludf.DUMMYFUNCTION("IF(B51="""", """", IF(REGEXMATCH(TO_TEXT(B51), ""^(AA\d{10}|EDU\d{7}|\d+|SZSES10IS\d{9})$""), ""✅"", ""⚠️""))"),"✅")</f>
        <v>✅</v>
      </c>
      <c r="D51" s="220" t="s">
        <v>261</v>
      </c>
      <c r="E51" s="222" t="s">
        <v>611</v>
      </c>
      <c r="F51" s="222" t="s">
        <v>612</v>
      </c>
      <c r="G51" s="223">
        <v>46203.0</v>
      </c>
      <c r="H51" s="220" t="s">
        <v>613</v>
      </c>
      <c r="I51" s="61" t="str">
        <f>IF(B51="", "", IFERROR(VLOOKUP(B51, '🔧 OT'!D:N, 11, 0), IF(H51&lt;&gt;"", H51, "Sin OT")))</f>
        <v>Derivada</v>
      </c>
      <c r="J51" s="61" t="str">
        <f>IFERROR(__xludf.DUMMYFUNCTION("IF(B51="""", """", IFERROR(VLOOKUP(TO_TEXT(B51), INDEX(TO_TEXT('🔧 OT'!D:G)), 4, 0), ""Sin OT""))"),"Grupo 2")</f>
        <v>Grupo 2</v>
      </c>
      <c r="K51" s="224" t="s">
        <v>614</v>
      </c>
      <c r="L51" s="225" t="s">
        <v>615</v>
      </c>
      <c r="M51" s="225" t="s">
        <v>616</v>
      </c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  <c r="AA51" s="159"/>
    </row>
    <row r="52">
      <c r="A52" s="47">
        <v>49.0</v>
      </c>
      <c r="B52" s="134" t="s">
        <v>263</v>
      </c>
      <c r="C52" s="61" t="str">
        <f>IFERROR(__xludf.DUMMYFUNCTION("IF(B52="""", """", IF(REGEXMATCH(TO_TEXT(B52), ""^(AA\d{10}|EDU\d{7}|\d+|SZSES10IS\d{9})$""), ""✅"", ""⚠️""))"),"✅")</f>
        <v>✅</v>
      </c>
      <c r="D52" s="227" t="s">
        <v>261</v>
      </c>
      <c r="E52" s="229" t="s">
        <v>611</v>
      </c>
      <c r="F52" s="229" t="s">
        <v>612</v>
      </c>
      <c r="G52" s="133">
        <v>46203.0</v>
      </c>
      <c r="H52" s="230" t="s">
        <v>613</v>
      </c>
      <c r="I52" s="61" t="str">
        <f>IF(B52="", "", IFERROR(VLOOKUP(B52, '🔧 OT'!D:N, 11, 0), IF(H52&lt;&gt;"", H52, "Sin OT")))</f>
        <v>Derivada</v>
      </c>
      <c r="J52" s="61" t="str">
        <f>IFERROR(__xludf.DUMMYFUNCTION("IF(B52="""", """", IFERROR(VLOOKUP(TO_TEXT(B52), INDEX(TO_TEXT('🔧 OT'!D:G)), 4, 0), ""Sin OT""))"),"Grupo 2")</f>
        <v>Grupo 2</v>
      </c>
      <c r="K52" s="231" t="s">
        <v>617</v>
      </c>
      <c r="L52" s="232" t="s">
        <v>615</v>
      </c>
      <c r="M52" s="232" t="s">
        <v>616</v>
      </c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47">
        <v>50.0</v>
      </c>
      <c r="B53" s="219" t="s">
        <v>264</v>
      </c>
      <c r="C53" s="61" t="str">
        <f>IFERROR(__xludf.DUMMYFUNCTION("IF(B53="""", """", IF(REGEXMATCH(TO_TEXT(B53), ""^(AA\d{10}|EDU\d{7}|\d+|SZSES10IS\d{9})$""), ""✅"", ""⚠️""))"),"✅")</f>
        <v>✅</v>
      </c>
      <c r="D53" s="220" t="s">
        <v>214</v>
      </c>
      <c r="E53" s="221"/>
      <c r="F53" s="222" t="s">
        <v>460</v>
      </c>
      <c r="G53" s="223">
        <v>46203.0</v>
      </c>
      <c r="H53" s="220" t="s">
        <v>79</v>
      </c>
      <c r="I53" s="61" t="str">
        <f>IF(B53="", "", IFERROR(VLOOKUP(B53, '🔧 OT'!D:N, 11, 0), IF(H53&lt;&gt;"", H53, "Sin OT")))</f>
        <v>Finalizada OK</v>
      </c>
      <c r="J53" s="61" t="str">
        <f>IFERROR(__xludf.DUMMYFUNCTION("IF(B53="""", """", IFERROR(VLOOKUP(TO_TEXT(B53), INDEX(TO_TEXT('🔧 OT'!D:G)), 4, 0), ""Sin OT""))"),"Grupo 2")</f>
        <v>Grupo 2</v>
      </c>
      <c r="K53" s="224" t="s">
        <v>618</v>
      </c>
      <c r="L53" s="225" t="s">
        <v>605</v>
      </c>
      <c r="M53" s="225" t="s">
        <v>606</v>
      </c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  <c r="AA53" s="159"/>
    </row>
    <row r="54">
      <c r="A54" s="47">
        <v>51.0</v>
      </c>
      <c r="B54" s="134" t="s">
        <v>267</v>
      </c>
      <c r="C54" s="61" t="str">
        <f>IFERROR(__xludf.DUMMYFUNCTION("IF(B54="""", """", IF(REGEXMATCH(TO_TEXT(B54), ""^(AA\d{10}|EDU\d{7}|\d+|SZSES10IS\d{9})$""), ""✅"", ""⚠️""))"),"✅")</f>
        <v>✅</v>
      </c>
      <c r="D54" s="227" t="s">
        <v>214</v>
      </c>
      <c r="E54" s="228"/>
      <c r="F54" s="229" t="s">
        <v>460</v>
      </c>
      <c r="G54" s="133">
        <v>46203.0</v>
      </c>
      <c r="H54" s="230" t="s">
        <v>79</v>
      </c>
      <c r="I54" s="61" t="str">
        <f>IF(B54="", "", IFERROR(VLOOKUP(B54, '🔧 OT'!D:N, 11, 0), IF(H54&lt;&gt;"", H54, "Sin OT")))</f>
        <v>Finalizada OK</v>
      </c>
      <c r="J54" s="61" t="str">
        <f>IFERROR(__xludf.DUMMYFUNCTION("IF(B54="""", """", IFERROR(VLOOKUP(TO_TEXT(B54), INDEX(TO_TEXT('🔧 OT'!D:G)), 4, 0), ""Sin OT""))"),"Grupo 2")</f>
        <v>Grupo 2</v>
      </c>
      <c r="K54" s="231" t="s">
        <v>619</v>
      </c>
      <c r="L54" s="232" t="s">
        <v>594</v>
      </c>
      <c r="M54" s="232" t="s">
        <v>595</v>
      </c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  <c r="AA54" s="159"/>
    </row>
    <row r="55">
      <c r="A55" s="47">
        <v>52.0</v>
      </c>
      <c r="B55" s="219" t="s">
        <v>271</v>
      </c>
      <c r="C55" s="61" t="str">
        <f>IFERROR(__xludf.DUMMYFUNCTION("IF(B55="""", """", IF(REGEXMATCH(TO_TEXT(B55), ""^(AA\d{10}|EDU\d{7}|\d+|SZSES10IS\d{9})$""), ""✅"", ""⚠️""))"),"✅")</f>
        <v>✅</v>
      </c>
      <c r="D55" s="220" t="s">
        <v>214</v>
      </c>
      <c r="E55" s="221"/>
      <c r="F55" s="222" t="s">
        <v>460</v>
      </c>
      <c r="G55" s="223">
        <v>46203.0</v>
      </c>
      <c r="H55" s="220" t="s">
        <v>79</v>
      </c>
      <c r="I55" s="61" t="str">
        <f>IF(B55="", "", IFERROR(VLOOKUP(B55, '🔧 OT'!D:N, 11, 0), IF(H55&lt;&gt;"", H55, "Sin OT")))</f>
        <v>Finalizada OK</v>
      </c>
      <c r="J55" s="61" t="str">
        <f>IFERROR(__xludf.DUMMYFUNCTION("IF(B55="""", """", IFERROR(VLOOKUP(TO_TEXT(B55), INDEX(TO_TEXT('🔧 OT'!D:G)), 4, 0), ""Sin OT""))"),"Grupo 2")</f>
        <v>Grupo 2</v>
      </c>
      <c r="K55" s="224" t="s">
        <v>620</v>
      </c>
      <c r="L55" s="225" t="s">
        <v>605</v>
      </c>
      <c r="M55" s="225" t="s">
        <v>606</v>
      </c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  <c r="AA55" s="159"/>
    </row>
    <row r="56">
      <c r="A56" s="47">
        <v>53.0</v>
      </c>
      <c r="B56" s="134" t="s">
        <v>273</v>
      </c>
      <c r="C56" s="61" t="str">
        <f>IFERROR(__xludf.DUMMYFUNCTION("IF(B56="""", """", IF(REGEXMATCH(TO_TEXT(B56), ""^(AA\d{10}|EDU\d{7}|\d+|SZSES10IS\d{9})$""), ""✅"", ""⚠️""))"),"✅")</f>
        <v>✅</v>
      </c>
      <c r="D56" s="227" t="s">
        <v>214</v>
      </c>
      <c r="E56" s="228"/>
      <c r="F56" s="229" t="s">
        <v>460</v>
      </c>
      <c r="G56" s="133">
        <v>46203.0</v>
      </c>
      <c r="H56" s="230" t="s">
        <v>79</v>
      </c>
      <c r="I56" s="61" t="str">
        <f>IF(B56="", "", IFERROR(VLOOKUP(B56, '🔧 OT'!D:N, 11, 0), IF(H56&lt;&gt;"", H56, "Sin OT")))</f>
        <v>Finalizada OK</v>
      </c>
      <c r="J56" s="61" t="str">
        <f>IFERROR(__xludf.DUMMYFUNCTION("IF(B56="""", """", IFERROR(VLOOKUP(TO_TEXT(B56), INDEX(TO_TEXT('🔧 OT'!D:G)), 4, 0), ""Sin OT""))"),"Grupo 2")</f>
        <v>Grupo 2</v>
      </c>
      <c r="K56" s="231" t="s">
        <v>621</v>
      </c>
      <c r="L56" s="232" t="s">
        <v>605</v>
      </c>
      <c r="M56" s="232" t="s">
        <v>606</v>
      </c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  <c r="AA56" s="159"/>
    </row>
    <row r="57">
      <c r="A57" s="47">
        <v>54.0</v>
      </c>
      <c r="B57" s="219" t="s">
        <v>274</v>
      </c>
      <c r="C57" s="61" t="str">
        <f>IFERROR(__xludf.DUMMYFUNCTION("IF(B57="""", """", IF(REGEXMATCH(TO_TEXT(B57), ""^(AA\d{10}|EDU\d{7}|\d+|SZSES10IS\d{9})$""), ""✅"", ""⚠️""))"),"✅")</f>
        <v>✅</v>
      </c>
      <c r="D57" s="220" t="s">
        <v>241</v>
      </c>
      <c r="E57" s="221"/>
      <c r="F57" s="222" t="s">
        <v>509</v>
      </c>
      <c r="G57" s="223">
        <v>46203.0</v>
      </c>
      <c r="H57" s="220" t="s">
        <v>189</v>
      </c>
      <c r="I57" s="61" t="str">
        <f>IF(B57="", "", IFERROR(VLOOKUP(B57, '🔧 OT'!D:N, 11, 0), IF(H57&lt;&gt;"", H57, "Sin OT")))</f>
        <v>Finalizada OK</v>
      </c>
      <c r="J57" s="61" t="str">
        <f>IFERROR(__xludf.DUMMYFUNCTION("IF(B57="""", """", IFERROR(VLOOKUP(TO_TEXT(B57), INDEX(TO_TEXT('🔧 OT'!D:G)), 4, 0), ""Sin OT""))"),"Grupo 2")</f>
        <v>Grupo 2</v>
      </c>
      <c r="K57" s="224" t="s">
        <v>622</v>
      </c>
      <c r="L57" s="225" t="s">
        <v>594</v>
      </c>
      <c r="M57" s="225" t="s">
        <v>595</v>
      </c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  <c r="AA57" s="159"/>
    </row>
    <row r="58">
      <c r="A58" s="47">
        <v>55.0</v>
      </c>
      <c r="B58" s="134" t="s">
        <v>276</v>
      </c>
      <c r="C58" s="61" t="str">
        <f>IFERROR(__xludf.DUMMYFUNCTION("IF(B58="""", """", IF(REGEXMATCH(TO_TEXT(B58), ""^(AA\d{10}|EDU\d{7}|\d+|SZSES10IS\d{9})$""), ""✅"", ""⚠️""))"),"✅")</f>
        <v>✅</v>
      </c>
      <c r="D58" s="227" t="s">
        <v>241</v>
      </c>
      <c r="E58" s="229" t="s">
        <v>623</v>
      </c>
      <c r="F58" s="229" t="s">
        <v>464</v>
      </c>
      <c r="G58" s="133">
        <v>46204.0</v>
      </c>
      <c r="H58" s="230" t="s">
        <v>79</v>
      </c>
      <c r="I58" s="61" t="str">
        <f>IF(B58="", "", IFERROR(VLOOKUP(B58, '🔧 OT'!D:N, 11, 0), IF(H58&lt;&gt;"", H58, "Sin OT")))</f>
        <v>Finalizada OK</v>
      </c>
      <c r="J58" s="61" t="str">
        <f>IFERROR(__xludf.DUMMYFUNCTION("IF(B58="""", """", IFERROR(VLOOKUP(TO_TEXT(B58), INDEX(TO_TEXT('🔧 OT'!D:G)), 4, 0), ""Sin OT""))"),"Grupo 1")</f>
        <v>Grupo 1</v>
      </c>
      <c r="K58" s="231" t="s">
        <v>624</v>
      </c>
      <c r="L58" s="232" t="s">
        <v>625</v>
      </c>
      <c r="M58" s="232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  <c r="AA58" s="159"/>
    </row>
    <row r="59">
      <c r="A59" s="47">
        <v>56.0</v>
      </c>
      <c r="B59" s="219" t="s">
        <v>279</v>
      </c>
      <c r="C59" s="61" t="str">
        <f>IFERROR(__xludf.DUMMYFUNCTION("IF(B59="""", """", IF(REGEXMATCH(TO_TEXT(B59), ""^(AA\d{10}|EDU\d{7}|\d+|SZSES10IS\d{9})$""), ""✅"", ""⚠️""))"),"✅")</f>
        <v>✅</v>
      </c>
      <c r="D59" s="220" t="s">
        <v>241</v>
      </c>
      <c r="E59" s="222" t="s">
        <v>623</v>
      </c>
      <c r="F59" s="222" t="s">
        <v>464</v>
      </c>
      <c r="G59" s="223">
        <v>46204.0</v>
      </c>
      <c r="H59" s="220" t="s">
        <v>79</v>
      </c>
      <c r="I59" s="61" t="str">
        <f>IF(B59="", "", IFERROR(VLOOKUP(B59, '🔧 OT'!D:N, 11, 0), IF(H59&lt;&gt;"", H59, "Sin OT")))</f>
        <v>Finalizada OK</v>
      </c>
      <c r="J59" s="61" t="str">
        <f>IFERROR(__xludf.DUMMYFUNCTION("IF(B59="""", """", IFERROR(VLOOKUP(TO_TEXT(B59), INDEX(TO_TEXT('🔧 OT'!D:G)), 4, 0), ""Sin OT""))"),"Grupo 1")</f>
        <v>Grupo 1</v>
      </c>
      <c r="K59" s="224" t="s">
        <v>626</v>
      </c>
      <c r="L59" s="225" t="s">
        <v>625</v>
      </c>
      <c r="M59" s="225" t="s">
        <v>627</v>
      </c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  <c r="AA59" s="159"/>
    </row>
    <row r="60">
      <c r="A60" s="47">
        <v>57.0</v>
      </c>
      <c r="B60" s="134" t="s">
        <v>281</v>
      </c>
      <c r="C60" s="61" t="str">
        <f>IFERROR(__xludf.DUMMYFUNCTION("IF(B60="""", """", IF(REGEXMATCH(TO_TEXT(B60), ""^(AA\d{10}|EDU\d{7}|\d+|SZSES10IS\d{9})$""), ""✅"", ""⚠️""))"),"✅")</f>
        <v>✅</v>
      </c>
      <c r="D60" s="227" t="s">
        <v>241</v>
      </c>
      <c r="E60" s="229" t="s">
        <v>623</v>
      </c>
      <c r="F60" s="229" t="s">
        <v>464</v>
      </c>
      <c r="G60" s="133">
        <v>46204.0</v>
      </c>
      <c r="H60" s="230" t="s">
        <v>79</v>
      </c>
      <c r="I60" s="61" t="str">
        <f>IF(B60="", "", IFERROR(VLOOKUP(B60, '🔧 OT'!D:N, 11, 0), IF(H60&lt;&gt;"", H60, "Sin OT")))</f>
        <v>Finalizada OK</v>
      </c>
      <c r="J60" s="61" t="str">
        <f>IFERROR(__xludf.DUMMYFUNCTION("IF(B60="""", """", IFERROR(VLOOKUP(TO_TEXT(B60), INDEX(TO_TEXT('🔧 OT'!D:G)), 4, 0), ""Sin OT""))"),"Grupo 1")</f>
        <v>Grupo 1</v>
      </c>
      <c r="K60" s="231" t="s">
        <v>628</v>
      </c>
      <c r="L60" s="232" t="s">
        <v>629</v>
      </c>
      <c r="M60" s="232" t="s">
        <v>627</v>
      </c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  <c r="AA60" s="159"/>
    </row>
    <row r="61">
      <c r="A61" s="47">
        <v>58.0</v>
      </c>
      <c r="B61" s="219" t="s">
        <v>282</v>
      </c>
      <c r="C61" s="61" t="str">
        <f>IFERROR(__xludf.DUMMYFUNCTION("IF(B61="""", """", IF(REGEXMATCH(TO_TEXT(B61), ""^(AA\d{10}|EDU\d{7}|\d+|SZSES10IS\d{9})$""), ""✅"", ""⚠️""))"),"✅")</f>
        <v>✅</v>
      </c>
      <c r="D61" s="220" t="s">
        <v>241</v>
      </c>
      <c r="E61" s="222" t="s">
        <v>623</v>
      </c>
      <c r="F61" s="222" t="s">
        <v>464</v>
      </c>
      <c r="G61" s="223">
        <v>46204.0</v>
      </c>
      <c r="H61" s="220" t="s">
        <v>79</v>
      </c>
      <c r="I61" s="61" t="str">
        <f>IF(B61="", "", IFERROR(VLOOKUP(B61, '🔧 OT'!D:N, 11, 0), IF(H61&lt;&gt;"", H61, "Sin OT")))</f>
        <v>Finalizada OK</v>
      </c>
      <c r="J61" s="61" t="str">
        <f>IFERROR(__xludf.DUMMYFUNCTION("IF(B61="""", """", IFERROR(VLOOKUP(TO_TEXT(B61), INDEX(TO_TEXT('🔧 OT'!D:G)), 4, 0), ""Sin OT""))"),"Grupo 1")</f>
        <v>Grupo 1</v>
      </c>
      <c r="K61" s="224" t="s">
        <v>630</v>
      </c>
      <c r="L61" s="225" t="s">
        <v>625</v>
      </c>
      <c r="M61" s="225" t="s">
        <v>627</v>
      </c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  <c r="AA61" s="159"/>
    </row>
    <row r="62">
      <c r="A62" s="47">
        <v>59.0</v>
      </c>
      <c r="B62" s="134" t="s">
        <v>284</v>
      </c>
      <c r="C62" s="61" t="str">
        <f>IFERROR(__xludf.DUMMYFUNCTION("IF(B62="""", """", IF(REGEXMATCH(TO_TEXT(B62), ""^(AA\d{10}|EDU\d{7}|\d+|SZSES10IS\d{9})$""), ""✅"", ""⚠️""))"),"✅")</f>
        <v>✅</v>
      </c>
      <c r="D62" s="227" t="s">
        <v>241</v>
      </c>
      <c r="E62" s="229" t="s">
        <v>623</v>
      </c>
      <c r="F62" s="229" t="s">
        <v>464</v>
      </c>
      <c r="G62" s="133">
        <v>46204.0</v>
      </c>
      <c r="H62" s="230" t="s">
        <v>79</v>
      </c>
      <c r="I62" s="61" t="str">
        <f>IF(B62="", "", IFERROR(VLOOKUP(B62, '🔧 OT'!D:N, 11, 0), IF(H62&lt;&gt;"", H62, "Sin OT")))</f>
        <v>Finalizada OK</v>
      </c>
      <c r="J62" s="61" t="str">
        <f>IFERROR(__xludf.DUMMYFUNCTION("IF(B62="""", """", IFERROR(VLOOKUP(TO_TEXT(B62), INDEX(TO_TEXT('🔧 OT'!D:G)), 4, 0), ""Sin OT""))"),"Grupo 1")</f>
        <v>Grupo 1</v>
      </c>
      <c r="K62" s="231" t="s">
        <v>631</v>
      </c>
      <c r="L62" s="232" t="s">
        <v>625</v>
      </c>
      <c r="M62" s="234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  <c r="AA62" s="159"/>
    </row>
    <row r="63">
      <c r="A63" s="47">
        <v>60.0</v>
      </c>
      <c r="B63" s="219" t="s">
        <v>286</v>
      </c>
      <c r="C63" s="61" t="str">
        <f>IFERROR(__xludf.DUMMYFUNCTION("IF(B63="""", """", IF(REGEXMATCH(TO_TEXT(B63), ""^(AA\d{10}|EDU\d{7}|\d+|SZSES10IS\d{9})$""), ""✅"", ""⚠️""))"),"✅")</f>
        <v>✅</v>
      </c>
      <c r="D63" s="220" t="s">
        <v>241</v>
      </c>
      <c r="E63" s="222" t="s">
        <v>632</v>
      </c>
      <c r="F63" s="222" t="s">
        <v>509</v>
      </c>
      <c r="G63" s="223">
        <v>46204.0</v>
      </c>
      <c r="H63" s="220" t="s">
        <v>189</v>
      </c>
      <c r="I63" s="61" t="str">
        <f>IF(B63="", "", IFERROR(VLOOKUP(B63, '🔧 OT'!D:N, 11, 0), IF(H63&lt;&gt;"", H63, "Sin OT")))</f>
        <v>Finalizada OK</v>
      </c>
      <c r="J63" s="61" t="str">
        <f>IFERROR(__xludf.DUMMYFUNCTION("IF(B63="""", """", IFERROR(VLOOKUP(TO_TEXT(B63), INDEX(TO_TEXT('🔧 OT'!D:G)), 4, 0), ""Sin OT""))"),"Grupo 1")</f>
        <v>Grupo 1</v>
      </c>
      <c r="K63" s="224" t="s">
        <v>633</v>
      </c>
      <c r="L63" s="225" t="s">
        <v>306</v>
      </c>
      <c r="M63" s="226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  <c r="AA63" s="159"/>
    </row>
    <row r="64">
      <c r="A64" s="47">
        <v>61.0</v>
      </c>
      <c r="B64" s="134" t="s">
        <v>288</v>
      </c>
      <c r="C64" s="61" t="str">
        <f>IFERROR(__xludf.DUMMYFUNCTION("IF(B64="""", """", IF(REGEXMATCH(TO_TEXT(B64), ""^(AA\d{10}|EDU\d{7}|\d+|SZSES10IS\d{9})$""), ""✅"", ""⚠️""))"),"✅")</f>
        <v>✅</v>
      </c>
      <c r="D64" s="227" t="s">
        <v>241</v>
      </c>
      <c r="E64" s="229" t="s">
        <v>632</v>
      </c>
      <c r="F64" s="229" t="s">
        <v>509</v>
      </c>
      <c r="G64" s="133">
        <v>46204.0</v>
      </c>
      <c r="H64" s="230" t="s">
        <v>189</v>
      </c>
      <c r="I64" s="61" t="str">
        <f>IF(B64="", "", IFERROR(VLOOKUP(B64, '🔧 OT'!D:N, 11, 0), IF(H64&lt;&gt;"", H64, "Sin OT")))</f>
        <v>Finalizada OK</v>
      </c>
      <c r="J64" s="61" t="str">
        <f>IFERROR(__xludf.DUMMYFUNCTION("IF(B64="""", """", IFERROR(VLOOKUP(TO_TEXT(B64), INDEX(TO_TEXT('🔧 OT'!D:G)), 4, 0), ""Sin OT""))"),"Grupo 1")</f>
        <v>Grupo 1</v>
      </c>
      <c r="K64" s="231" t="s">
        <v>634</v>
      </c>
      <c r="L64" s="232" t="s">
        <v>306</v>
      </c>
      <c r="M64" s="234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  <c r="AA64" s="159"/>
    </row>
    <row r="65">
      <c r="A65" s="47">
        <v>62.0</v>
      </c>
      <c r="B65" s="134" t="s">
        <v>290</v>
      </c>
      <c r="C65" s="61" t="str">
        <f>IFERROR(__xludf.DUMMYFUNCTION("IF(B65="""", """", IF(REGEXMATCH(TO_TEXT(B65), ""^(AA\d{10}|EDU\d{7}|\d+|SZSES10IS\d{9})$""), ""✅"", ""⚠️""))"),"✅")</f>
        <v>✅</v>
      </c>
      <c r="D65" s="230" t="s">
        <v>241</v>
      </c>
      <c r="E65" s="222" t="s">
        <v>632</v>
      </c>
      <c r="F65" s="229" t="s">
        <v>509</v>
      </c>
      <c r="G65" s="133">
        <v>46204.0</v>
      </c>
      <c r="H65" s="230" t="s">
        <v>189</v>
      </c>
      <c r="I65" s="61" t="str">
        <f>IF(B65="", "", IFERROR(VLOOKUP(B65, '🔧 OT'!D:N, 11, 0), IF(H65&lt;&gt;"", H65, "Sin OT")))</f>
        <v>Finalizada OK</v>
      </c>
      <c r="J65" s="61" t="str">
        <f>IFERROR(__xludf.DUMMYFUNCTION("IF(B65="""", """", IFERROR(VLOOKUP(TO_TEXT(B65), INDEX(TO_TEXT('🔧 OT'!D:G)), 4, 0), ""Sin OT""))"),"Grupo 2")</f>
        <v>Grupo 2</v>
      </c>
      <c r="K65" s="231" t="s">
        <v>635</v>
      </c>
      <c r="L65" s="232" t="s">
        <v>636</v>
      </c>
      <c r="M65" s="232" t="s">
        <v>637</v>
      </c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  <c r="AA65" s="159"/>
    </row>
    <row r="66">
      <c r="A66" s="47">
        <v>63.0</v>
      </c>
      <c r="B66" s="255" t="s">
        <v>293</v>
      </c>
      <c r="C66" s="61" t="str">
        <f>IFERROR(__xludf.DUMMYFUNCTION("IF(B66="""", """", IF(REGEXMATCH(TO_TEXT(B66), ""^(AA\d{10}|EDU\d{7}|\d+|SZSES10IS\d{9})$""), ""✅"", ""⚠️""))"),"✅")</f>
        <v>✅</v>
      </c>
      <c r="D66" s="256" t="s">
        <v>241</v>
      </c>
      <c r="E66" s="229" t="s">
        <v>632</v>
      </c>
      <c r="F66" s="257" t="s">
        <v>509</v>
      </c>
      <c r="G66" s="258">
        <v>46204.0</v>
      </c>
      <c r="H66" s="256" t="s">
        <v>189</v>
      </c>
      <c r="I66" s="61" t="str">
        <f>IF(B66="", "", IFERROR(VLOOKUP(B66, '🔧 OT'!D:N, 11, 0), IF(H66&lt;&gt;"", H66, "Sin OT")))</f>
        <v>Finalizada OK</v>
      </c>
      <c r="J66" s="61" t="str">
        <f>IFERROR(__xludf.DUMMYFUNCTION("IF(B66="""", """", IFERROR(VLOOKUP(TO_TEXT(B66), INDEX(TO_TEXT('🔧 OT'!D:G)), 4, 0), ""Sin OT""))"),"Grupo 1")</f>
        <v>Grupo 1</v>
      </c>
      <c r="K66" s="259" t="s">
        <v>638</v>
      </c>
      <c r="L66" s="260" t="s">
        <v>306</v>
      </c>
      <c r="M66" s="261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  <c r="AA66" s="159"/>
    </row>
    <row r="67">
      <c r="A67" s="47">
        <v>64.0</v>
      </c>
      <c r="B67" s="134" t="s">
        <v>295</v>
      </c>
      <c r="C67" s="61" t="str">
        <f>IFERROR(__xludf.DUMMYFUNCTION("IF(B67="""", """", IF(REGEXMATCH(TO_TEXT(B67), ""^(AA\d{10}|EDU\d{7}|\d+|SZSES10IS\d{9})$""), ""✅"", ""⚠️""))"),"✅")</f>
        <v>✅</v>
      </c>
      <c r="D67" s="230" t="s">
        <v>241</v>
      </c>
      <c r="E67" s="222" t="s">
        <v>632</v>
      </c>
      <c r="F67" s="229" t="s">
        <v>509</v>
      </c>
      <c r="G67" s="133">
        <v>46204.0</v>
      </c>
      <c r="H67" s="230" t="s">
        <v>189</v>
      </c>
      <c r="I67" s="61" t="str">
        <f>IF(B67="", "", IFERROR(VLOOKUP(B67, '🔧 OT'!D:N, 11, 0), IF(H67&lt;&gt;"", H67, "Sin OT")))</f>
        <v>Finalizada OK</v>
      </c>
      <c r="J67" s="61" t="str">
        <f>IFERROR(__xludf.DUMMYFUNCTION("IF(B67="""", """", IFERROR(VLOOKUP(TO_TEXT(B67), INDEX(TO_TEXT('🔧 OT'!D:G)), 4, 0), ""Sin OT""))"),"Grupo 1")</f>
        <v>Grupo 1</v>
      </c>
      <c r="K67" s="231" t="s">
        <v>639</v>
      </c>
      <c r="L67" s="232" t="s">
        <v>306</v>
      </c>
      <c r="M67" s="234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  <c r="AA67" s="159"/>
    </row>
    <row r="68">
      <c r="A68" s="47">
        <v>65.0</v>
      </c>
      <c r="B68" s="255" t="s">
        <v>296</v>
      </c>
      <c r="C68" s="61" t="str">
        <f>IFERROR(__xludf.DUMMYFUNCTION("IF(B68="""", """", IF(REGEXMATCH(TO_TEXT(B68), ""^(AA\d{10}|EDU\d{7}|\d+|SZSES10IS\d{9})$""), ""✅"", ""⚠️""))"),"✅")</f>
        <v>✅</v>
      </c>
      <c r="D68" s="256" t="s">
        <v>241</v>
      </c>
      <c r="E68" s="229" t="s">
        <v>632</v>
      </c>
      <c r="F68" s="257" t="s">
        <v>509</v>
      </c>
      <c r="G68" s="262">
        <v>46204.0</v>
      </c>
      <c r="H68" s="256" t="s">
        <v>189</v>
      </c>
      <c r="I68" s="61" t="str">
        <f>IF(B68="", "", IFERROR(VLOOKUP(B68, '🔧 OT'!D:N, 11, 0), IF(H68&lt;&gt;"", H68, "Sin OT")))</f>
        <v>Finalizada OK</v>
      </c>
      <c r="J68" s="61" t="str">
        <f>IFERROR(__xludf.DUMMYFUNCTION("IF(B68="""", """", IFERROR(VLOOKUP(TO_TEXT(B68), INDEX(TO_TEXT('🔧 OT'!D:G)), 4, 0), ""Sin OT""))"),"Grupo 2")</f>
        <v>Grupo 2</v>
      </c>
      <c r="K68" s="259" t="s">
        <v>640</v>
      </c>
      <c r="L68" s="260" t="s">
        <v>306</v>
      </c>
      <c r="M68" s="261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  <c r="AA68" s="159"/>
    </row>
    <row r="69">
      <c r="A69" s="47">
        <v>66.0</v>
      </c>
      <c r="B69" s="134" t="s">
        <v>298</v>
      </c>
      <c r="C69" s="61" t="str">
        <f>IFERROR(__xludf.DUMMYFUNCTION("IF(B69="""", """", IF(REGEXMATCH(TO_TEXT(B69), ""^(AA\d{10}|EDU\d{7}|\d+|SZSES10IS\d{9})$""), ""✅"", ""⚠️""))"),"✅")</f>
        <v>✅</v>
      </c>
      <c r="D69" s="230" t="s">
        <v>241</v>
      </c>
      <c r="E69" s="222" t="s">
        <v>632</v>
      </c>
      <c r="F69" s="229" t="s">
        <v>509</v>
      </c>
      <c r="G69" s="258">
        <v>46204.0</v>
      </c>
      <c r="H69" s="230" t="s">
        <v>189</v>
      </c>
      <c r="I69" s="61" t="str">
        <f>IF(B69="", "", IFERROR(VLOOKUP(B69, '🔧 OT'!D:N, 11, 0), IF(H69&lt;&gt;"", H69, "Sin OT")))</f>
        <v>Finalizada OK</v>
      </c>
      <c r="J69" s="61" t="str">
        <f>IFERROR(__xludf.DUMMYFUNCTION("IF(B69="""", """", IFERROR(VLOOKUP(TO_TEXT(B69), INDEX(TO_TEXT('🔧 OT'!D:G)), 4, 0), ""Sin OT""))"),"Grupo 2")</f>
        <v>Grupo 2</v>
      </c>
      <c r="K69" s="231" t="s">
        <v>641</v>
      </c>
      <c r="L69" s="232" t="s">
        <v>306</v>
      </c>
      <c r="M69" s="234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  <c r="AA69" s="159"/>
    </row>
    <row r="70">
      <c r="A70" s="47">
        <v>67.0</v>
      </c>
      <c r="B70" s="255" t="s">
        <v>300</v>
      </c>
      <c r="C70" s="61" t="str">
        <f>IFERROR(__xludf.DUMMYFUNCTION("IF(B70="""", """", IF(REGEXMATCH(TO_TEXT(B70), ""^(AA\d{10}|EDU\d{7}|\d+|SZSES10IS\d{9})$""), ""✅"", ""⚠️""))"),"✅")</f>
        <v>✅</v>
      </c>
      <c r="D70" s="256" t="s">
        <v>241</v>
      </c>
      <c r="E70" s="229" t="s">
        <v>632</v>
      </c>
      <c r="F70" s="257" t="s">
        <v>509</v>
      </c>
      <c r="G70" s="258">
        <v>46204.0</v>
      </c>
      <c r="H70" s="256" t="s">
        <v>189</v>
      </c>
      <c r="I70" s="61" t="str">
        <f>IF(B70="", "", IFERROR(VLOOKUP(B70, '🔧 OT'!D:N, 11, 0), IF(H70&lt;&gt;"", H70, "Sin OT")))</f>
        <v>Finalizada OK</v>
      </c>
      <c r="J70" s="61" t="str">
        <f>IFERROR(__xludf.DUMMYFUNCTION("IF(B70="""", """", IFERROR(VLOOKUP(TO_TEXT(B70), INDEX(TO_TEXT('🔧 OT'!D:G)), 4, 0), ""Sin OT""))"),"Grupo 2")</f>
        <v>Grupo 2</v>
      </c>
      <c r="K70" s="259" t="s">
        <v>642</v>
      </c>
      <c r="L70" s="260" t="s">
        <v>306</v>
      </c>
      <c r="M70" s="260" t="s">
        <v>643</v>
      </c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  <c r="AA70" s="159"/>
    </row>
    <row r="71">
      <c r="A71" s="47">
        <v>68.0</v>
      </c>
      <c r="B71" s="134" t="s">
        <v>301</v>
      </c>
      <c r="C71" s="61" t="str">
        <f>IFERROR(__xludf.DUMMYFUNCTION("IF(B71="""", """", IF(REGEXMATCH(TO_TEXT(B71), ""^(AA\d{10}|EDU\d{7}|\d+|SZSES10IS\d{9})$""), ""✅"", ""⚠️""))"),"✅")</f>
        <v>✅</v>
      </c>
      <c r="D71" s="230" t="s">
        <v>241</v>
      </c>
      <c r="E71" s="222" t="s">
        <v>632</v>
      </c>
      <c r="F71" s="229" t="s">
        <v>509</v>
      </c>
      <c r="G71" s="133">
        <v>46204.0</v>
      </c>
      <c r="H71" s="230" t="s">
        <v>189</v>
      </c>
      <c r="I71" s="61" t="str">
        <f>IF(B71="", "", IFERROR(VLOOKUP(B71, '🔧 OT'!D:N, 11, 0), IF(H71&lt;&gt;"", H71, "Sin OT")))</f>
        <v>Finalizada OK</v>
      </c>
      <c r="J71" s="61" t="str">
        <f>IFERROR(__xludf.DUMMYFUNCTION("IF(B71="""", """", IFERROR(VLOOKUP(TO_TEXT(B71), INDEX(TO_TEXT('🔧 OT'!D:G)), 4, 0), ""Sin OT""))"),"Grupo 1")</f>
        <v>Grupo 1</v>
      </c>
      <c r="K71" s="231" t="s">
        <v>644</v>
      </c>
      <c r="L71" s="232" t="s">
        <v>306</v>
      </c>
      <c r="M71" s="234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  <c r="AA71" s="159"/>
    </row>
    <row r="72">
      <c r="A72" s="47">
        <v>69.0</v>
      </c>
      <c r="B72" s="255" t="s">
        <v>303</v>
      </c>
      <c r="C72" s="61" t="str">
        <f>IFERROR(__xludf.DUMMYFUNCTION("IF(B72="""", """", IF(REGEXMATCH(TO_TEXT(B72), ""^(AA\d{10}|EDU\d{7}|\d+|SZSES10IS\d{9})$""), ""✅"", ""⚠️""))"),"✅")</f>
        <v>✅</v>
      </c>
      <c r="D72" s="256" t="s">
        <v>241</v>
      </c>
      <c r="E72" s="229" t="s">
        <v>632</v>
      </c>
      <c r="F72" s="257" t="s">
        <v>509</v>
      </c>
      <c r="G72" s="258">
        <v>46204.0</v>
      </c>
      <c r="H72" s="256" t="s">
        <v>189</v>
      </c>
      <c r="I72" s="61" t="str">
        <f>IF(B72="", "", IFERROR(VLOOKUP(B72, '🔧 OT'!D:N, 11, 0), IF(H72&lt;&gt;"", H72, "Sin OT")))</f>
        <v>Finalizada OK</v>
      </c>
      <c r="J72" s="61" t="str">
        <f>IFERROR(__xludf.DUMMYFUNCTION("IF(B72="""", """", IFERROR(VLOOKUP(TO_TEXT(B72), INDEX(TO_TEXT('🔧 OT'!D:G)), 4, 0), ""Sin OT""))"),"Grupo 2")</f>
        <v>Grupo 2</v>
      </c>
      <c r="K72" s="259" t="s">
        <v>645</v>
      </c>
      <c r="L72" s="260" t="s">
        <v>306</v>
      </c>
      <c r="M72" s="261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  <c r="AA72" s="159"/>
    </row>
    <row r="73">
      <c r="A73" s="47">
        <v>70.0</v>
      </c>
      <c r="B73" s="219" t="s">
        <v>304</v>
      </c>
      <c r="C73" s="61" t="str">
        <f>IFERROR(__xludf.DUMMYFUNCTION("IF(B73="""", """", IF(REGEXMATCH(TO_TEXT(B73), ""^(AA\d{10}|EDU\d{7}|\d+|SZSES10IS\d{9})$""), ""✅"", ""⚠️""))"),"✅")</f>
        <v>✅</v>
      </c>
      <c r="D73" s="220" t="s">
        <v>241</v>
      </c>
      <c r="E73" s="222" t="s">
        <v>632</v>
      </c>
      <c r="F73" s="222" t="s">
        <v>509</v>
      </c>
      <c r="G73" s="223">
        <v>46204.0</v>
      </c>
      <c r="H73" s="220" t="s">
        <v>189</v>
      </c>
      <c r="I73" s="61" t="str">
        <f>IF(B73="", "", IFERROR(VLOOKUP(B73, '🔧 OT'!D:N, 11, 0), IF(H73&lt;&gt;"", H73, "Sin OT")))</f>
        <v>Finalizada OK</v>
      </c>
      <c r="J73" s="61" t="str">
        <f>IFERROR(__xludf.DUMMYFUNCTION("IF(B73="""", """", IFERROR(VLOOKUP(TO_TEXT(B73), INDEX(TO_TEXT('🔧 OT'!D:G)), 4, 0), ""Sin OT""))"),"Grupo 1")</f>
        <v>Grupo 1</v>
      </c>
      <c r="K73" s="224" t="s">
        <v>646</v>
      </c>
      <c r="L73" s="225" t="s">
        <v>625</v>
      </c>
      <c r="M73" s="225" t="s">
        <v>647</v>
      </c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  <c r="AA73" s="159"/>
    </row>
    <row r="74">
      <c r="A74" s="47">
        <v>71.0</v>
      </c>
      <c r="B74" s="134" t="s">
        <v>305</v>
      </c>
      <c r="C74" s="61" t="str">
        <f>IFERROR(__xludf.DUMMYFUNCTION("IF(B74="""", """", IF(REGEXMATCH(TO_TEXT(B74), ""^(AA\d{10}|EDU\d{7}|\d+|SZSES10IS\d{9})$""), ""✅"", ""⚠️""))"),"✅")</f>
        <v>✅</v>
      </c>
      <c r="D74" s="227" t="s">
        <v>77</v>
      </c>
      <c r="E74" s="228"/>
      <c r="F74" s="229" t="s">
        <v>464</v>
      </c>
      <c r="G74" s="133">
        <v>46204.0</v>
      </c>
      <c r="H74" s="230" t="s">
        <v>79</v>
      </c>
      <c r="I74" s="61" t="str">
        <f>IF(B74="", "", IFERROR(VLOOKUP(B74, '🔧 OT'!D:N, 11, 0), IF(H74&lt;&gt;"", H74, "Sin OT")))</f>
        <v>Finalizada OK</v>
      </c>
      <c r="J74" s="61" t="str">
        <f>IFERROR(__xludf.DUMMYFUNCTION("IF(B74="""", """", IFERROR(VLOOKUP(TO_TEXT(B74), INDEX(TO_TEXT('🔧 OT'!D:G)), 4, 0), ""Sin OT""))"),"Grupo 1")</f>
        <v>Grupo 1</v>
      </c>
      <c r="K74" s="231" t="s">
        <v>648</v>
      </c>
      <c r="L74" s="232" t="s">
        <v>625</v>
      </c>
      <c r="M74" s="232" t="s">
        <v>647</v>
      </c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  <c r="AA74" s="159"/>
    </row>
    <row r="75">
      <c r="A75" s="47">
        <v>72.0</v>
      </c>
      <c r="B75" s="219" t="s">
        <v>307</v>
      </c>
      <c r="C75" s="61" t="str">
        <f>IFERROR(__xludf.DUMMYFUNCTION("IF(B75="""", """", IF(REGEXMATCH(TO_TEXT(B75), ""^(AA\d{10}|EDU\d{7}|\d+|SZSES10IS\d{9})$""), ""✅"", ""⚠️""))"),"✅")</f>
        <v>✅</v>
      </c>
      <c r="D75" s="220" t="s">
        <v>77</v>
      </c>
      <c r="E75" s="221"/>
      <c r="F75" s="222" t="s">
        <v>464</v>
      </c>
      <c r="G75" s="223">
        <v>46204.0</v>
      </c>
      <c r="H75" s="220" t="s">
        <v>79</v>
      </c>
      <c r="I75" s="61" t="str">
        <f>IF(B75="", "", IFERROR(VLOOKUP(B75, '🔧 OT'!D:N, 11, 0), IF(H75&lt;&gt;"", H75, "Sin OT")))</f>
        <v>Probando</v>
      </c>
      <c r="J75" s="61" t="str">
        <f>IFERROR(__xludf.DUMMYFUNCTION("IF(B75="""", """", IFERROR(VLOOKUP(TO_TEXT(B75), INDEX(TO_TEXT('🔧 OT'!D:G)), 4, 0), ""Sin OT""))"),"Grupo 1")</f>
        <v>Grupo 1</v>
      </c>
      <c r="K75" s="224" t="s">
        <v>649</v>
      </c>
      <c r="L75" s="225" t="s">
        <v>650</v>
      </c>
      <c r="M75" s="225" t="s">
        <v>647</v>
      </c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  <c r="AA75" s="159"/>
    </row>
    <row r="76">
      <c r="A76" s="47">
        <v>73.0</v>
      </c>
      <c r="B76" s="134" t="s">
        <v>311</v>
      </c>
      <c r="C76" s="61" t="str">
        <f>IFERROR(__xludf.DUMMYFUNCTION("IF(B76="""", """", IF(REGEXMATCH(TO_TEXT(B76), ""^(AA\d{10}|EDU\d{7}|\d+|SZSES10IS\d{9})$""), ""✅"", ""⚠️""))"),"✅")</f>
        <v>✅</v>
      </c>
      <c r="D76" s="227" t="s">
        <v>77</v>
      </c>
      <c r="E76" s="228"/>
      <c r="F76" s="229" t="s">
        <v>464</v>
      </c>
      <c r="G76" s="133">
        <v>46205.0</v>
      </c>
      <c r="H76" s="230" t="s">
        <v>79</v>
      </c>
      <c r="I76" s="61" t="str">
        <f>IF(B76="", "", IFERROR(VLOOKUP(B76, '🔧 OT'!D:N, 11, 0), IF(H76&lt;&gt;"", H76, "Sin OT")))</f>
        <v>Finalizada OK</v>
      </c>
      <c r="J76" s="61" t="str">
        <f>IFERROR(__xludf.DUMMYFUNCTION("IF(B76="""", """", IFERROR(VLOOKUP(TO_TEXT(B76), INDEX(TO_TEXT('🔧 OT'!D:G)), 4, 0), ""Sin OT""))"),"Grupo 2")</f>
        <v>Grupo 2</v>
      </c>
      <c r="K76" s="231" t="s">
        <v>651</v>
      </c>
      <c r="L76" s="232" t="s">
        <v>652</v>
      </c>
      <c r="M76" s="232" t="s">
        <v>647</v>
      </c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  <c r="AA76" s="159"/>
    </row>
    <row r="77">
      <c r="A77" s="47">
        <v>74.0</v>
      </c>
      <c r="B77" s="219" t="s">
        <v>314</v>
      </c>
      <c r="C77" s="61" t="str">
        <f>IFERROR(__xludf.DUMMYFUNCTION("IF(B77="""", """", IF(REGEXMATCH(TO_TEXT(B77), ""^(AA\d{10}|EDU\d{7}|\d+|SZSES10IS\d{9})$""), ""✅"", ""⚠️""))"),"✅")</f>
        <v>✅</v>
      </c>
      <c r="D77" s="220" t="s">
        <v>77</v>
      </c>
      <c r="E77" s="221"/>
      <c r="F77" s="222" t="s">
        <v>464</v>
      </c>
      <c r="G77" s="223">
        <v>46205.0</v>
      </c>
      <c r="H77" s="220" t="s">
        <v>79</v>
      </c>
      <c r="I77" s="61" t="str">
        <f>IF(B77="", "", IFERROR(VLOOKUP(B77, '🔧 OT'!D:N, 11, 0), IF(H77&lt;&gt;"", H77, "Sin OT")))</f>
        <v>Finalizada OK</v>
      </c>
      <c r="J77" s="61" t="str">
        <f>IFERROR(__xludf.DUMMYFUNCTION("IF(B77="""", """", IFERROR(VLOOKUP(TO_TEXT(B77), INDEX(TO_TEXT('🔧 OT'!D:G)), 4, 0), ""Sin OT""))"),"Grupo 2")</f>
        <v>Grupo 2</v>
      </c>
      <c r="K77" s="224" t="s">
        <v>653</v>
      </c>
      <c r="L77" s="225" t="s">
        <v>654</v>
      </c>
      <c r="M77" s="225" t="s">
        <v>655</v>
      </c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  <c r="AA77" s="159"/>
    </row>
    <row r="78">
      <c r="A78" s="47">
        <v>75.0</v>
      </c>
      <c r="B78" s="134" t="s">
        <v>316</v>
      </c>
      <c r="C78" s="61" t="str">
        <f>IFERROR(__xludf.DUMMYFUNCTION("IF(B78="""", """", IF(REGEXMATCH(TO_TEXT(B78), ""^(AA\d{10}|EDU\d{7}|\d+|SZSES10IS\d{9})$""), ""✅"", ""⚠️""))"),"⚠️")</f>
        <v>⚠️</v>
      </c>
      <c r="D78" s="227" t="s">
        <v>261</v>
      </c>
      <c r="E78" s="229" t="s">
        <v>656</v>
      </c>
      <c r="F78" s="229" t="s">
        <v>657</v>
      </c>
      <c r="G78" s="133">
        <v>46205.0</v>
      </c>
      <c r="H78" s="230" t="s">
        <v>109</v>
      </c>
      <c r="I78" s="61" t="str">
        <f>IF(B78="", "", IFERROR(VLOOKUP(B78, '🔧 OT'!D:N, 11, 0), IF(H78&lt;&gt;"", H78, "Sin OT")))</f>
        <v>Finalizada OK</v>
      </c>
      <c r="J78" s="61" t="str">
        <f>IFERROR(__xludf.DUMMYFUNCTION("IF(B78="""", """", IFERROR(VLOOKUP(TO_TEXT(B78), INDEX(TO_TEXT('🔧 OT'!D:G)), 4, 0), ""Sin OT""))"),"Grupo 2")</f>
        <v>Grupo 2</v>
      </c>
      <c r="K78" s="231" t="s">
        <v>658</v>
      </c>
      <c r="L78" s="232" t="s">
        <v>659</v>
      </c>
      <c r="M78" s="232" t="s">
        <v>319</v>
      </c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  <c r="AA78" s="159"/>
    </row>
    <row r="79">
      <c r="A79" s="47">
        <v>76.0</v>
      </c>
      <c r="B79" s="219" t="s">
        <v>320</v>
      </c>
      <c r="C79" s="61" t="str">
        <f>IFERROR(__xludf.DUMMYFUNCTION("IF(B79="""", """", IF(REGEXMATCH(TO_TEXT(B79), ""^(AA\d{10}|EDU\d{7}|\d+|SZSES10IS\d{9})$""), ""✅"", ""⚠️""))"),"⚠️")</f>
        <v>⚠️</v>
      </c>
      <c r="D79" s="220" t="s">
        <v>261</v>
      </c>
      <c r="E79" s="229" t="s">
        <v>656</v>
      </c>
      <c r="F79" s="222" t="s">
        <v>657</v>
      </c>
      <c r="G79" s="223">
        <v>46205.0</v>
      </c>
      <c r="H79" s="220" t="s">
        <v>109</v>
      </c>
      <c r="I79" s="61" t="str">
        <f>IF(B79="", "", IFERROR(VLOOKUP(B79, '🔧 OT'!D:N, 11, 0), IF(H79&lt;&gt;"", H79, "Sin OT")))</f>
        <v>Finalizada OK</v>
      </c>
      <c r="J79" s="61" t="str">
        <f>IFERROR(__xludf.DUMMYFUNCTION("IF(B79="""", """", IFERROR(VLOOKUP(TO_TEXT(B79), INDEX(TO_TEXT('🔧 OT'!D:G)), 4, 0), ""Sin OT""))"),"Grupo 2")</f>
        <v>Grupo 2</v>
      </c>
      <c r="K79" s="224" t="s">
        <v>660</v>
      </c>
      <c r="L79" s="232" t="s">
        <v>659</v>
      </c>
      <c r="M79" s="232" t="s">
        <v>319</v>
      </c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  <c r="AA79" s="159"/>
    </row>
    <row r="80">
      <c r="A80" s="47">
        <v>77.0</v>
      </c>
      <c r="B80" s="134" t="s">
        <v>321</v>
      </c>
      <c r="C80" s="61" t="str">
        <f>IFERROR(__xludf.DUMMYFUNCTION("IF(B80="""", """", IF(REGEXMATCH(TO_TEXT(B80), ""^(AA\d{10}|EDU\d{7}|\d+|SZSES10IS\d{9})$""), ""✅"", ""⚠️""))"),"⚠️")</f>
        <v>⚠️</v>
      </c>
      <c r="D80" s="227" t="s">
        <v>261</v>
      </c>
      <c r="E80" s="229" t="s">
        <v>656</v>
      </c>
      <c r="F80" s="229" t="s">
        <v>657</v>
      </c>
      <c r="G80" s="133">
        <v>46205.0</v>
      </c>
      <c r="H80" s="230" t="s">
        <v>109</v>
      </c>
      <c r="I80" s="61" t="str">
        <f>IF(B80="", "", IFERROR(VLOOKUP(B80, '🔧 OT'!D:N, 11, 0), IF(H80&lt;&gt;"", H80, "Sin OT")))</f>
        <v>Finalizada OK</v>
      </c>
      <c r="J80" s="61" t="str">
        <f>IFERROR(__xludf.DUMMYFUNCTION("IF(B80="""", """", IFERROR(VLOOKUP(TO_TEXT(B80), INDEX(TO_TEXT('🔧 OT'!D:G)), 4, 0), ""Sin OT""))"),"Grupo 2")</f>
        <v>Grupo 2</v>
      </c>
      <c r="K80" s="231" t="s">
        <v>661</v>
      </c>
      <c r="L80" s="232" t="s">
        <v>659</v>
      </c>
      <c r="M80" s="232" t="s">
        <v>319</v>
      </c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  <c r="AA80" s="159"/>
    </row>
    <row r="81">
      <c r="A81" s="47">
        <v>78.0</v>
      </c>
      <c r="B81" s="134" t="s">
        <v>322</v>
      </c>
      <c r="C81" s="61" t="str">
        <f>IFERROR(__xludf.DUMMYFUNCTION("IF(B81="""", """", IF(REGEXMATCH(TO_TEXT(B81), ""^(AA\d{10}|EDU\d{7}|\d+|SZSES10IS\d{9})$""), ""✅"", ""⚠️""))"),"⚠️")</f>
        <v>⚠️</v>
      </c>
      <c r="D81" s="230" t="s">
        <v>261</v>
      </c>
      <c r="E81" s="229" t="s">
        <v>656</v>
      </c>
      <c r="F81" s="229" t="s">
        <v>657</v>
      </c>
      <c r="G81" s="223">
        <v>46205.0</v>
      </c>
      <c r="H81" s="230" t="s">
        <v>109</v>
      </c>
      <c r="I81" s="61" t="str">
        <f>IF(B81="", "", IFERROR(VLOOKUP(B81, '🔧 OT'!D:N, 11, 0), IF(H81&lt;&gt;"", H81, "Sin OT")))</f>
        <v>Finalizada OK</v>
      </c>
      <c r="J81" s="61" t="str">
        <f>IFERROR(__xludf.DUMMYFUNCTION("IF(B81="""", """", IFERROR(VLOOKUP(TO_TEXT(B81), INDEX(TO_TEXT('🔧 OT'!D:G)), 4, 0), ""Sin OT""))"),"Grupo 2")</f>
        <v>Grupo 2</v>
      </c>
      <c r="K81" s="231" t="s">
        <v>662</v>
      </c>
      <c r="L81" s="232" t="s">
        <v>659</v>
      </c>
      <c r="M81" s="232" t="s">
        <v>319</v>
      </c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  <c r="AA81" s="159"/>
    </row>
    <row r="82">
      <c r="A82" s="47">
        <v>79.0</v>
      </c>
      <c r="B82" s="255" t="s">
        <v>323</v>
      </c>
      <c r="C82" s="61" t="str">
        <f>IFERROR(__xludf.DUMMYFUNCTION("IF(B82="""", """", IF(REGEXMATCH(TO_TEXT(B82), ""^(AA\d{10}|EDU\d{7}|\d+|SZSES10IS\d{9})$""), ""✅"", ""⚠️""))"),"✅")</f>
        <v>✅</v>
      </c>
      <c r="D82" s="256" t="s">
        <v>77</v>
      </c>
      <c r="E82" s="263"/>
      <c r="F82" s="257" t="s">
        <v>464</v>
      </c>
      <c r="G82" s="258">
        <v>46205.0</v>
      </c>
      <c r="H82" s="256" t="s">
        <v>79</v>
      </c>
      <c r="I82" s="61" t="str">
        <f>IF(B82="", "", IFERROR(VLOOKUP(B82, '🔧 OT'!D:N, 11, 0), IF(H82&lt;&gt;"", H82, "Sin OT")))</f>
        <v>Finalizada OK</v>
      </c>
      <c r="J82" s="61" t="str">
        <f>IFERROR(__xludf.DUMMYFUNCTION("IF(B82="""", """", IFERROR(VLOOKUP(TO_TEXT(B82), INDEX(TO_TEXT('🔧 OT'!D:G)), 4, 0), ""Sin OT""))"),"Grupo 1")</f>
        <v>Grupo 1</v>
      </c>
      <c r="K82" s="259" t="s">
        <v>663</v>
      </c>
      <c r="L82" s="260" t="s">
        <v>664</v>
      </c>
      <c r="M82" s="260" t="s">
        <v>665</v>
      </c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  <c r="AA82" s="159"/>
    </row>
    <row r="83">
      <c r="A83" s="47">
        <v>80.0</v>
      </c>
      <c r="B83" s="134" t="s">
        <v>325</v>
      </c>
      <c r="C83" s="61" t="str">
        <f>IFERROR(__xludf.DUMMYFUNCTION("IF(B83="""", """", IF(REGEXMATCH(TO_TEXT(B83), ""^(AA\d{10}|EDU\d{7}|\d+|SZSES10IS\d{9})$""), ""✅"", ""⚠️""))"),"✅")</f>
        <v>✅</v>
      </c>
      <c r="D83" s="230" t="s">
        <v>77</v>
      </c>
      <c r="E83" s="228"/>
      <c r="F83" s="229" t="s">
        <v>464</v>
      </c>
      <c r="G83" s="133">
        <v>46205.0</v>
      </c>
      <c r="H83" s="230" t="s">
        <v>79</v>
      </c>
      <c r="I83" s="61" t="str">
        <f>IF(B83="", "", IFERROR(VLOOKUP(B83, '🔧 OT'!D:N, 11, 0), IF(H83&lt;&gt;"", H83, "Sin OT")))</f>
        <v>Finalizada OK</v>
      </c>
      <c r="J83" s="61" t="str">
        <f>IFERROR(__xludf.DUMMYFUNCTION("IF(B83="""", """", IFERROR(VLOOKUP(TO_TEXT(B83), INDEX(TO_TEXT('🔧 OT'!D:G)), 4, 0), ""Sin OT""))"),"Grupo 1")</f>
        <v>Grupo 1</v>
      </c>
      <c r="K83" s="231" t="s">
        <v>666</v>
      </c>
      <c r="L83" s="232" t="s">
        <v>667</v>
      </c>
      <c r="M83" s="232" t="s">
        <v>668</v>
      </c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  <c r="AA83" s="159"/>
    </row>
    <row r="84">
      <c r="A84" s="47">
        <v>81.0</v>
      </c>
      <c r="B84" s="255" t="s">
        <v>328</v>
      </c>
      <c r="C84" s="61" t="str">
        <f>IFERROR(__xludf.DUMMYFUNCTION("IF(B84="""", """", IF(REGEXMATCH(TO_TEXT(B84), ""^(AA\d{10}|EDU\d{7}|\d+|SZSES10IS\d{9})$""), ""✅"", ""⚠️""))"),"✅")</f>
        <v>✅</v>
      </c>
      <c r="D84" s="256" t="s">
        <v>77</v>
      </c>
      <c r="E84" s="263"/>
      <c r="F84" s="257" t="s">
        <v>464</v>
      </c>
      <c r="G84" s="258">
        <v>46205.0</v>
      </c>
      <c r="H84" s="256" t="s">
        <v>79</v>
      </c>
      <c r="I84" s="61" t="str">
        <f>IF(B84="", "", IFERROR(VLOOKUP(B84, '🔧 OT'!D:N, 11, 0), IF(H84&lt;&gt;"", H84, "Sin OT")))</f>
        <v>Finalizada OK</v>
      </c>
      <c r="J84" s="61" t="str">
        <f>IFERROR(__xludf.DUMMYFUNCTION("IF(B84="""", """", IFERROR(VLOOKUP(TO_TEXT(B84), INDEX(TO_TEXT('🔧 OT'!D:G)), 4, 0), ""Sin OT""))"),"Grupo 1")</f>
        <v>Grupo 1</v>
      </c>
      <c r="K84" s="259" t="s">
        <v>669</v>
      </c>
      <c r="L84" s="260" t="s">
        <v>670</v>
      </c>
      <c r="M84" s="260" t="s">
        <v>671</v>
      </c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  <c r="AA84" s="159"/>
    </row>
    <row r="85">
      <c r="A85" s="47">
        <v>82.0</v>
      </c>
      <c r="B85" s="134" t="s">
        <v>331</v>
      </c>
      <c r="C85" s="61" t="str">
        <f>IFERROR(__xludf.DUMMYFUNCTION("IF(B85="""", """", IF(REGEXMATCH(TO_TEXT(B85), ""^(AA\d{10}|EDU\d{7}|\d+|SZSES10IS\d{9})$""), ""✅"", ""⚠️""))"),"✅")</f>
        <v>✅</v>
      </c>
      <c r="D85" s="230" t="s">
        <v>77</v>
      </c>
      <c r="E85" s="229" t="s">
        <v>672</v>
      </c>
      <c r="F85" s="229" t="s">
        <v>464</v>
      </c>
      <c r="G85" s="133">
        <v>46209.0</v>
      </c>
      <c r="H85" s="230" t="s">
        <v>79</v>
      </c>
      <c r="I85" s="61" t="str">
        <f>IF(B85="", "", IFERROR(VLOOKUP(B85, '🔧 OT'!D:N, 11, 0), IF(H85&lt;&gt;"", H85, "Sin OT")))</f>
        <v>Finalizada OK</v>
      </c>
      <c r="J85" s="61" t="str">
        <f>IFERROR(__xludf.DUMMYFUNCTION("IF(B85="""", """", IFERROR(VLOOKUP(TO_TEXT(B85), INDEX(TO_TEXT('🔧 OT'!D:G)), 4, 0), ""Sin OT""))"),"Grupo 1")</f>
        <v>Grupo 1</v>
      </c>
      <c r="K85" s="231" t="s">
        <v>673</v>
      </c>
      <c r="L85" s="232" t="s">
        <v>674</v>
      </c>
      <c r="M85" s="232" t="s">
        <v>675</v>
      </c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  <c r="AA85" s="159"/>
    </row>
    <row r="86">
      <c r="A86" s="47">
        <v>83.0</v>
      </c>
      <c r="B86" s="255" t="s">
        <v>335</v>
      </c>
      <c r="C86" s="61" t="str">
        <f>IFERROR(__xludf.DUMMYFUNCTION("IF(B86="""", """", IF(REGEXMATCH(TO_TEXT(B86), ""^(AA\d{10}|EDU\d{7}|\d+|SZSES10IS\d{9})$""), ""✅"", ""⚠️""))"),"✅")</f>
        <v>✅</v>
      </c>
      <c r="D86" s="256" t="s">
        <v>77</v>
      </c>
      <c r="E86" s="257" t="s">
        <v>672</v>
      </c>
      <c r="F86" s="257" t="s">
        <v>464</v>
      </c>
      <c r="G86" s="258">
        <v>46209.0</v>
      </c>
      <c r="H86" s="256" t="s">
        <v>79</v>
      </c>
      <c r="I86" s="61" t="str">
        <f>IF(B86="", "", IFERROR(VLOOKUP(B86, '🔧 OT'!D:N, 11, 0), IF(H86&lt;&gt;"", H86, "Sin OT")))</f>
        <v>Finalizada OK</v>
      </c>
      <c r="J86" s="61" t="str">
        <f>IFERROR(__xludf.DUMMYFUNCTION("IF(B86="""", """", IFERROR(VLOOKUP(TO_TEXT(B86), INDEX(TO_TEXT('🔧 OT'!D:G)), 4, 0), ""Sin OT""))"),"Grupo 1")</f>
        <v>Grupo 1</v>
      </c>
      <c r="K86" s="259" t="s">
        <v>676</v>
      </c>
      <c r="L86" s="260" t="s">
        <v>677</v>
      </c>
      <c r="M86" s="260" t="s">
        <v>678</v>
      </c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  <c r="AA86" s="159"/>
    </row>
    <row r="87">
      <c r="A87" s="47">
        <v>84.0</v>
      </c>
      <c r="B87" s="134" t="s">
        <v>338</v>
      </c>
      <c r="C87" s="61" t="str">
        <f>IFERROR(__xludf.DUMMYFUNCTION("IF(B87="""", """", IF(REGEXMATCH(TO_TEXT(B87), ""^(AA\d{10}|EDU\d{7}|\d+|SZSES10IS\d{9})$""), ""✅"", ""⚠️""))"),"✅")</f>
        <v>✅</v>
      </c>
      <c r="D87" s="230" t="s">
        <v>77</v>
      </c>
      <c r="E87" s="229" t="s">
        <v>672</v>
      </c>
      <c r="F87" s="229" t="s">
        <v>464</v>
      </c>
      <c r="G87" s="133">
        <v>46209.0</v>
      </c>
      <c r="H87" s="230" t="s">
        <v>79</v>
      </c>
      <c r="I87" s="61" t="str">
        <f>IF(B87="", "", IFERROR(VLOOKUP(B87, '🔧 OT'!D:N, 11, 0), IF(H87&lt;&gt;"", H87, "Sin OT")))</f>
        <v>Finalizada OK</v>
      </c>
      <c r="J87" s="61" t="str">
        <f>IFERROR(__xludf.DUMMYFUNCTION("IF(B87="""", """", IFERROR(VLOOKUP(TO_TEXT(B87), INDEX(TO_TEXT('🔧 OT'!D:G)), 4, 0), ""Sin OT""))"),"Grupo 1")</f>
        <v>Grupo 1</v>
      </c>
      <c r="K87" s="231" t="s">
        <v>679</v>
      </c>
      <c r="L87" s="232" t="s">
        <v>366</v>
      </c>
      <c r="M87" s="232" t="s">
        <v>680</v>
      </c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  <c r="AA87" s="159"/>
    </row>
    <row r="88">
      <c r="A88" s="47">
        <v>85.0</v>
      </c>
      <c r="B88" s="255" t="s">
        <v>340</v>
      </c>
      <c r="C88" s="61" t="str">
        <f>IFERROR(__xludf.DUMMYFUNCTION("IF(B88="""", """", IF(REGEXMATCH(TO_TEXT(B88), ""^(AA\d{10}|EDU\d{7}|\d+|SZSES10IS\d{9})$""), ""✅"", ""⚠️""))"),"✅")</f>
        <v>✅</v>
      </c>
      <c r="D88" s="256" t="s">
        <v>77</v>
      </c>
      <c r="E88" s="257" t="s">
        <v>672</v>
      </c>
      <c r="F88" s="257" t="s">
        <v>464</v>
      </c>
      <c r="G88" s="258">
        <v>46211.0</v>
      </c>
      <c r="H88" s="256" t="s">
        <v>79</v>
      </c>
      <c r="I88" s="61" t="str">
        <f>IF(B88="", "", IFERROR(VLOOKUP(B88, '🔧 OT'!D:N, 11, 0), IF(H88&lt;&gt;"", H88, "Sin OT")))</f>
        <v>Finalizada OK</v>
      </c>
      <c r="J88" s="61" t="str">
        <f>IFERROR(__xludf.DUMMYFUNCTION("IF(B88="""", """", IFERROR(VLOOKUP(TO_TEXT(B88), INDEX(TO_TEXT('🔧 OT'!D:G)), 4, 0), ""Sin OT""))"),"Grupo 1")</f>
        <v>Grupo 1</v>
      </c>
      <c r="K88" s="259" t="s">
        <v>681</v>
      </c>
      <c r="L88" s="260" t="s">
        <v>682</v>
      </c>
      <c r="M88" s="260" t="s">
        <v>683</v>
      </c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  <c r="AA88" s="159"/>
    </row>
    <row r="89">
      <c r="A89" s="47">
        <v>86.0</v>
      </c>
      <c r="B89" s="134" t="s">
        <v>343</v>
      </c>
      <c r="C89" s="61" t="str">
        <f>IFERROR(__xludf.DUMMYFUNCTION("IF(B89="""", """", IF(REGEXMATCH(TO_TEXT(B89), ""^(AA\d{10}|EDU\d{7}|\d+|SZSES10IS\d{9})$""), ""✅"", ""⚠️""))"),"✅")</f>
        <v>✅</v>
      </c>
      <c r="D89" s="230" t="s">
        <v>77</v>
      </c>
      <c r="E89" s="229" t="s">
        <v>684</v>
      </c>
      <c r="F89" s="229" t="s">
        <v>685</v>
      </c>
      <c r="G89" s="133">
        <v>46217.0</v>
      </c>
      <c r="H89" s="230" t="s">
        <v>189</v>
      </c>
      <c r="I89" s="61" t="str">
        <f>IF(B89="", "", IFERROR(VLOOKUP(B89, '🔧 OT'!D:N, 11, 0), IF(H89&lt;&gt;"", H89, "Sin OT")))</f>
        <v>Finalizada OK</v>
      </c>
      <c r="J89" s="61" t="str">
        <f>IFERROR(__xludf.DUMMYFUNCTION("IF(B89="""", """", IFERROR(VLOOKUP(TO_TEXT(B89), INDEX(TO_TEXT('🔧 OT'!D:G)), 4, 0), ""Sin OT""))"),"Grupo 2")</f>
        <v>Grupo 2</v>
      </c>
      <c r="K89" s="231" t="s">
        <v>686</v>
      </c>
      <c r="L89" s="232" t="s">
        <v>687</v>
      </c>
      <c r="M89" s="232" t="s">
        <v>688</v>
      </c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  <c r="AA89" s="159"/>
    </row>
    <row r="90">
      <c r="A90" s="47">
        <v>87.0</v>
      </c>
      <c r="B90" s="255" t="s">
        <v>346</v>
      </c>
      <c r="C90" s="61" t="str">
        <f>IFERROR(__xludf.DUMMYFUNCTION("IF(B90="""", """", IF(REGEXMATCH(TO_TEXT(B90), ""^(AA\d{10}|EDU\d{7}|\d+|SZSES10IS\d{9})$""), ""✅"", ""⚠️""))"),"✅")</f>
        <v>✅</v>
      </c>
      <c r="D90" s="256" t="s">
        <v>77</v>
      </c>
      <c r="E90" s="257" t="s">
        <v>684</v>
      </c>
      <c r="F90" s="257" t="s">
        <v>685</v>
      </c>
      <c r="G90" s="258">
        <v>46211.0</v>
      </c>
      <c r="H90" s="256" t="s">
        <v>79</v>
      </c>
      <c r="I90" s="61" t="str">
        <f>IF(B90="", "", IFERROR(VLOOKUP(B90, '🔧 OT'!D:N, 11, 0), IF(H90&lt;&gt;"", H90, "Sin OT")))</f>
        <v>Probando</v>
      </c>
      <c r="J90" s="61" t="str">
        <f>IFERROR(__xludf.DUMMYFUNCTION("IF(B90="""", """", IFERROR(VLOOKUP(TO_TEXT(B90), INDEX(TO_TEXT('🔧 OT'!D:G)), 4, 0), ""Sin OT""))"),"Grupo 1")</f>
        <v>Grupo 1</v>
      </c>
      <c r="K90" s="259" t="s">
        <v>689</v>
      </c>
      <c r="L90" s="260" t="s">
        <v>690</v>
      </c>
      <c r="M90" s="260" t="s">
        <v>106</v>
      </c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  <c r="AA90" s="159"/>
    </row>
    <row r="91">
      <c r="A91" s="47">
        <v>88.0</v>
      </c>
      <c r="B91" s="134" t="s">
        <v>348</v>
      </c>
      <c r="C91" s="61" t="str">
        <f>IFERROR(__xludf.DUMMYFUNCTION("IF(B91="""", """", IF(REGEXMATCH(TO_TEXT(B91), ""^(AA\d{10}|EDU\d{7}|\d+|SZSES10IS\d{9})$""), ""✅"", ""⚠️""))"),"✅")</f>
        <v>✅</v>
      </c>
      <c r="D91" s="230" t="s">
        <v>77</v>
      </c>
      <c r="E91" s="229" t="s">
        <v>672</v>
      </c>
      <c r="F91" s="229" t="s">
        <v>464</v>
      </c>
      <c r="G91" s="133">
        <v>46211.0</v>
      </c>
      <c r="H91" s="230" t="s">
        <v>79</v>
      </c>
      <c r="I91" s="61" t="str">
        <f>IF(B91="", "", IFERROR(VLOOKUP(B91, '🔧 OT'!D:N, 11, 0), IF(H91&lt;&gt;"", H91, "Sin OT")))</f>
        <v>Probando</v>
      </c>
      <c r="J91" s="61" t="str">
        <f>IFERROR(__xludf.DUMMYFUNCTION("IF(B91="""", """", IFERROR(VLOOKUP(TO_TEXT(B91), INDEX(TO_TEXT('🔧 OT'!D:G)), 4, 0), ""Sin OT""))"),"Grupo 1")</f>
        <v>Grupo 1</v>
      </c>
      <c r="K91" s="231" t="s">
        <v>691</v>
      </c>
      <c r="L91" s="232" t="s">
        <v>326</v>
      </c>
      <c r="M91" s="232" t="s">
        <v>692</v>
      </c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  <c r="AA91" s="159"/>
    </row>
    <row r="92">
      <c r="A92" s="47">
        <v>89.0</v>
      </c>
      <c r="B92" s="255" t="s">
        <v>351</v>
      </c>
      <c r="C92" s="61" t="str">
        <f>IFERROR(__xludf.DUMMYFUNCTION("IF(B92="""", """", IF(REGEXMATCH(TO_TEXT(B92), ""^(AA\d{10}|EDU\d{7}|\d+|SZSES10IS\d{9})$""), ""✅"", ""⚠️""))"),"✅")</f>
        <v>✅</v>
      </c>
      <c r="D92" s="256" t="s">
        <v>77</v>
      </c>
      <c r="E92" s="257" t="s">
        <v>672</v>
      </c>
      <c r="F92" s="257" t="s">
        <v>464</v>
      </c>
      <c r="G92" s="258">
        <v>46211.0</v>
      </c>
      <c r="H92" s="256" t="s">
        <v>189</v>
      </c>
      <c r="I92" s="61" t="str">
        <f>IF(B92="", "", IFERROR(VLOOKUP(B92, '🔧 OT'!D:N, 11, 0), IF(H92&lt;&gt;"", H92, "Sin OT")))</f>
        <v>Finalizada OK</v>
      </c>
      <c r="J92" s="61" t="str">
        <f>IFERROR(__xludf.DUMMYFUNCTION("IF(B92="""", """", IFERROR(VLOOKUP(TO_TEXT(B92), INDEX(TO_TEXT('🔧 OT'!D:G)), 4, 0), ""Sin OT""))"),"Grupo 1")</f>
        <v>Grupo 1</v>
      </c>
      <c r="K92" s="259" t="s">
        <v>693</v>
      </c>
      <c r="L92" s="260" t="s">
        <v>694</v>
      </c>
      <c r="M92" s="260" t="s">
        <v>695</v>
      </c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  <c r="AA92" s="159"/>
    </row>
    <row r="93">
      <c r="A93" s="47">
        <v>90.0</v>
      </c>
      <c r="B93" s="134" t="s">
        <v>354</v>
      </c>
      <c r="C93" s="61" t="str">
        <f>IFERROR(__xludf.DUMMYFUNCTION("IF(B93="""", """", IF(REGEXMATCH(TO_TEXT(B93), ""^(AA\d{10}|EDU\d{7}|\d+|SZSES10IS\d{9})$""), ""✅"", ""⚠️""))"),"✅")</f>
        <v>✅</v>
      </c>
      <c r="D93" s="230" t="s">
        <v>214</v>
      </c>
      <c r="E93" s="228"/>
      <c r="F93" s="228"/>
      <c r="G93" s="133">
        <v>46211.0</v>
      </c>
      <c r="H93" s="230" t="s">
        <v>189</v>
      </c>
      <c r="I93" s="61" t="str">
        <f>IF(B93="", "", IFERROR(VLOOKUP(B93, '🔧 OT'!D:N, 11, 0), IF(H93&lt;&gt;"", H93, "Sin OT")))</f>
        <v>Probando</v>
      </c>
      <c r="J93" s="61" t="str">
        <f>IFERROR(__xludf.DUMMYFUNCTION("IF(B93="""", """", IFERROR(VLOOKUP(TO_TEXT(B93), INDEX(TO_TEXT('🔧 OT'!D:G)), 4, 0), ""Sin OT""))"),"Grupo 1")</f>
        <v>Grupo 1</v>
      </c>
      <c r="K93" s="231" t="s">
        <v>696</v>
      </c>
      <c r="L93" s="232" t="s">
        <v>694</v>
      </c>
      <c r="M93" s="232" t="s">
        <v>697</v>
      </c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  <c r="AA93" s="159"/>
    </row>
    <row r="94">
      <c r="A94" s="47">
        <v>91.0</v>
      </c>
      <c r="B94" s="255" t="s">
        <v>356</v>
      </c>
      <c r="C94" s="61" t="str">
        <f>IFERROR(__xludf.DUMMYFUNCTION("IF(B94="""", """", IF(REGEXMATCH(TO_TEXT(B94), ""^(AA\d{10}|EDU\d{7}|\d+|SZSES10IS\d{9})$""), ""✅"", ""⚠️""))"),"✅")</f>
        <v>✅</v>
      </c>
      <c r="D94" s="256" t="s">
        <v>77</v>
      </c>
      <c r="E94" s="257" t="s">
        <v>684</v>
      </c>
      <c r="F94" s="257" t="s">
        <v>685</v>
      </c>
      <c r="G94" s="258">
        <v>46211.0</v>
      </c>
      <c r="H94" s="256" t="s">
        <v>79</v>
      </c>
      <c r="I94" s="61" t="str">
        <f>IF(B94="", "", IFERROR(VLOOKUP(B94, '🔧 OT'!D:N, 11, 0), IF(H94&lt;&gt;"", H94, "Sin OT")))</f>
        <v>Finalizada OK</v>
      </c>
      <c r="J94" s="61" t="str">
        <f>IFERROR(__xludf.DUMMYFUNCTION("IF(B94="""", """", IFERROR(VLOOKUP(TO_TEXT(B94), INDEX(TO_TEXT('🔧 OT'!D:G)), 4, 0), ""Sin OT""))"),"Grupo 2")</f>
        <v>Grupo 2</v>
      </c>
      <c r="K94" s="259" t="s">
        <v>698</v>
      </c>
      <c r="L94" s="260" t="s">
        <v>699</v>
      </c>
      <c r="M94" s="260" t="s">
        <v>700</v>
      </c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  <c r="AA94" s="159"/>
    </row>
    <row r="95">
      <c r="A95" s="47">
        <v>92.0</v>
      </c>
      <c r="B95" s="134" t="s">
        <v>359</v>
      </c>
      <c r="C95" s="61" t="str">
        <f>IFERROR(__xludf.DUMMYFUNCTION("IF(B95="""", """", IF(REGEXMATCH(TO_TEXT(B95), ""^(AA\d{10}|EDU\d{7}|\d+|SZSES10IS\d{9})$""), ""✅"", ""⚠️""))"),"✅")</f>
        <v>✅</v>
      </c>
      <c r="D95" s="230" t="s">
        <v>77</v>
      </c>
      <c r="E95" s="229" t="s">
        <v>684</v>
      </c>
      <c r="F95" s="229" t="s">
        <v>685</v>
      </c>
      <c r="G95" s="133">
        <v>46216.0</v>
      </c>
      <c r="H95" s="230" t="s">
        <v>189</v>
      </c>
      <c r="I95" s="61" t="str">
        <f>IF(B95="", "", IFERROR(VLOOKUP(B95, '🔧 OT'!D:N, 11, 0), IF(H95&lt;&gt;"", H95, "Sin OT")))</f>
        <v>Finalizada OK</v>
      </c>
      <c r="J95" s="61" t="str">
        <f>IFERROR(__xludf.DUMMYFUNCTION("IF(B95="""", """", IFERROR(VLOOKUP(TO_TEXT(B95), INDEX(TO_TEXT('🔧 OT'!D:G)), 4, 0), ""Sin OT""))"),"Grupo 1")</f>
        <v>Grupo 1</v>
      </c>
      <c r="K95" s="231" t="s">
        <v>701</v>
      </c>
      <c r="L95" s="232" t="s">
        <v>702</v>
      </c>
      <c r="M95" s="232" t="s">
        <v>703</v>
      </c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>
      <c r="A96" s="47">
        <v>93.0</v>
      </c>
      <c r="B96" s="255" t="s">
        <v>362</v>
      </c>
      <c r="C96" s="61" t="str">
        <f>IFERROR(__xludf.DUMMYFUNCTION("IF(B96="""", """", IF(REGEXMATCH(TO_TEXT(B96), ""^(AA\d{10}|EDU\d{7}|\d+|SZSES10IS\d{9})$""), ""✅"", ""⚠️""))"),"✅")</f>
        <v>✅</v>
      </c>
      <c r="D96" s="256" t="s">
        <v>77</v>
      </c>
      <c r="E96" s="257" t="s">
        <v>684</v>
      </c>
      <c r="F96" s="257" t="s">
        <v>685</v>
      </c>
      <c r="G96" s="258">
        <v>46216.0</v>
      </c>
      <c r="H96" s="256" t="s">
        <v>79</v>
      </c>
      <c r="I96" s="61" t="str">
        <f>IF(B96="", "", IFERROR(VLOOKUP(B96, '🔧 OT'!D:N, 11, 0), IF(H96&lt;&gt;"", H96, "Sin OT")))</f>
        <v>Pendiente</v>
      </c>
      <c r="J96" s="61" t="str">
        <f>IFERROR(__xludf.DUMMYFUNCTION("IF(B96="""", """", IFERROR(VLOOKUP(TO_TEXT(B96), INDEX(TO_TEXT('🔧 OT'!D:G)), 4, 0), ""Sin OT""))"),"Grupo 1")</f>
        <v>Grupo 1</v>
      </c>
      <c r="K96" s="259" t="s">
        <v>704</v>
      </c>
      <c r="L96" s="260" t="s">
        <v>705</v>
      </c>
      <c r="M96" s="260" t="s">
        <v>706</v>
      </c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>
      <c r="A97" s="47">
        <v>94.0</v>
      </c>
      <c r="B97" s="134" t="s">
        <v>365</v>
      </c>
      <c r="C97" s="61" t="str">
        <f>IFERROR(__xludf.DUMMYFUNCTION("IF(B97="""", """", IF(REGEXMATCH(TO_TEXT(B97), ""^(AA\d{10}|EDU\d{7}|\d+|SZSES10IS\d{9})$""), ""✅"", ""⚠️""))"),"✅")</f>
        <v>✅</v>
      </c>
      <c r="D97" s="230" t="s">
        <v>77</v>
      </c>
      <c r="E97" s="229" t="s">
        <v>684</v>
      </c>
      <c r="F97" s="229" t="s">
        <v>685</v>
      </c>
      <c r="G97" s="133">
        <v>46216.0</v>
      </c>
      <c r="H97" s="230" t="s">
        <v>79</v>
      </c>
      <c r="I97" s="61" t="str">
        <f>IF(B97="", "", IFERROR(VLOOKUP(B97, '🔧 OT'!D:N, 11, 0), IF(H97&lt;&gt;"", H97, "Sin OT")))</f>
        <v>Finalizada OK</v>
      </c>
      <c r="J97" s="61" t="str">
        <f>IFERROR(__xludf.DUMMYFUNCTION("IF(B97="""", """", IFERROR(VLOOKUP(TO_TEXT(B97), INDEX(TO_TEXT('🔧 OT'!D:G)), 4, 0), ""Sin OT""))"),"Grupo 1")</f>
        <v>Grupo 1</v>
      </c>
      <c r="K97" s="231" t="s">
        <v>707</v>
      </c>
      <c r="L97" s="232" t="s">
        <v>690</v>
      </c>
      <c r="M97" s="232" t="s">
        <v>708</v>
      </c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>
      <c r="A98" s="47">
        <v>95.0</v>
      </c>
      <c r="B98" s="255" t="s">
        <v>367</v>
      </c>
      <c r="C98" s="61" t="str">
        <f>IFERROR(__xludf.DUMMYFUNCTION("IF(B98="""", """", IF(REGEXMATCH(TO_TEXT(B98), ""^(AA\d{10}|EDU\d{7}|\d+|SZSES10IS\d{9})$""), ""✅"", ""⚠️""))"),"✅")</f>
        <v>✅</v>
      </c>
      <c r="D98" s="256" t="s">
        <v>77</v>
      </c>
      <c r="E98" s="257" t="s">
        <v>684</v>
      </c>
      <c r="F98" s="257" t="s">
        <v>685</v>
      </c>
      <c r="G98" s="258">
        <v>46217.0</v>
      </c>
      <c r="H98" s="256" t="s">
        <v>79</v>
      </c>
      <c r="I98" s="61" t="str">
        <f>IF(B98="", "", IFERROR(VLOOKUP(B98, '🔧 OT'!D:N, 11, 0), IF(H98&lt;&gt;"", H98, "Sin OT")))</f>
        <v>Finalizada OK</v>
      </c>
      <c r="J98" s="61" t="str">
        <f>IFERROR(__xludf.DUMMYFUNCTION("IF(B98="""", """", IFERROR(VLOOKUP(TO_TEXT(B98), INDEX(TO_TEXT('🔧 OT'!D:G)), 4, 0), ""Sin OT""))"),"Grupo 2")</f>
        <v>Grupo 2</v>
      </c>
      <c r="K98" s="259" t="s">
        <v>709</v>
      </c>
      <c r="L98" s="260" t="s">
        <v>710</v>
      </c>
      <c r="M98" s="260" t="s">
        <v>711</v>
      </c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>
      <c r="A99" s="47">
        <v>96.0</v>
      </c>
      <c r="B99" s="134" t="s">
        <v>370</v>
      </c>
      <c r="C99" s="61" t="str">
        <f>IFERROR(__xludf.DUMMYFUNCTION("IF(B99="""", """", IF(REGEXMATCH(TO_TEXT(B99), ""^(AA\d{10}|EDU\d{7}|\d+|SZSES10IS\d{9})$""), ""✅"", ""⚠️""))"),"✅")</f>
        <v>✅</v>
      </c>
      <c r="D99" s="230" t="s">
        <v>77</v>
      </c>
      <c r="E99" s="229" t="s">
        <v>684</v>
      </c>
      <c r="F99" s="229" t="s">
        <v>685</v>
      </c>
      <c r="G99" s="133">
        <v>46217.0</v>
      </c>
      <c r="H99" s="230" t="s">
        <v>613</v>
      </c>
      <c r="I99" s="61" t="str">
        <f>IF(B99="", "", IFERROR(VLOOKUP(B99, '🔧 OT'!D:N, 11, 0), IF(H99&lt;&gt;"", H99, "Sin OT")))</f>
        <v>Pendiente</v>
      </c>
      <c r="J99" s="61" t="str">
        <f>IFERROR(__xludf.DUMMYFUNCTION("IF(B99="""", """", IFERROR(VLOOKUP(TO_TEXT(B99), INDEX(TO_TEXT('🔧 OT'!D:G)), 4, 0), ""Sin OT""))"),"Grupo 2")</f>
        <v>Grupo 2</v>
      </c>
      <c r="K99" s="231" t="s">
        <v>712</v>
      </c>
      <c r="L99" s="232" t="s">
        <v>713</v>
      </c>
      <c r="M99" s="232" t="s">
        <v>714</v>
      </c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>
      <c r="A100" s="47">
        <v>97.0</v>
      </c>
      <c r="B100" s="255" t="s">
        <v>373</v>
      </c>
      <c r="C100" s="61" t="str">
        <f>IFERROR(__xludf.DUMMYFUNCTION("IF(B100="""", """", IF(REGEXMATCH(TO_TEXT(B100), ""^(AA\d{10}|EDU\d{7}|\d+|SZSES10IS\d{9})$""), ""✅"", ""⚠️""))"),"✅")</f>
        <v>✅</v>
      </c>
      <c r="D100" s="256" t="s">
        <v>77</v>
      </c>
      <c r="E100" s="257" t="s">
        <v>684</v>
      </c>
      <c r="F100" s="257" t="s">
        <v>685</v>
      </c>
      <c r="G100" s="258">
        <v>46216.0</v>
      </c>
      <c r="H100" s="256" t="s">
        <v>189</v>
      </c>
      <c r="I100" s="61" t="str">
        <f>IF(B100="", "", IFERROR(VLOOKUP(B100, '🔧 OT'!D:N, 11, 0), IF(H100&lt;&gt;"", H100, "Sin OT")))</f>
        <v>Finalizada OK</v>
      </c>
      <c r="J100" s="61" t="str">
        <f>IFERROR(__xludf.DUMMYFUNCTION("IF(B100="""", """", IFERROR(VLOOKUP(TO_TEXT(B100), INDEX(TO_TEXT('🔧 OT'!D:G)), 4, 0), ""Sin OT""))"),"Grupo 2")</f>
        <v>Grupo 2</v>
      </c>
      <c r="K100" s="259" t="s">
        <v>715</v>
      </c>
      <c r="L100" s="260" t="s">
        <v>716</v>
      </c>
      <c r="M100" s="260" t="s">
        <v>717</v>
      </c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  <c r="AA100" s="159"/>
    </row>
    <row r="101">
      <c r="A101" s="47">
        <v>98.0</v>
      </c>
      <c r="B101" s="134" t="s">
        <v>375</v>
      </c>
      <c r="C101" s="61" t="str">
        <f>IFERROR(__xludf.DUMMYFUNCTION("IF(B101="""", """", IF(REGEXMATCH(TO_TEXT(B101), ""^(AA\d{10}|EDU\d{7}|\d+|SZSES10IS\d{9})$""), ""✅"", ""⚠️""))"),"✅")</f>
        <v>✅</v>
      </c>
      <c r="D101" s="230" t="s">
        <v>77</v>
      </c>
      <c r="E101" s="229" t="s">
        <v>684</v>
      </c>
      <c r="F101" s="229" t="s">
        <v>685</v>
      </c>
      <c r="G101" s="133">
        <v>46216.0</v>
      </c>
      <c r="H101" s="230" t="s">
        <v>189</v>
      </c>
      <c r="I101" s="61" t="str">
        <f>IF(B101="", "", IFERROR(VLOOKUP(B101, '🔧 OT'!D:N, 11, 0), IF(H101&lt;&gt;"", H101, "Sin OT")))</f>
        <v>Finalizada OK</v>
      </c>
      <c r="J101" s="61" t="str">
        <f>IFERROR(__xludf.DUMMYFUNCTION("IF(B101="""", """", IFERROR(VLOOKUP(TO_TEXT(B101), INDEX(TO_TEXT('🔧 OT'!D:G)), 4, 0), ""Sin OT""))"),"Grupo 1")</f>
        <v>Grupo 1</v>
      </c>
      <c r="K101" s="231" t="s">
        <v>718</v>
      </c>
      <c r="L101" s="232" t="s">
        <v>719</v>
      </c>
      <c r="M101" s="232" t="s">
        <v>720</v>
      </c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  <c r="AA101" s="159"/>
    </row>
    <row r="102">
      <c r="A102" s="47">
        <v>99.0</v>
      </c>
      <c r="B102" s="255" t="s">
        <v>378</v>
      </c>
      <c r="C102" s="61" t="str">
        <f>IFERROR(__xludf.DUMMYFUNCTION("IF(B102="""", """", IF(REGEXMATCH(TO_TEXT(B102), ""^(AA\d{10}|EDU\d{7}|\d+|SZSES10IS\d{9})$""), ""✅"", ""⚠️""))"),"✅")</f>
        <v>✅</v>
      </c>
      <c r="D102" s="256" t="s">
        <v>77</v>
      </c>
      <c r="E102" s="229" t="s">
        <v>721</v>
      </c>
      <c r="F102" s="257" t="s">
        <v>464</v>
      </c>
      <c r="G102" s="258">
        <v>46216.0</v>
      </c>
      <c r="H102" s="256" t="s">
        <v>79</v>
      </c>
      <c r="I102" s="61" t="str">
        <f>IF(B102="", "", IFERROR(VLOOKUP(B102, '🔧 OT'!D:N, 11, 0), IF(H102&lt;&gt;"", H102, "Sin OT")))</f>
        <v>Pendiente</v>
      </c>
      <c r="J102" s="61" t="str">
        <f>IFERROR(__xludf.DUMMYFUNCTION("IF(B102="""", """", IFERROR(VLOOKUP(TO_TEXT(B102), INDEX(TO_TEXT('🔧 OT'!D:G)), 4, 0), ""Sin OT""))"),"Grupo 1")</f>
        <v>Grupo 1</v>
      </c>
      <c r="K102" s="259" t="s">
        <v>722</v>
      </c>
      <c r="L102" s="260" t="s">
        <v>719</v>
      </c>
      <c r="M102" s="260" t="s">
        <v>723</v>
      </c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  <c r="AA102" s="159"/>
    </row>
    <row r="103">
      <c r="A103" s="47">
        <v>100.0</v>
      </c>
      <c r="B103" s="134" t="s">
        <v>381</v>
      </c>
      <c r="C103" s="61" t="str">
        <f>IFERROR(__xludf.DUMMYFUNCTION("IF(B103="""", """", IF(REGEXMATCH(TO_TEXT(B103), ""^(AA\d{10}|EDU\d{7}|\d+|SZSES10IS\d{9})$""), ""✅"", ""⚠️""))"),"✅")</f>
        <v>✅</v>
      </c>
      <c r="D103" s="230" t="s">
        <v>77</v>
      </c>
      <c r="E103" s="229" t="s">
        <v>721</v>
      </c>
      <c r="F103" s="229" t="s">
        <v>464</v>
      </c>
      <c r="G103" s="133">
        <v>46216.0</v>
      </c>
      <c r="H103" s="230" t="s">
        <v>79</v>
      </c>
      <c r="I103" s="61" t="str">
        <f>IF(B103="", "", IFERROR(VLOOKUP(B103, '🔧 OT'!D:N, 11, 0), IF(H103&lt;&gt;"", H103, "Sin OT")))</f>
        <v>Finalizada OK</v>
      </c>
      <c r="J103" s="61" t="str">
        <f>IFERROR(__xludf.DUMMYFUNCTION("IF(B103="""", """", IFERROR(VLOOKUP(TO_TEXT(B103), INDEX(TO_TEXT('🔧 OT'!D:G)), 4, 0), ""Sin OT""))"),"Grupo 1")</f>
        <v>Grupo 1</v>
      </c>
      <c r="K103" s="231" t="s">
        <v>724</v>
      </c>
      <c r="L103" s="232" t="s">
        <v>719</v>
      </c>
      <c r="M103" s="232" t="s">
        <v>725</v>
      </c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  <c r="AA103" s="159"/>
    </row>
    <row r="104">
      <c r="A104" s="130">
        <v>101.0</v>
      </c>
      <c r="B104" s="255" t="s">
        <v>384</v>
      </c>
      <c r="C104" s="61" t="str">
        <f>IFERROR(__xludf.DUMMYFUNCTION("IF(B104="""", """", IF(REGEXMATCH(TO_TEXT(B104), ""^(AA\d{10}|EDU\d{7}|\d+|SZSES10IS\d{9})$""), ""✅"", ""⚠️""))"),"✅")</f>
        <v>✅</v>
      </c>
      <c r="D104" s="256" t="s">
        <v>77</v>
      </c>
      <c r="E104" s="257" t="s">
        <v>721</v>
      </c>
      <c r="F104" s="257" t="s">
        <v>464</v>
      </c>
      <c r="G104" s="258">
        <v>46216.0</v>
      </c>
      <c r="H104" s="256" t="s">
        <v>79</v>
      </c>
      <c r="I104" s="61" t="str">
        <f>IF(B104="", "", IFERROR(VLOOKUP(B104, '🔧 OT'!D:N, 11, 0), IF(H104&lt;&gt;"", H104, "Sin OT")))</f>
        <v>Pendiente</v>
      </c>
      <c r="J104" s="61" t="str">
        <f>IFERROR(__xludf.DUMMYFUNCTION("IF(B104="""", """", IFERROR(VLOOKUP(TO_TEXT(B104), INDEX(TO_TEXT('🔧 OT'!D:G)), 4, 0), ""Sin OT""))"),"Grupo 1")</f>
        <v>Grupo 1</v>
      </c>
      <c r="K104" s="259" t="s">
        <v>726</v>
      </c>
      <c r="L104" s="260" t="s">
        <v>727</v>
      </c>
      <c r="M104" s="260" t="s">
        <v>728</v>
      </c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  <c r="AA104" s="159"/>
    </row>
    <row r="105">
      <c r="A105" s="47">
        <v>102.0</v>
      </c>
      <c r="B105" s="134" t="s">
        <v>387</v>
      </c>
      <c r="C105" s="61" t="str">
        <f>IFERROR(__xludf.DUMMYFUNCTION("IF(B105="""", """", IF(REGEXMATCH(TO_TEXT(B105), ""^(AA\d{10}|EDU\d{7}|\d+|SZSES10IS\d{9})$""), ""✅"", ""⚠️""))"),"✅")</f>
        <v>✅</v>
      </c>
      <c r="D105" s="230" t="s">
        <v>77</v>
      </c>
      <c r="E105" s="229" t="s">
        <v>721</v>
      </c>
      <c r="F105" s="229" t="s">
        <v>464</v>
      </c>
      <c r="G105" s="133">
        <v>46216.0</v>
      </c>
      <c r="H105" s="230" t="s">
        <v>79</v>
      </c>
      <c r="I105" s="61" t="str">
        <f>IF(B105="", "", IFERROR(VLOOKUP(B105, '🔧 OT'!D:N, 11, 0), IF(H105&lt;&gt;"", H105, "Sin OT")))</f>
        <v>Finalizada OK</v>
      </c>
      <c r="J105" s="61" t="str">
        <f>IFERROR(__xludf.DUMMYFUNCTION("IF(B105="""", """", IFERROR(VLOOKUP(TO_TEXT(B105), INDEX(TO_TEXT('🔧 OT'!D:G)), 4, 0), ""Sin OT""))"),"Grupo 1")</f>
        <v>Grupo 1</v>
      </c>
      <c r="K105" s="231" t="s">
        <v>729</v>
      </c>
      <c r="L105" s="232" t="s">
        <v>719</v>
      </c>
      <c r="M105" s="232" t="s">
        <v>728</v>
      </c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  <c r="AA105" s="159"/>
    </row>
    <row r="106">
      <c r="A106" s="130">
        <v>103.0</v>
      </c>
      <c r="B106" s="255" t="s">
        <v>390</v>
      </c>
      <c r="C106" s="61" t="str">
        <f>IFERROR(__xludf.DUMMYFUNCTION("IF(B106="""", """", IF(REGEXMATCH(TO_TEXT(B106), ""^(AA\d{10}|EDU\d{7}|\d+|SZSES10IS\d{9})$""), ""✅"", ""⚠️""))"),"✅")</f>
        <v>✅</v>
      </c>
      <c r="D106" s="256" t="s">
        <v>77</v>
      </c>
      <c r="E106" s="257" t="s">
        <v>721</v>
      </c>
      <c r="F106" s="257" t="s">
        <v>464</v>
      </c>
      <c r="G106" s="264">
        <v>46217.0</v>
      </c>
      <c r="H106" s="256" t="s">
        <v>79</v>
      </c>
      <c r="I106" s="61" t="str">
        <f>IF(B106="", "", IFERROR(VLOOKUP(B106, '🔧 OT'!D:N, 11, 0), IF(H106&lt;&gt;"", H106, "Sin OT")))</f>
        <v>Finalizada OK</v>
      </c>
      <c r="J106" s="61" t="str">
        <f>IFERROR(__xludf.DUMMYFUNCTION("IF(B106="""", """", IFERROR(VLOOKUP(TO_TEXT(B106), INDEX(TO_TEXT('🔧 OT'!D:G)), 4, 0), ""Sin OT""))"),"Grupo 1")</f>
        <v>Grupo 1</v>
      </c>
      <c r="K106" s="259" t="s">
        <v>730</v>
      </c>
      <c r="L106" s="260" t="s">
        <v>690</v>
      </c>
      <c r="M106" s="261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  <c r="AA106" s="159"/>
    </row>
    <row r="107">
      <c r="A107" s="47">
        <v>104.0</v>
      </c>
      <c r="B107" s="134" t="s">
        <v>394</v>
      </c>
      <c r="C107" s="61" t="str">
        <f>IFERROR(__xludf.DUMMYFUNCTION("IF(B107="""", """", IF(REGEXMATCH(TO_TEXT(B107), ""^(AA\d{10}|EDU\d{7}|\d+|SZSES10IS\d{9})$""), ""✅"", ""⚠️""))"),"✅")</f>
        <v>✅</v>
      </c>
      <c r="D107" s="230" t="s">
        <v>77</v>
      </c>
      <c r="E107" s="229" t="s">
        <v>721</v>
      </c>
      <c r="F107" s="229" t="s">
        <v>464</v>
      </c>
      <c r="G107" s="133">
        <v>46217.0</v>
      </c>
      <c r="H107" s="230" t="s">
        <v>79</v>
      </c>
      <c r="I107" s="61" t="str">
        <f>IF(B107="", "", IFERROR(VLOOKUP(B107, '🔧 OT'!D:N, 11, 0), IF(H107&lt;&gt;"", H107, "Sin OT")))</f>
        <v>Finalizada OK</v>
      </c>
      <c r="J107" s="61" t="str">
        <f>IFERROR(__xludf.DUMMYFUNCTION("IF(B107="""", """", IFERROR(VLOOKUP(TO_TEXT(B107), INDEX(TO_TEXT('🔧 OT'!D:G)), 4, 0), ""Sin OT""))"),"Grupo 1")</f>
        <v>Grupo 1</v>
      </c>
      <c r="K107" s="231" t="s">
        <v>731</v>
      </c>
      <c r="L107" s="232" t="s">
        <v>732</v>
      </c>
      <c r="M107" s="232" t="s">
        <v>733</v>
      </c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  <c r="AA107" s="159"/>
    </row>
    <row r="108">
      <c r="A108" s="130">
        <v>105.0</v>
      </c>
      <c r="B108" s="255" t="s">
        <v>397</v>
      </c>
      <c r="C108" s="61" t="str">
        <f>IFERROR(__xludf.DUMMYFUNCTION("IF(B108="""", """", IF(REGEXMATCH(TO_TEXT(B108), ""^(AA\d{10}|EDU\d{7}|\d+|SZSES10IS\d{9})$""), ""✅"", ""⚠️""))"),"✅")</f>
        <v>✅</v>
      </c>
      <c r="D108" s="256" t="s">
        <v>77</v>
      </c>
      <c r="E108" s="257" t="s">
        <v>721</v>
      </c>
      <c r="F108" s="257" t="s">
        <v>464</v>
      </c>
      <c r="G108" s="258">
        <v>46217.0</v>
      </c>
      <c r="H108" s="256" t="s">
        <v>79</v>
      </c>
      <c r="I108" s="61" t="str">
        <f>IF(B108="", "", IFERROR(VLOOKUP(B108, '🔧 OT'!D:N, 11, 0), IF(H108&lt;&gt;"", H108, "Sin OT")))</f>
        <v>Finalizada OK</v>
      </c>
      <c r="J108" s="61" t="str">
        <f>IFERROR(__xludf.DUMMYFUNCTION("IF(B108="""", """", IFERROR(VLOOKUP(TO_TEXT(B108), INDEX(TO_TEXT('🔧 OT'!D:G)), 4, 0), ""Sin OT""))"),"Grupo 1")</f>
        <v>Grupo 1</v>
      </c>
      <c r="K108" s="259" t="s">
        <v>734</v>
      </c>
      <c r="L108" s="260" t="s">
        <v>732</v>
      </c>
      <c r="M108" s="260" t="s">
        <v>733</v>
      </c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</row>
    <row r="109">
      <c r="A109" s="47">
        <v>106.0</v>
      </c>
      <c r="B109" s="134" t="s">
        <v>398</v>
      </c>
      <c r="C109" s="61" t="str">
        <f>IFERROR(__xludf.DUMMYFUNCTION("IF(B109="""", """", IF(REGEXMATCH(TO_TEXT(B109), ""^(AA\d{10}|EDU\d{7}|\d+|SZSES10IS\d{9})$""), ""✅"", ""⚠️""))"),"✅")</f>
        <v>✅</v>
      </c>
      <c r="D109" s="230" t="s">
        <v>77</v>
      </c>
      <c r="E109" s="229" t="s">
        <v>721</v>
      </c>
      <c r="F109" s="229" t="s">
        <v>464</v>
      </c>
      <c r="G109" s="133">
        <v>46217.0</v>
      </c>
      <c r="H109" s="230" t="s">
        <v>79</v>
      </c>
      <c r="I109" s="61" t="str">
        <f>IF(B109="", "", IFERROR(VLOOKUP(B109, '🔧 OT'!D:N, 11, 0), IF(H109&lt;&gt;"", H109, "Sin OT")))</f>
        <v>Finalizada OK</v>
      </c>
      <c r="J109" s="61" t="str">
        <f>IFERROR(__xludf.DUMMYFUNCTION("IF(B109="""", """", IFERROR(VLOOKUP(TO_TEXT(B109), INDEX(TO_TEXT('🔧 OT'!D:G)), 4, 0), ""Sin OT""))"),"Grupo 1")</f>
        <v>Grupo 1</v>
      </c>
      <c r="K109" s="231" t="s">
        <v>735</v>
      </c>
      <c r="L109" s="232" t="s">
        <v>732</v>
      </c>
      <c r="M109" s="232" t="s">
        <v>733</v>
      </c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  <c r="AA109" s="159"/>
    </row>
    <row r="110">
      <c r="A110" s="130">
        <v>107.0</v>
      </c>
      <c r="B110" s="255" t="s">
        <v>399</v>
      </c>
      <c r="C110" s="61" t="str">
        <f>IFERROR(__xludf.DUMMYFUNCTION("IF(B110="""", """", IF(REGEXMATCH(TO_TEXT(B110), ""^(AA\d{10}|EDU\d{7}|\d+|SZSES10IS\d{9})$""), ""✅"", ""⚠️""))"),"✅")</f>
        <v>✅</v>
      </c>
      <c r="D110" s="256" t="s">
        <v>400</v>
      </c>
      <c r="E110" s="257" t="s">
        <v>736</v>
      </c>
      <c r="F110" s="257" t="s">
        <v>590</v>
      </c>
      <c r="G110" s="258">
        <v>46218.0</v>
      </c>
      <c r="H110" s="256" t="s">
        <v>79</v>
      </c>
      <c r="I110" s="61" t="str">
        <f>IF(B110="", "", IFERROR(VLOOKUP(B110, '🔧 OT'!D:N, 11, 0), IF(H110&lt;&gt;"", H110, "Sin OT")))</f>
        <v>Finalizada OK</v>
      </c>
      <c r="J110" s="61" t="str">
        <f>IFERROR(__xludf.DUMMYFUNCTION("IF(B110="""", """", IFERROR(VLOOKUP(TO_TEXT(B110), INDEX(TO_TEXT('🔧 OT'!D:G)), 4, 0), ""Sin OT""))"),"Grupo 1")</f>
        <v>Grupo 1</v>
      </c>
      <c r="K110" s="259" t="s">
        <v>737</v>
      </c>
      <c r="L110" s="260" t="s">
        <v>625</v>
      </c>
      <c r="M110" s="260" t="s">
        <v>733</v>
      </c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  <c r="AA110" s="159"/>
    </row>
    <row r="111">
      <c r="A111" s="47">
        <v>108.0</v>
      </c>
      <c r="B111" s="134" t="s">
        <v>401</v>
      </c>
      <c r="C111" s="61" t="str">
        <f>IFERROR(__xludf.DUMMYFUNCTION("IF(B111="""", """", IF(REGEXMATCH(TO_TEXT(B111), ""^(AA\d{10}|EDU\d{7}|\d+|SZSES10IS\d{9})$""), ""✅"", ""⚠️""))"),"✅")</f>
        <v>✅</v>
      </c>
      <c r="D111" s="230" t="s">
        <v>400</v>
      </c>
      <c r="E111" s="229" t="s">
        <v>736</v>
      </c>
      <c r="F111" s="229" t="s">
        <v>590</v>
      </c>
      <c r="G111" s="133">
        <v>46218.0</v>
      </c>
      <c r="H111" s="230" t="s">
        <v>109</v>
      </c>
      <c r="I111" s="61" t="str">
        <f>IF(B111="", "", IFERROR(VLOOKUP(B111, '🔧 OT'!D:N, 11, 0), IF(H111&lt;&gt;"", H111, "Sin OT")))</f>
        <v>Finalizada OK</v>
      </c>
      <c r="J111" s="61" t="str">
        <f>IFERROR(__xludf.DUMMYFUNCTION("IF(B111="""", """", IFERROR(VLOOKUP(TO_TEXT(B111), INDEX(TO_TEXT('🔧 OT'!D:G)), 4, 0), ""Sin OT""))"),"Grupo 1")</f>
        <v>Grupo 1</v>
      </c>
      <c r="K111" s="231" t="s">
        <v>738</v>
      </c>
      <c r="L111" s="232" t="s">
        <v>739</v>
      </c>
      <c r="M111" s="234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  <c r="AA111" s="159"/>
    </row>
    <row r="112">
      <c r="A112" s="130">
        <v>109.0</v>
      </c>
      <c r="B112" s="255" t="s">
        <v>404</v>
      </c>
      <c r="C112" s="61" t="str">
        <f>IFERROR(__xludf.DUMMYFUNCTION("IF(B112="""", """", IF(REGEXMATCH(TO_TEXT(B112), ""^(AA\d{10}|EDU\d{7}|\d+|SZSES10IS\d{9})$""), ""✅"", ""⚠️""))"),"✅")</f>
        <v>✅</v>
      </c>
      <c r="D112" s="256" t="s">
        <v>77</v>
      </c>
      <c r="E112" s="257" t="s">
        <v>721</v>
      </c>
      <c r="F112" s="257" t="s">
        <v>464</v>
      </c>
      <c r="G112" s="258">
        <v>46218.0</v>
      </c>
      <c r="H112" s="256" t="s">
        <v>79</v>
      </c>
      <c r="I112" s="61" t="str">
        <f>IF(B112="", "", IFERROR(VLOOKUP(B112, '🔧 OT'!D:N, 11, 0), IF(H112&lt;&gt;"", H112, "Sin OT")))</f>
        <v>Finalizada OK</v>
      </c>
      <c r="J112" s="61" t="str">
        <f>IFERROR(__xludf.DUMMYFUNCTION("IF(B112="""", """", IFERROR(VLOOKUP(TO_TEXT(B112), INDEX(TO_TEXT('🔧 OT'!D:G)), 4, 0), ""Sin OT""))"),"Grupo 1")</f>
        <v>Grupo 1</v>
      </c>
      <c r="K112" s="259" t="s">
        <v>740</v>
      </c>
      <c r="L112" s="260" t="s">
        <v>741</v>
      </c>
      <c r="M112" s="260" t="s">
        <v>733</v>
      </c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  <c r="AA112" s="159"/>
    </row>
    <row r="113">
      <c r="A113" s="47">
        <v>110.0</v>
      </c>
      <c r="B113" s="134" t="s">
        <v>406</v>
      </c>
      <c r="C113" s="61" t="str">
        <f>IFERROR(__xludf.DUMMYFUNCTION("IF(B113="""", """", IF(REGEXMATCH(TO_TEXT(B113), ""^(AA\d{10}|EDU\d{7}|\d+|SZSES10IS\d{9})$""), ""✅"", ""⚠️""))"),"✅")</f>
        <v>✅</v>
      </c>
      <c r="D113" s="230" t="s">
        <v>400</v>
      </c>
      <c r="E113" s="229" t="s">
        <v>736</v>
      </c>
      <c r="F113" s="229" t="s">
        <v>590</v>
      </c>
      <c r="G113" s="133">
        <v>46218.0</v>
      </c>
      <c r="H113" s="230" t="s">
        <v>79</v>
      </c>
      <c r="I113" s="61" t="str">
        <f>IF(B113="", "", IFERROR(VLOOKUP(B113, '🔧 OT'!D:N, 11, 0), IF(H113&lt;&gt;"", H113, "Sin OT")))</f>
        <v>Finalizada OK</v>
      </c>
      <c r="J113" s="61" t="str">
        <f>IFERROR(__xludf.DUMMYFUNCTION("IF(B113="""", """", IFERROR(VLOOKUP(TO_TEXT(B113), INDEX(TO_TEXT('🔧 OT'!D:G)), 4, 0), ""Sin OT""))"),"Grupo 1")</f>
        <v>Grupo 1</v>
      </c>
      <c r="K113" s="231" t="s">
        <v>742</v>
      </c>
      <c r="L113" s="232" t="s">
        <v>743</v>
      </c>
      <c r="M113" s="234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  <c r="AA113" s="159"/>
    </row>
    <row r="114">
      <c r="A114" s="130">
        <v>111.0</v>
      </c>
      <c r="B114" s="255" t="s">
        <v>408</v>
      </c>
      <c r="C114" s="61" t="str">
        <f>IFERROR(__xludf.DUMMYFUNCTION("IF(B114="""", """", IF(REGEXMATCH(TO_TEXT(B114), ""^(AA\d{10}|EDU\d{7}|\d+|SZSES10IS\d{9})$""), ""✅"", ""⚠️""))"),"✅")</f>
        <v>✅</v>
      </c>
      <c r="D114" s="256" t="s">
        <v>400</v>
      </c>
      <c r="E114" s="257" t="s">
        <v>736</v>
      </c>
      <c r="F114" s="257" t="s">
        <v>590</v>
      </c>
      <c r="G114" s="258">
        <v>46218.0</v>
      </c>
      <c r="H114" s="256" t="s">
        <v>79</v>
      </c>
      <c r="I114" s="61" t="str">
        <f>IF(B114="", "", IFERROR(VLOOKUP(B114, '🔧 OT'!D:N, 11, 0), IF(H114&lt;&gt;"", H114, "Sin OT")))</f>
        <v>Finalizada OK</v>
      </c>
      <c r="J114" s="61" t="str">
        <f>IFERROR(__xludf.DUMMYFUNCTION("IF(B114="""", """", IFERROR(VLOOKUP(TO_TEXT(B114), INDEX(TO_TEXT('🔧 OT'!D:G)), 4, 0), ""Sin OT""))"),"Grupo 1")</f>
        <v>Grupo 1</v>
      </c>
      <c r="K114" s="259" t="s">
        <v>744</v>
      </c>
      <c r="L114" s="260" t="s">
        <v>743</v>
      </c>
      <c r="M114" s="261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  <c r="AA114" s="159"/>
    </row>
    <row r="115">
      <c r="A115" s="47">
        <v>112.0</v>
      </c>
      <c r="B115" s="134" t="s">
        <v>410</v>
      </c>
      <c r="C115" s="61" t="str">
        <f>IFERROR(__xludf.DUMMYFUNCTION("IF(B115="""", """", IF(REGEXMATCH(TO_TEXT(B115), ""^(AA\d{10}|EDU\d{7}|\d+|SZSES10IS\d{9})$""), ""✅"", ""⚠️""))"),"✅")</f>
        <v>✅</v>
      </c>
      <c r="D115" s="230" t="s">
        <v>400</v>
      </c>
      <c r="E115" s="229" t="s">
        <v>736</v>
      </c>
      <c r="F115" s="229" t="s">
        <v>590</v>
      </c>
      <c r="G115" s="133">
        <v>46218.0</v>
      </c>
      <c r="H115" s="230" t="s">
        <v>79</v>
      </c>
      <c r="I115" s="61" t="str">
        <f>IF(B115="", "", IFERROR(VLOOKUP(B115, '🔧 OT'!D:N, 11, 0), IF(H115&lt;&gt;"", H115, "Sin OT")))</f>
        <v>Finalizada OK</v>
      </c>
      <c r="J115" s="61" t="str">
        <f>IFERROR(__xludf.DUMMYFUNCTION("IF(B115="""", """", IFERROR(VLOOKUP(TO_TEXT(B115), INDEX(TO_TEXT('🔧 OT'!D:G)), 4, 0), ""Sin OT""))"),"Grupo 1")</f>
        <v>Grupo 1</v>
      </c>
      <c r="K115" s="231" t="s">
        <v>745</v>
      </c>
      <c r="L115" s="232" t="s">
        <v>743</v>
      </c>
      <c r="M115" s="234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  <c r="AA115" s="159"/>
    </row>
    <row r="116">
      <c r="A116" s="130">
        <v>113.0</v>
      </c>
      <c r="B116" s="255" t="s">
        <v>411</v>
      </c>
      <c r="C116" s="61" t="str">
        <f>IFERROR(__xludf.DUMMYFUNCTION("IF(B116="""", """", IF(REGEXMATCH(TO_TEXT(B116), ""^(AA\d{10}|EDU\d{7}|\d+|SZSES10IS\d{9})$""), ""✅"", ""⚠️""))"),"✅")</f>
        <v>✅</v>
      </c>
      <c r="D116" s="256" t="s">
        <v>77</v>
      </c>
      <c r="E116" s="257" t="s">
        <v>746</v>
      </c>
      <c r="F116" s="257" t="s">
        <v>460</v>
      </c>
      <c r="G116" s="264">
        <v>46218.0</v>
      </c>
      <c r="H116" s="256" t="s">
        <v>79</v>
      </c>
      <c r="I116" s="61" t="str">
        <f>IF(B116="", "", IFERROR(VLOOKUP(B116, '🔧 OT'!D:N, 11, 0), IF(H116&lt;&gt;"", H116, "Sin OT")))</f>
        <v>Finalizada OK</v>
      </c>
      <c r="J116" s="61" t="str">
        <f>IFERROR(__xludf.DUMMYFUNCTION("IF(B116="""", """", IFERROR(VLOOKUP(TO_TEXT(B116), INDEX(TO_TEXT('🔧 OT'!D:G)), 4, 0), ""Sin OT""))"),"Grupo 1")</f>
        <v>Grupo 1</v>
      </c>
      <c r="K116" s="259" t="s">
        <v>747</v>
      </c>
      <c r="L116" s="261"/>
      <c r="M116" s="260" t="s">
        <v>748</v>
      </c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</row>
    <row r="117">
      <c r="A117" s="47">
        <v>114.0</v>
      </c>
      <c r="B117" s="134" t="s">
        <v>414</v>
      </c>
      <c r="C117" s="61" t="str">
        <f>IFERROR(__xludf.DUMMYFUNCTION("IF(B117="""", """", IF(REGEXMATCH(TO_TEXT(B117), ""^(AA\d{10}|EDU\d{7}|\d+|SZSES10IS\d{9})$""), ""✅"", ""⚠️""))"),"✅")</f>
        <v>✅</v>
      </c>
      <c r="D117" s="230" t="s">
        <v>77</v>
      </c>
      <c r="E117" s="229" t="s">
        <v>746</v>
      </c>
      <c r="F117" s="229" t="s">
        <v>460</v>
      </c>
      <c r="G117" s="133">
        <v>46218.0</v>
      </c>
      <c r="H117" s="230" t="s">
        <v>79</v>
      </c>
      <c r="I117" s="61" t="str">
        <f>IF(B117="", "", IFERROR(VLOOKUP(B117, '🔧 OT'!D:N, 11, 0), IF(H117&lt;&gt;"", H117, "Sin OT")))</f>
        <v>Finalizada OK</v>
      </c>
      <c r="J117" s="61" t="str">
        <f>IFERROR(__xludf.DUMMYFUNCTION("IF(B117="""", """", IFERROR(VLOOKUP(TO_TEXT(B117), INDEX(TO_TEXT('🔧 OT'!D:G)), 4, 0), ""Sin OT""))"),"Grupo 1")</f>
        <v>Grupo 1</v>
      </c>
      <c r="K117" s="231" t="s">
        <v>749</v>
      </c>
      <c r="L117" s="232" t="s">
        <v>750</v>
      </c>
      <c r="M117" s="232" t="s">
        <v>748</v>
      </c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</row>
    <row r="118">
      <c r="A118" s="130">
        <v>115.0</v>
      </c>
      <c r="B118" s="255" t="s">
        <v>415</v>
      </c>
      <c r="C118" s="61" t="str">
        <f>IFERROR(__xludf.DUMMYFUNCTION("IF(B118="""", """", IF(REGEXMATCH(TO_TEXT(B118), ""^(AA\d{10}|EDU\d{7}|\d+|SZSES10IS\d{9})$""), ""✅"", ""⚠️""))"),"✅")</f>
        <v>✅</v>
      </c>
      <c r="D118" s="256" t="s">
        <v>77</v>
      </c>
      <c r="E118" s="257" t="s">
        <v>746</v>
      </c>
      <c r="F118" s="257" t="s">
        <v>460</v>
      </c>
      <c r="G118" s="258">
        <v>46219.0</v>
      </c>
      <c r="H118" s="256" t="s">
        <v>79</v>
      </c>
      <c r="I118" s="61" t="str">
        <f>IF(B118="", "", IFERROR(VLOOKUP(B118, '🔧 OT'!D:N, 11, 0), IF(H118&lt;&gt;"", H118, "Sin OT")))</f>
        <v>Finalizada OK</v>
      </c>
      <c r="J118" s="61" t="str">
        <f>IFERROR(__xludf.DUMMYFUNCTION("IF(B118="""", """", IFERROR(VLOOKUP(TO_TEXT(B118), INDEX(TO_TEXT('🔧 OT'!D:G)), 4, 0), ""Sin OT""))"),"Grupo 2")</f>
        <v>Grupo 2</v>
      </c>
      <c r="K118" s="259" t="s">
        <v>751</v>
      </c>
      <c r="L118" s="261"/>
      <c r="M118" s="261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  <c r="AA118" s="159"/>
    </row>
    <row r="119">
      <c r="A119" s="47">
        <v>116.0</v>
      </c>
      <c r="B119" s="134" t="s">
        <v>416</v>
      </c>
      <c r="C119" s="61" t="str">
        <f>IFERROR(__xludf.DUMMYFUNCTION("IF(B119="""", """", IF(REGEXMATCH(TO_TEXT(B119), ""^(AA\d{10}|EDU\d{7}|\d+|SZSES10IS\d{9})$""), ""✅"", ""⚠️""))"),"✅")</f>
        <v>✅</v>
      </c>
      <c r="D119" s="230" t="s">
        <v>77</v>
      </c>
      <c r="E119" s="229" t="s">
        <v>746</v>
      </c>
      <c r="F119" s="229" t="s">
        <v>460</v>
      </c>
      <c r="G119" s="133">
        <v>46219.0</v>
      </c>
      <c r="H119" s="230" t="s">
        <v>79</v>
      </c>
      <c r="I119" s="61" t="str">
        <f>IF(B119="", "", IFERROR(VLOOKUP(B119, '🔧 OT'!D:N, 11, 0), IF(H119&lt;&gt;"", H119, "Sin OT")))</f>
        <v>Finalizada OK</v>
      </c>
      <c r="J119" s="61" t="str">
        <f>IFERROR(__xludf.DUMMYFUNCTION("IF(B119="""", """", IFERROR(VLOOKUP(TO_TEXT(B119), INDEX(TO_TEXT('🔧 OT'!D:G)), 4, 0), ""Sin OT""))"),"Grupo 2")</f>
        <v>Grupo 2</v>
      </c>
      <c r="K119" s="231" t="s">
        <v>752</v>
      </c>
      <c r="L119" s="232" t="s">
        <v>753</v>
      </c>
      <c r="M119" s="234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  <c r="AA119" s="159"/>
    </row>
    <row r="120">
      <c r="A120" s="130">
        <v>117.0</v>
      </c>
      <c r="B120" s="255" t="s">
        <v>417</v>
      </c>
      <c r="C120" s="61" t="str">
        <f>IFERROR(__xludf.DUMMYFUNCTION("IF(B120="""", """", IF(REGEXMATCH(TO_TEXT(B120), ""^(AA\d{10}|EDU\d{7}|\d+|SZSES10IS\d{9})$""), ""✅"", ""⚠️""))"),"✅")</f>
        <v>✅</v>
      </c>
      <c r="D120" s="256" t="s">
        <v>77</v>
      </c>
      <c r="E120" s="257" t="s">
        <v>746</v>
      </c>
      <c r="F120" s="257" t="s">
        <v>460</v>
      </c>
      <c r="G120" s="258">
        <v>46219.0</v>
      </c>
      <c r="H120" s="256" t="s">
        <v>79</v>
      </c>
      <c r="I120" s="61" t="str">
        <f>IF(B120="", "", IFERROR(VLOOKUP(B120, '🔧 OT'!D:N, 11, 0), IF(H120&lt;&gt;"", H120, "Sin OT")))</f>
        <v>Finalizada OK</v>
      </c>
      <c r="J120" s="61" t="str">
        <f>IFERROR(__xludf.DUMMYFUNCTION("IF(B120="""", """", IFERROR(VLOOKUP(TO_TEXT(B120), INDEX(TO_TEXT('🔧 OT'!D:G)), 4, 0), ""Sin OT""))"),"Grupo 2")</f>
        <v>Grupo 2</v>
      </c>
      <c r="K120" s="259" t="s">
        <v>754</v>
      </c>
      <c r="L120" s="260" t="s">
        <v>755</v>
      </c>
      <c r="M120" s="261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  <c r="AA120" s="159"/>
    </row>
    <row r="121">
      <c r="A121" s="47">
        <v>118.0</v>
      </c>
      <c r="B121" s="134" t="s">
        <v>419</v>
      </c>
      <c r="C121" s="61" t="str">
        <f>IFERROR(__xludf.DUMMYFUNCTION("IF(B121="""", """", IF(REGEXMATCH(TO_TEXT(B121), ""^(AA\d{10}|EDU\d{7}|\d+|SZSES10IS\d{9})$""), ""✅"", ""⚠️""))"),"✅")</f>
        <v>✅</v>
      </c>
      <c r="D121" s="230" t="s">
        <v>77</v>
      </c>
      <c r="E121" s="229" t="s">
        <v>746</v>
      </c>
      <c r="F121" s="229" t="s">
        <v>460</v>
      </c>
      <c r="G121" s="133">
        <v>46219.0</v>
      </c>
      <c r="H121" s="230" t="s">
        <v>79</v>
      </c>
      <c r="I121" s="61" t="str">
        <f>IF(B121="", "", IFERROR(VLOOKUP(B121, '🔧 OT'!D:N, 11, 0), IF(H121&lt;&gt;"", H121, "Sin OT")))</f>
        <v>Finalizada OK</v>
      </c>
      <c r="J121" s="61" t="str">
        <f>IFERROR(__xludf.DUMMYFUNCTION("IF(B121="""", """", IFERROR(VLOOKUP(TO_TEXT(B121), INDEX(TO_TEXT('🔧 OT'!D:G)), 4, 0), ""Sin OT""))"),"Grupo 2")</f>
        <v>Grupo 2</v>
      </c>
      <c r="K121" s="231" t="s">
        <v>756</v>
      </c>
      <c r="L121" s="232" t="s">
        <v>755</v>
      </c>
      <c r="M121" s="234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  <c r="AA121" s="159"/>
    </row>
    <row r="122">
      <c r="A122" s="130">
        <v>119.0</v>
      </c>
      <c r="B122" s="255" t="s">
        <v>420</v>
      </c>
      <c r="C122" s="61" t="str">
        <f>IFERROR(__xludf.DUMMYFUNCTION("IF(B122="""", """", IF(REGEXMATCH(TO_TEXT(B122), ""^(AA\d{10}|EDU\d{7}|\d+|SZSES10IS\d{9})$""), ""✅"", ""⚠️""))"),"✅")</f>
        <v>✅</v>
      </c>
      <c r="D122" s="256" t="s">
        <v>77</v>
      </c>
      <c r="E122" s="257" t="s">
        <v>746</v>
      </c>
      <c r="F122" s="257" t="s">
        <v>460</v>
      </c>
      <c r="G122" s="264">
        <v>46219.0</v>
      </c>
      <c r="H122" s="256" t="s">
        <v>79</v>
      </c>
      <c r="I122" s="61" t="str">
        <f>IF(B122="", "", IFERROR(VLOOKUP(B122, '🔧 OT'!D:N, 11, 0), IF(H122&lt;&gt;"", H122, "Sin OT")))</f>
        <v>Finalizada OK</v>
      </c>
      <c r="J122" s="61" t="str">
        <f>IFERROR(__xludf.DUMMYFUNCTION("IF(B122="""", """", IFERROR(VLOOKUP(TO_TEXT(B122), INDEX(TO_TEXT('🔧 OT'!D:G)), 4, 0), ""Sin OT""))"),"Grupo 2")</f>
        <v>Grupo 2</v>
      </c>
      <c r="K122" s="259" t="s">
        <v>757</v>
      </c>
      <c r="L122" s="261"/>
      <c r="M122" s="261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  <c r="AA122" s="159"/>
    </row>
    <row r="123">
      <c r="A123" s="47">
        <v>120.0</v>
      </c>
      <c r="B123" s="134" t="s">
        <v>421</v>
      </c>
      <c r="C123" s="61" t="str">
        <f>IFERROR(__xludf.DUMMYFUNCTION("IF(B123="""", """", IF(REGEXMATCH(TO_TEXT(B123), ""^(AA\d{10}|EDU\d{7}|\d+|SZSES10IS\d{9})$""), ""✅"", ""⚠️""))"),"✅")</f>
        <v>✅</v>
      </c>
      <c r="D123" s="230" t="s">
        <v>77</v>
      </c>
      <c r="E123" s="229" t="s">
        <v>746</v>
      </c>
      <c r="F123" s="229" t="s">
        <v>460</v>
      </c>
      <c r="G123" s="133">
        <v>46219.0</v>
      </c>
      <c r="H123" s="230" t="s">
        <v>79</v>
      </c>
      <c r="I123" s="61" t="str">
        <f>IF(B123="", "", IFERROR(VLOOKUP(B123, '🔧 OT'!D:N, 11, 0), IF(H123&lt;&gt;"", H123, "Sin OT")))</f>
        <v>Derivada</v>
      </c>
      <c r="J123" s="61" t="str">
        <f>IFERROR(__xludf.DUMMYFUNCTION("IF(B123="""", """", IFERROR(VLOOKUP(TO_TEXT(B123), INDEX(TO_TEXT('🔧 OT'!D:G)), 4, 0), ""Sin OT""))"),"Grupo 2")</f>
        <v>Grupo 2</v>
      </c>
      <c r="K123" s="231" t="s">
        <v>758</v>
      </c>
      <c r="L123" s="234"/>
      <c r="M123" s="234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  <c r="AA123" s="159"/>
    </row>
    <row r="124">
      <c r="A124" s="130">
        <v>121.0</v>
      </c>
      <c r="B124" s="255" t="s">
        <v>423</v>
      </c>
      <c r="C124" s="61" t="str">
        <f>IFERROR(__xludf.DUMMYFUNCTION("IF(B124="""", """", IF(REGEXMATCH(TO_TEXT(B124), ""^(AA\d{10}|EDU\d{7}|\d+|SZSES10IS\d{9})$""), ""✅"", ""⚠️""))"),"✅")</f>
        <v>✅</v>
      </c>
      <c r="D124" s="256" t="s">
        <v>77</v>
      </c>
      <c r="E124" s="257" t="s">
        <v>746</v>
      </c>
      <c r="F124" s="257" t="s">
        <v>460</v>
      </c>
      <c r="G124" s="264">
        <v>46219.0</v>
      </c>
      <c r="H124" s="256" t="s">
        <v>79</v>
      </c>
      <c r="I124" s="61" t="str">
        <f>IF(B124="", "", IFERROR(VLOOKUP(B124, '🔧 OT'!D:N, 11, 0), IF(H124&lt;&gt;"", H124, "Sin OT")))</f>
        <v>Finalizada OK</v>
      </c>
      <c r="J124" s="61" t="str">
        <f>IFERROR(__xludf.DUMMYFUNCTION("IF(B124="""", """", IFERROR(VLOOKUP(TO_TEXT(B124), INDEX(TO_TEXT('🔧 OT'!D:G)), 4, 0), ""Sin OT""))"),"Grupo 2")</f>
        <v>Grupo 2</v>
      </c>
      <c r="K124" s="259" t="s">
        <v>759</v>
      </c>
      <c r="L124" s="261"/>
      <c r="M124" s="261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  <c r="AA124" s="159"/>
    </row>
    <row r="125">
      <c r="A125" s="47">
        <v>122.0</v>
      </c>
      <c r="B125" s="134" t="s">
        <v>424</v>
      </c>
      <c r="C125" s="61" t="str">
        <f>IFERROR(__xludf.DUMMYFUNCTION("IF(B125="""", """", IF(REGEXMATCH(TO_TEXT(B125), ""^(AA\d{10}|EDU\d{7}|\d+|SZSES10IS\d{9})$""), ""✅"", ""⚠️""))"),"✅")</f>
        <v>✅</v>
      </c>
      <c r="D125" s="230" t="s">
        <v>77</v>
      </c>
      <c r="E125" s="229" t="s">
        <v>746</v>
      </c>
      <c r="F125" s="229" t="s">
        <v>460</v>
      </c>
      <c r="G125" s="265">
        <v>46219.0</v>
      </c>
      <c r="H125" s="230" t="s">
        <v>79</v>
      </c>
      <c r="I125" s="61" t="str">
        <f>IF(B125="", "", IFERROR(VLOOKUP(B125, '🔧 OT'!D:N, 11, 0), IF(H125&lt;&gt;"", H125, "Sin OT")))</f>
        <v>Finalizada OK</v>
      </c>
      <c r="J125" s="61" t="str">
        <f>IFERROR(__xludf.DUMMYFUNCTION("IF(B125="""", """", IFERROR(VLOOKUP(TO_TEXT(B125), INDEX(TO_TEXT('🔧 OT'!D:G)), 4, 0), ""Sin OT""))"),"Grupo 2")</f>
        <v>Grupo 2</v>
      </c>
      <c r="K125" s="231" t="s">
        <v>760</v>
      </c>
      <c r="L125" s="234"/>
      <c r="M125" s="234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  <c r="AA125" s="159"/>
    </row>
    <row r="126">
      <c r="A126" s="130">
        <v>123.0</v>
      </c>
      <c r="B126" s="255" t="s">
        <v>426</v>
      </c>
      <c r="C126" s="61" t="str">
        <f>IFERROR(__xludf.DUMMYFUNCTION("IF(B126="""", """", IF(REGEXMATCH(TO_TEXT(B126), ""^(AA\d{10}|EDU\d{7}|\d+|SZSES10IS\d{9})$""), ""✅"", ""⚠️""))"),"✅")</f>
        <v>✅</v>
      </c>
      <c r="D126" s="256" t="s">
        <v>77</v>
      </c>
      <c r="E126" s="257" t="s">
        <v>746</v>
      </c>
      <c r="F126" s="257" t="s">
        <v>460</v>
      </c>
      <c r="G126" s="258">
        <v>46219.0</v>
      </c>
      <c r="H126" s="256" t="s">
        <v>79</v>
      </c>
      <c r="I126" s="61" t="str">
        <f>IF(B126="", "", IFERROR(VLOOKUP(B126, '🔧 OT'!D:N, 11, 0), IF(H126&lt;&gt;"", H126, "Sin OT")))</f>
        <v>Finalizada OK</v>
      </c>
      <c r="J126" s="61" t="str">
        <f>IFERROR(__xludf.DUMMYFUNCTION("IF(B126="""", """", IFERROR(VLOOKUP(TO_TEXT(B126), INDEX(TO_TEXT('🔧 OT'!D:G)), 4, 0), ""Sin OT""))"),"Grupo 2")</f>
        <v>Grupo 2</v>
      </c>
      <c r="K126" s="259" t="s">
        <v>761</v>
      </c>
      <c r="L126" s="261"/>
      <c r="M126" s="261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  <c r="AA126" s="159"/>
    </row>
    <row r="127">
      <c r="A127" s="47">
        <v>124.0</v>
      </c>
      <c r="B127" s="134" t="s">
        <v>428</v>
      </c>
      <c r="C127" s="61" t="str">
        <f>IFERROR(__xludf.DUMMYFUNCTION("IF(B127="""", """", IF(REGEXMATCH(TO_TEXT(B127), ""^(AA\d{10}|EDU\d{7}|\d+|SZSES10IS\d{9})$""), ""✅"", ""⚠️""))"),"✅")</f>
        <v>✅</v>
      </c>
      <c r="D127" s="230" t="s">
        <v>77</v>
      </c>
      <c r="E127" s="229" t="s">
        <v>746</v>
      </c>
      <c r="F127" s="229" t="s">
        <v>460</v>
      </c>
      <c r="G127" s="133">
        <v>46244.0</v>
      </c>
      <c r="H127" s="230" t="s">
        <v>79</v>
      </c>
      <c r="I127" s="61" t="str">
        <f>IF(B127="", "", IFERROR(VLOOKUP(B127, '🔧 OT'!D:N, 11, 0), IF(H127&lt;&gt;"", H127, "Sin OT")))</f>
        <v>Finalizada OK</v>
      </c>
      <c r="J127" s="61" t="str">
        <f>IFERROR(__xludf.DUMMYFUNCTION("IF(B127="""", """", IFERROR(VLOOKUP(TO_TEXT(B127), INDEX(TO_TEXT('🔧 OT'!D:G)), 4, 0), ""Sin OT""))"),"Grupo 2")</f>
        <v>Grupo 2</v>
      </c>
      <c r="K127" s="231" t="s">
        <v>762</v>
      </c>
      <c r="L127" s="232" t="s">
        <v>763</v>
      </c>
      <c r="M127" s="234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30">
        <v>125.0</v>
      </c>
      <c r="B128" s="255" t="s">
        <v>430</v>
      </c>
      <c r="C128" s="61" t="str">
        <f>IFERROR(__xludf.DUMMYFUNCTION("IF(B128="""", """", IF(REGEXMATCH(TO_TEXT(B128), ""^(AA\d{10}|EDU\d{7}|\d+|SZSES10IS\d{9})$""), ""✅"", ""⚠️""))"),"✅")</f>
        <v>✅</v>
      </c>
      <c r="D128" s="256" t="s">
        <v>77</v>
      </c>
      <c r="E128" s="257"/>
      <c r="F128" s="257" t="s">
        <v>457</v>
      </c>
      <c r="G128" s="258">
        <v>46244.0</v>
      </c>
      <c r="H128" s="256" t="s">
        <v>79</v>
      </c>
      <c r="I128" s="61" t="str">
        <f>IF(B128="", "", IFERROR(VLOOKUP(B128, '🔧 OT'!D:N, 11, 0), IF(H128&lt;&gt;"", H128, "Sin OT")))</f>
        <v>Derivada</v>
      </c>
      <c r="J128" s="61" t="str">
        <f>IFERROR(__xludf.DUMMYFUNCTION("IF(B128="""", """", IFERROR(VLOOKUP(TO_TEXT(B128), INDEX(TO_TEXT('🔧 OT'!D:G)), 4, 0), ""Sin OT""))"),"Grupo 1")</f>
        <v>Grupo 1</v>
      </c>
      <c r="K128" s="259" t="s">
        <v>764</v>
      </c>
      <c r="L128" s="260" t="s">
        <v>765</v>
      </c>
      <c r="M128" s="261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  <c r="AA128" s="159"/>
    </row>
    <row r="129">
      <c r="A129" s="47">
        <v>126.0</v>
      </c>
      <c r="B129" s="134" t="s">
        <v>432</v>
      </c>
      <c r="C129" s="61" t="str">
        <f>IFERROR(__xludf.DUMMYFUNCTION("IF(B129="""", """", IF(REGEXMATCH(TO_TEXT(B129), ""^(AA\d{10}|EDU\d{7}|\d+|SZSES10IS\d{9})$""), ""✅"", ""⚠️""))"),"✅")</f>
        <v>✅</v>
      </c>
      <c r="D129" s="230" t="s">
        <v>77</v>
      </c>
      <c r="E129" s="229" t="s">
        <v>746</v>
      </c>
      <c r="F129" s="229" t="s">
        <v>460</v>
      </c>
      <c r="G129" s="133">
        <v>46244.0</v>
      </c>
      <c r="H129" s="230" t="s">
        <v>79</v>
      </c>
      <c r="I129" s="61" t="str">
        <f>IF(B129="", "", IFERROR(VLOOKUP(B129, '🔧 OT'!D:N, 11, 0), IF(H129&lt;&gt;"", H129, "Sin OT")))</f>
        <v>Finalizada OK</v>
      </c>
      <c r="J129" s="61" t="str">
        <f>IFERROR(__xludf.DUMMYFUNCTION("IF(B129="""", """", IFERROR(VLOOKUP(TO_TEXT(B129), INDEX(TO_TEXT('🔧 OT'!D:G)), 4, 0), ""Sin OT""))"),"Grupo 1")</f>
        <v>Grupo 1</v>
      </c>
      <c r="K129" s="231" t="s">
        <v>766</v>
      </c>
      <c r="L129" s="232" t="s">
        <v>767</v>
      </c>
      <c r="M129" s="234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  <c r="AA129" s="159"/>
    </row>
    <row r="130">
      <c r="A130" s="130">
        <v>127.0</v>
      </c>
      <c r="B130" s="255" t="s">
        <v>434</v>
      </c>
      <c r="C130" s="61" t="str">
        <f>IFERROR(__xludf.DUMMYFUNCTION("IF(B130="""", """", IF(REGEXMATCH(TO_TEXT(B130), ""^(AA\d{10}|EDU\d{7}|\d+|SZSES10IS\d{9})$""), ""✅"", ""⚠️""))"),"✅")</f>
        <v>✅</v>
      </c>
      <c r="D130" s="256" t="s">
        <v>77</v>
      </c>
      <c r="E130" s="263"/>
      <c r="F130" s="257" t="s">
        <v>464</v>
      </c>
      <c r="G130" s="258">
        <v>46244.0</v>
      </c>
      <c r="H130" s="256" t="s">
        <v>79</v>
      </c>
      <c r="I130" s="61" t="str">
        <f>IF(B130="", "", IFERROR(VLOOKUP(B130, '🔧 OT'!D:N, 11, 0), IF(H130&lt;&gt;"", H130, "Sin OT")))</f>
        <v>Finalizada OK</v>
      </c>
      <c r="J130" s="61" t="str">
        <f>IFERROR(__xludf.DUMMYFUNCTION("IF(B130="""", """", IFERROR(VLOOKUP(TO_TEXT(B130), INDEX(TO_TEXT('🔧 OT'!D:G)), 4, 0), ""Sin OT""))"),"Grupo 2")</f>
        <v>Grupo 2</v>
      </c>
      <c r="K130" s="259" t="s">
        <v>768</v>
      </c>
      <c r="L130" s="260" t="s">
        <v>769</v>
      </c>
      <c r="M130" s="261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  <c r="AA130" s="159"/>
    </row>
    <row r="131">
      <c r="A131" s="47">
        <v>128.0</v>
      </c>
      <c r="B131" s="134" t="s">
        <v>436</v>
      </c>
      <c r="C131" s="61" t="str">
        <f>IFERROR(__xludf.DUMMYFUNCTION("IF(B131="""", """", IF(REGEXMATCH(TO_TEXT(B131), ""^(AA\d{10}|EDU\d{7}|\d+|SZSES10IS\d{9})$""), ""✅"", ""⚠️""))"),"✅")</f>
        <v>✅</v>
      </c>
      <c r="D131" s="230" t="s">
        <v>77</v>
      </c>
      <c r="E131" s="228"/>
      <c r="F131" s="229" t="s">
        <v>457</v>
      </c>
      <c r="G131" s="133">
        <v>46244.0</v>
      </c>
      <c r="H131" s="230" t="s">
        <v>79</v>
      </c>
      <c r="I131" s="61" t="str">
        <f>IF(B131="", "", IFERROR(VLOOKUP(B131, '🔧 OT'!D:N, 11, 0), IF(H131&lt;&gt;"", H131, "Sin OT")))</f>
        <v>Finalizada OK</v>
      </c>
      <c r="J131" s="61" t="str">
        <f>IFERROR(__xludf.DUMMYFUNCTION("IF(B131="""", """", IFERROR(VLOOKUP(TO_TEXT(B131), INDEX(TO_TEXT('🔧 OT'!D:G)), 4, 0), ""Sin OT""))"),"Grupo 1")</f>
        <v>Grupo 1</v>
      </c>
      <c r="K131" s="231" t="s">
        <v>770</v>
      </c>
      <c r="L131" s="234"/>
      <c r="M131" s="232" t="s">
        <v>771</v>
      </c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  <c r="AA131" s="159"/>
    </row>
    <row r="132">
      <c r="A132" s="130">
        <v>129.0</v>
      </c>
      <c r="B132" s="255" t="s">
        <v>437</v>
      </c>
      <c r="C132" s="61" t="str">
        <f>IFERROR(__xludf.DUMMYFUNCTION("IF(B132="""", """", IF(REGEXMATCH(TO_TEXT(B132), ""^(AA\d{10}|EDU\d{7}|\d+|SZSES10IS\d{9})$""), ""✅"", ""⚠️""))"),"✅")</f>
        <v>✅</v>
      </c>
      <c r="D132" s="256" t="s">
        <v>77</v>
      </c>
      <c r="E132" s="263"/>
      <c r="F132" s="257" t="s">
        <v>460</v>
      </c>
      <c r="G132" s="258">
        <v>46245.0</v>
      </c>
      <c r="H132" s="256" t="s">
        <v>79</v>
      </c>
      <c r="I132" s="61" t="str">
        <f>IF(B132="", "", IFERROR(VLOOKUP(B132, '🔧 OT'!D:N, 11, 0), IF(H132&lt;&gt;"", H132, "Sin OT")))</f>
        <v>Finalizada OK</v>
      </c>
      <c r="J132" s="61" t="str">
        <f>IFERROR(__xludf.DUMMYFUNCTION("IF(B132="""", """", IFERROR(VLOOKUP(TO_TEXT(B132), INDEX(TO_TEXT('🔧 OT'!D:G)), 4, 0), ""Sin OT""))"),"Grupo 2")</f>
        <v>Grupo 2</v>
      </c>
      <c r="K132" s="259" t="s">
        <v>772</v>
      </c>
      <c r="L132" s="261"/>
      <c r="M132" s="261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  <c r="AA132" s="159"/>
    </row>
    <row r="133">
      <c r="A133" s="47">
        <v>130.0</v>
      </c>
      <c r="B133" s="134" t="s">
        <v>438</v>
      </c>
      <c r="C133" s="61" t="str">
        <f>IFERROR(__xludf.DUMMYFUNCTION("IF(B133="""", """", IF(REGEXMATCH(TO_TEXT(B133), ""^(AA\d{10}|EDU\d{7}|\d+|SZSES10IS\d{9})$""), ""✅"", ""⚠️""))"),"✅")</f>
        <v>✅</v>
      </c>
      <c r="D133" s="230" t="s">
        <v>77</v>
      </c>
      <c r="E133" s="228"/>
      <c r="F133" s="229" t="s">
        <v>460</v>
      </c>
      <c r="G133" s="133">
        <v>46245.0</v>
      </c>
      <c r="H133" s="230" t="s">
        <v>79</v>
      </c>
      <c r="I133" s="61" t="str">
        <f>IF(B133="", "", IFERROR(VLOOKUP(B133, '🔧 OT'!D:N, 11, 0), IF(H133&lt;&gt;"", H133, "Sin OT")))</f>
        <v>Finalizada OK</v>
      </c>
      <c r="J133" s="61" t="str">
        <f>IFERROR(__xludf.DUMMYFUNCTION("IF(B133="""", """", IFERROR(VLOOKUP(TO_TEXT(B133), INDEX(TO_TEXT('🔧 OT'!D:G)), 4, 0), ""Sin OT""))"),"Grupo 2")</f>
        <v>Grupo 2</v>
      </c>
      <c r="K133" s="231" t="s">
        <v>773</v>
      </c>
      <c r="L133" s="234"/>
      <c r="M133" s="234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  <c r="AA133" s="159"/>
    </row>
    <row r="134">
      <c r="A134" s="130">
        <v>131.0</v>
      </c>
      <c r="B134" s="255" t="s">
        <v>439</v>
      </c>
      <c r="C134" s="61" t="str">
        <f>IFERROR(__xludf.DUMMYFUNCTION("IF(B134="""", """", IF(REGEXMATCH(TO_TEXT(B134), ""^(AA\d{10}|EDU\d{7}|\d+|SZSES10IS\d{9})$""), ""✅"", ""⚠️""))"),"✅")</f>
        <v>✅</v>
      </c>
      <c r="D134" s="256" t="s">
        <v>77</v>
      </c>
      <c r="E134" s="263"/>
      <c r="F134" s="257" t="s">
        <v>460</v>
      </c>
      <c r="G134" s="258">
        <v>46245.0</v>
      </c>
      <c r="H134" s="256" t="s">
        <v>79</v>
      </c>
      <c r="I134" s="61" t="str">
        <f>IF(B134="", "", IFERROR(VLOOKUP(B134, '🔧 OT'!D:N, 11, 0), IF(H134&lt;&gt;"", H134, "Sin OT")))</f>
        <v>Finalizada OK</v>
      </c>
      <c r="J134" s="61" t="str">
        <f>IFERROR(__xludf.DUMMYFUNCTION("IF(B134="""", """", IFERROR(VLOOKUP(TO_TEXT(B134), INDEX(TO_TEXT('🔧 OT'!D:G)), 4, 0), ""Sin OT""))"),"Grupo 2")</f>
        <v>Grupo 2</v>
      </c>
      <c r="K134" s="259" t="s">
        <v>774</v>
      </c>
      <c r="L134" s="261"/>
      <c r="M134" s="261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  <c r="AA134" s="159"/>
    </row>
    <row r="135">
      <c r="A135" s="47">
        <v>132.0</v>
      </c>
      <c r="B135" s="134" t="s">
        <v>440</v>
      </c>
      <c r="C135" s="61" t="str">
        <f>IFERROR(__xludf.DUMMYFUNCTION("IF(B135="""", """", IF(REGEXMATCH(TO_TEXT(B135), ""^(AA\d{10}|EDU\d{7}|\d+|SZSES10IS\d{9})$""), ""✅"", ""⚠️""))"),"✅")</f>
        <v>✅</v>
      </c>
      <c r="D135" s="230" t="s">
        <v>77</v>
      </c>
      <c r="E135" s="228"/>
      <c r="F135" s="229" t="s">
        <v>457</v>
      </c>
      <c r="G135" s="133">
        <v>46247.0</v>
      </c>
      <c r="H135" s="230" t="s">
        <v>79</v>
      </c>
      <c r="I135" s="61" t="str">
        <f>IF(B135="", "", IFERROR(VLOOKUP(B135, '🔧 OT'!D:N, 11, 0), IF(H135&lt;&gt;"", H135, "Sin OT")))</f>
        <v>Derivada</v>
      </c>
      <c r="J135" s="61" t="str">
        <f>IFERROR(__xludf.DUMMYFUNCTION("IF(B135="""", """", IFERROR(VLOOKUP(TO_TEXT(B135), INDEX(TO_TEXT('🔧 OT'!D:G)), 4, 0), ""Sin OT""))"),"Grupo 2")</f>
        <v>Grupo 2</v>
      </c>
      <c r="K135" s="231" t="s">
        <v>775</v>
      </c>
      <c r="L135" s="234"/>
      <c r="M135" s="234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  <c r="AA135" s="159"/>
    </row>
    <row r="136">
      <c r="A136" s="130">
        <v>133.0</v>
      </c>
      <c r="B136" s="168" t="s">
        <v>442</v>
      </c>
      <c r="C136" s="61" t="str">
        <f>IFERROR(__xludf.DUMMYFUNCTION("IF(B136="""", """", IF(REGEXMATCH(TO_TEXT(B136), ""^(AA\d{10}|EDU\d{7}|\d+|SZSES10IS\d{9})$""), ""✅"", ""⚠️""))"),"✅")</f>
        <v>✅</v>
      </c>
      <c r="D136" s="256" t="s">
        <v>77</v>
      </c>
      <c r="E136" s="263"/>
      <c r="F136" s="257" t="s">
        <v>464</v>
      </c>
      <c r="G136" s="133">
        <v>46247.0</v>
      </c>
      <c r="H136" s="256" t="s">
        <v>79</v>
      </c>
      <c r="I136" s="61" t="str">
        <f>IF(B136="", "", IFERROR(VLOOKUP(B136, '🔧 OT'!D:N, 11, 0), IF(H136&lt;&gt;"", H136, "Sin OT")))</f>
        <v>Derivada</v>
      </c>
      <c r="J136" s="61" t="str">
        <f>IFERROR(__xludf.DUMMYFUNCTION("IF(B136="""", """", IFERROR(VLOOKUP(TO_TEXT(B136), INDEX(TO_TEXT('🔧 OT'!D:G)), 4, 0), ""Sin OT""))"),"Grupo 2")</f>
        <v>Grupo 2</v>
      </c>
      <c r="K136" s="231" t="s">
        <v>776</v>
      </c>
      <c r="L136" s="261"/>
      <c r="M136" s="261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  <c r="AA136" s="159"/>
    </row>
    <row r="137">
      <c r="A137" s="47">
        <v>134.0</v>
      </c>
      <c r="B137" s="134" t="s">
        <v>443</v>
      </c>
      <c r="C137" s="61" t="str">
        <f>IFERROR(__xludf.DUMMYFUNCTION("IF(B137="""", """", IF(REGEXMATCH(TO_TEXT(B137), ""^(AA\d{10}|EDU\d{7}|\d+|SZSES10IS\d{9})$""), ""✅"", ""⚠️""))"),"✅")</f>
        <v>✅</v>
      </c>
      <c r="D137" s="230" t="s">
        <v>77</v>
      </c>
      <c r="E137" s="228"/>
      <c r="F137" s="229" t="s">
        <v>457</v>
      </c>
      <c r="G137" s="133">
        <v>46247.0</v>
      </c>
      <c r="H137" s="230" t="s">
        <v>79</v>
      </c>
      <c r="I137" s="61" t="str">
        <f>IF(B137="", "", IFERROR(VLOOKUP(B137, '🔧 OT'!D:N, 11, 0), IF(H137&lt;&gt;"", H137, "Sin OT")))</f>
        <v>Instalando SO</v>
      </c>
      <c r="J137" s="61" t="str">
        <f>IFERROR(__xludf.DUMMYFUNCTION("IF(B137="""", """", IFERROR(VLOOKUP(TO_TEXT(B137), INDEX(TO_TEXT('🔧 OT'!D:G)), 4, 0), ""Sin OT""))"),"Grupo 2")</f>
        <v>Grupo 2</v>
      </c>
      <c r="K137" s="231" t="s">
        <v>777</v>
      </c>
      <c r="L137" s="234"/>
      <c r="M137" s="234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  <c r="AA137" s="159"/>
    </row>
    <row r="138">
      <c r="A138" s="130">
        <v>135.0</v>
      </c>
      <c r="B138" s="168" t="s">
        <v>445</v>
      </c>
      <c r="C138" s="61" t="str">
        <f>IFERROR(__xludf.DUMMYFUNCTION("IF(B138="""", """", IF(REGEXMATCH(TO_TEXT(B138), ""^(AA\d{10}|EDU\d{7}|\d+|SZSES10IS\d{9})$""), ""✅"", ""⚠️""))"),"✅")</f>
        <v>✅</v>
      </c>
      <c r="D138" s="256" t="s">
        <v>77</v>
      </c>
      <c r="E138" s="263"/>
      <c r="F138" s="257" t="s">
        <v>474</v>
      </c>
      <c r="G138" s="133">
        <v>46247.0</v>
      </c>
      <c r="H138" s="256" t="s">
        <v>79</v>
      </c>
      <c r="I138" s="61" t="str">
        <f>IF(B138="", "", IFERROR(VLOOKUP(B138, '🔧 OT'!D:N, 11, 0), IF(H138&lt;&gt;"", H138, "Sin OT")))</f>
        <v>Pendiente</v>
      </c>
      <c r="J138" s="61" t="str">
        <f>IFERROR(__xludf.DUMMYFUNCTION("IF(B138="""", """", IFERROR(VLOOKUP(TO_TEXT(B138), INDEX(TO_TEXT('🔧 OT'!D:G)), 4, 0), ""Sin OT""))"),"Grupo 2")</f>
        <v>Grupo 2</v>
      </c>
      <c r="K138" s="231" t="s">
        <v>778</v>
      </c>
      <c r="L138" s="261"/>
      <c r="M138" s="261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  <c r="AA138" s="159"/>
    </row>
    <row r="139">
      <c r="A139" s="47">
        <v>136.0</v>
      </c>
      <c r="B139" s="134" t="s">
        <v>447</v>
      </c>
      <c r="C139" s="61" t="str">
        <f>IFERROR(__xludf.DUMMYFUNCTION("IF(B139="""", """", IF(REGEXMATCH(TO_TEXT(B139), ""^(AA\d{10}|EDU\d{7}|\d+|SZSES10IS\d{9})$""), ""✅"", ""⚠️""))"),"✅")</f>
        <v>✅</v>
      </c>
      <c r="D139" s="230" t="s">
        <v>77</v>
      </c>
      <c r="E139" s="228"/>
      <c r="F139" s="229" t="s">
        <v>457</v>
      </c>
      <c r="G139" s="133">
        <v>46247.0</v>
      </c>
      <c r="H139" s="230" t="s">
        <v>79</v>
      </c>
      <c r="I139" s="61" t="str">
        <f>IF(B139="", "", IFERROR(VLOOKUP(B139, '🔧 OT'!D:N, 11, 0), IF(H139&lt;&gt;"", H139, "Sin OT")))</f>
        <v>Derivada</v>
      </c>
      <c r="J139" s="61" t="str">
        <f>IFERROR(__xludf.DUMMYFUNCTION("IF(B139="""", """", IFERROR(VLOOKUP(TO_TEXT(B139), INDEX(TO_TEXT('🔧 OT'!D:G)), 4, 0), ""Sin OT""))"),"Grupo 2")</f>
        <v>Grupo 2</v>
      </c>
      <c r="K139" s="231" t="s">
        <v>779</v>
      </c>
      <c r="L139" s="234"/>
      <c r="M139" s="234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  <c r="AA139" s="159"/>
    </row>
    <row r="140">
      <c r="A140" s="130">
        <v>137.0</v>
      </c>
      <c r="B140" s="266"/>
      <c r="C140" s="61" t="str">
        <f>IFERROR(__xludf.DUMMYFUNCTION("IF(B140="""", """", IF(REGEXMATCH(TO_TEXT(B140), ""^(AA\d{10}|EDU\d{7}|\d+|SZSES10IS\d{9})$""), ""✅"", ""⚠️""))"),"")</f>
        <v/>
      </c>
      <c r="D140" s="267"/>
      <c r="E140" s="263"/>
      <c r="F140" s="263"/>
      <c r="G140" s="268"/>
      <c r="H140" s="267"/>
      <c r="I140" s="61" t="str">
        <f>IF(B140="", "", IFERROR(VLOOKUP(B140, '🔧 OT'!D:N, 11, 0), IF(H140&lt;&gt;"", H140, "Sin OT")))</f>
        <v/>
      </c>
      <c r="J140" s="61" t="str">
        <f>IFERROR(__xludf.DUMMYFUNCTION("IF(B140="""", """", IFERROR(VLOOKUP(TO_TEXT(B140), INDEX(TO_TEXT('🔧 OT'!D:G)), 4, 0), ""Sin OT""))"),"")</f>
        <v/>
      </c>
      <c r="K140" s="269"/>
      <c r="L140" s="261"/>
      <c r="M140" s="261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  <c r="AA140" s="159"/>
    </row>
    <row r="141">
      <c r="A141" s="47">
        <v>138.0</v>
      </c>
      <c r="B141" s="270"/>
      <c r="C141" s="61" t="str">
        <f>IFERROR(__xludf.DUMMYFUNCTION("IF(B141="""", """", IF(REGEXMATCH(TO_TEXT(B141), ""^(AA\d{10}|EDU\d{7}|\d+|SZSES10IS\d{9})$""), ""✅"", ""⚠️""))"),"")</f>
        <v/>
      </c>
      <c r="D141" s="271"/>
      <c r="E141" s="228"/>
      <c r="F141" s="228"/>
      <c r="G141" s="272"/>
      <c r="H141" s="271"/>
      <c r="I141" s="61" t="str">
        <f>IF(B141="", "", IFERROR(VLOOKUP(B141, '🔧 OT'!D:N, 11, 0), IF(H141&lt;&gt;"", H141, "Sin OT")))</f>
        <v/>
      </c>
      <c r="J141" s="61" t="str">
        <f>IFERROR(__xludf.DUMMYFUNCTION("IF(B141="""", """", IFERROR(VLOOKUP(TO_TEXT(B141), INDEX(TO_TEXT('🔧 OT'!D:G)), 4, 0), ""Sin OT""))"),"")</f>
        <v/>
      </c>
      <c r="K141" s="273"/>
      <c r="L141" s="234"/>
      <c r="M141" s="234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  <c r="AA141" s="159"/>
    </row>
    <row r="142">
      <c r="A142" s="130">
        <v>139.0</v>
      </c>
      <c r="B142" s="266"/>
      <c r="C142" s="61" t="str">
        <f>IFERROR(__xludf.DUMMYFUNCTION("IF(B142="""", """", IF(REGEXMATCH(TO_TEXT(B142), ""^(AA\d{10}|EDU\d{7}|\d+|SZSES10IS\d{9})$""), ""✅"", ""⚠️""))"),"")</f>
        <v/>
      </c>
      <c r="D142" s="267"/>
      <c r="E142" s="263"/>
      <c r="F142" s="263"/>
      <c r="G142" s="268"/>
      <c r="H142" s="267"/>
      <c r="I142" s="61" t="str">
        <f>IF(B142="", "", IFERROR(VLOOKUP(B142, '🔧 OT'!D:N, 11, 0), IF(H142&lt;&gt;"", H142, "Sin OT")))</f>
        <v/>
      </c>
      <c r="J142" s="61" t="str">
        <f>IFERROR(__xludf.DUMMYFUNCTION("IF(B142="""", """", IFERROR(VLOOKUP(TO_TEXT(B142), INDEX(TO_TEXT('🔧 OT'!D:G)), 4, 0), ""Sin OT""))"),"")</f>
        <v/>
      </c>
      <c r="K142" s="269"/>
      <c r="L142" s="261"/>
      <c r="M142" s="261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  <c r="AA142" s="159"/>
    </row>
    <row r="143">
      <c r="A143" s="47">
        <v>140.0</v>
      </c>
      <c r="B143" s="270"/>
      <c r="C143" s="61" t="str">
        <f>IFERROR(__xludf.DUMMYFUNCTION("IF(B143="""", """", IF(REGEXMATCH(TO_TEXT(B143), ""^(AA\d{10}|EDU\d{7}|\d+|SZSES10IS\d{9})$""), ""✅"", ""⚠️""))"),"")</f>
        <v/>
      </c>
      <c r="D143" s="271"/>
      <c r="E143" s="228"/>
      <c r="F143" s="228"/>
      <c r="G143" s="272"/>
      <c r="H143" s="271"/>
      <c r="I143" s="61" t="str">
        <f>IF(B143="", "", IFERROR(VLOOKUP(B143, '🔧 OT'!D:N, 11, 0), IF(H143&lt;&gt;"", H143, "Sin OT")))</f>
        <v/>
      </c>
      <c r="J143" s="61" t="str">
        <f>IFERROR(__xludf.DUMMYFUNCTION("IF(B143="""", """", IFERROR(VLOOKUP(TO_TEXT(B143), INDEX(TO_TEXT('🔧 OT'!D:G)), 4, 0), ""Sin OT""))"),"")</f>
        <v/>
      </c>
      <c r="K143" s="273"/>
      <c r="L143" s="234"/>
      <c r="M143" s="234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  <c r="AA143" s="159"/>
    </row>
    <row r="144">
      <c r="A144" s="130">
        <v>141.0</v>
      </c>
      <c r="B144" s="266"/>
      <c r="C144" s="61" t="str">
        <f>IFERROR(__xludf.DUMMYFUNCTION("IF(B144="""", """", IF(REGEXMATCH(TO_TEXT(B144), ""^(AA\d{10}|EDU\d{7}|\d+|SZSES10IS\d{9})$""), ""✅"", ""⚠️""))"),"")</f>
        <v/>
      </c>
      <c r="D144" s="267"/>
      <c r="E144" s="263"/>
      <c r="F144" s="263"/>
      <c r="G144" s="268"/>
      <c r="H144" s="267"/>
      <c r="I144" s="61" t="str">
        <f>IF(B144="", "", IFERROR(VLOOKUP(B144, '🔧 OT'!D:N, 11, 0), IF(H144&lt;&gt;"", H144, "Sin OT")))</f>
        <v/>
      </c>
      <c r="J144" s="61" t="str">
        <f>IFERROR(__xludf.DUMMYFUNCTION("IF(B144="""", """", IFERROR(VLOOKUP(TO_TEXT(B144), INDEX(TO_TEXT('🔧 OT'!D:G)), 4, 0), ""Sin OT""))"),"")</f>
        <v/>
      </c>
      <c r="K144" s="269"/>
      <c r="L144" s="261"/>
      <c r="M144" s="261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  <c r="AA144" s="159"/>
    </row>
    <row r="145">
      <c r="A145" s="47">
        <v>142.0</v>
      </c>
      <c r="B145" s="270"/>
      <c r="C145" s="61" t="str">
        <f>IFERROR(__xludf.DUMMYFUNCTION("IF(B145="""", """", IF(REGEXMATCH(TO_TEXT(B145), ""^(AA\d{10}|EDU\d{7}|\d+|SZSES10IS\d{9})$""), ""✅"", ""⚠️""))"),"")</f>
        <v/>
      </c>
      <c r="D145" s="271"/>
      <c r="E145" s="228"/>
      <c r="F145" s="228"/>
      <c r="G145" s="272"/>
      <c r="H145" s="271"/>
      <c r="I145" s="61" t="str">
        <f>IF(B145="", "", IFERROR(VLOOKUP(B145, '🔧 OT'!D:N, 11, 0), IF(H145&lt;&gt;"", H145, "Sin OT")))</f>
        <v/>
      </c>
      <c r="J145" s="61" t="str">
        <f>IFERROR(__xludf.DUMMYFUNCTION("IF(B145="""", """", IFERROR(VLOOKUP(TO_TEXT(B145), INDEX(TO_TEXT('🔧 OT'!D:G)), 4, 0), ""Sin OT""))"),"")</f>
        <v/>
      </c>
      <c r="K145" s="273"/>
      <c r="L145" s="234"/>
      <c r="M145" s="234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  <c r="AA145" s="159"/>
    </row>
    <row r="146">
      <c r="A146" s="130">
        <v>143.0</v>
      </c>
      <c r="B146" s="266"/>
      <c r="C146" s="61" t="str">
        <f>IFERROR(__xludf.DUMMYFUNCTION("IF(B146="""", """", IF(REGEXMATCH(TO_TEXT(B146), ""^(AA\d{10}|EDU\d{7}|\d+|SZSES10IS\d{9})$""), ""✅"", ""⚠️""))"),"")</f>
        <v/>
      </c>
      <c r="D146" s="267"/>
      <c r="E146" s="263"/>
      <c r="F146" s="263"/>
      <c r="G146" s="268"/>
      <c r="H146" s="267"/>
      <c r="I146" s="61" t="str">
        <f>IF(B146="", "", IFERROR(VLOOKUP(B146, '🔧 OT'!D:N, 11, 0), IF(H146&lt;&gt;"", H146, "Sin OT")))</f>
        <v/>
      </c>
      <c r="J146" s="61" t="str">
        <f>IFERROR(__xludf.DUMMYFUNCTION("IF(B146="""", """", IFERROR(VLOOKUP(TO_TEXT(B146), INDEX(TO_TEXT('🔧 OT'!D:G)), 4, 0), ""Sin OT""))"),"")</f>
        <v/>
      </c>
      <c r="K146" s="269"/>
      <c r="L146" s="261"/>
      <c r="M146" s="261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  <c r="AA146" s="159"/>
    </row>
    <row r="147">
      <c r="A147" s="47">
        <v>144.0</v>
      </c>
      <c r="B147" s="270"/>
      <c r="C147" s="61" t="str">
        <f>IFERROR(__xludf.DUMMYFUNCTION("IF(B147="""", """", IF(REGEXMATCH(TO_TEXT(B147), ""^(AA\d{10}|EDU\d{7}|\d+|SZSES10IS\d{9})$""), ""✅"", ""⚠️""))"),"")</f>
        <v/>
      </c>
      <c r="D147" s="271"/>
      <c r="E147" s="228"/>
      <c r="F147" s="228"/>
      <c r="G147" s="272"/>
      <c r="H147" s="271"/>
      <c r="I147" s="61" t="str">
        <f>IF(B147="", "", IFERROR(VLOOKUP(B147, '🔧 OT'!D:N, 11, 0), IF(H147&lt;&gt;"", H147, "Sin OT")))</f>
        <v/>
      </c>
      <c r="J147" s="61" t="str">
        <f>IFERROR(__xludf.DUMMYFUNCTION("IF(B147="""", """", IFERROR(VLOOKUP(TO_TEXT(B147), INDEX(TO_TEXT('🔧 OT'!D:G)), 4, 0), ""Sin OT""))"),"")</f>
        <v/>
      </c>
      <c r="K147" s="273"/>
      <c r="L147" s="234"/>
      <c r="M147" s="234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  <c r="AA147" s="159"/>
    </row>
    <row r="148">
      <c r="A148" s="130">
        <v>145.0</v>
      </c>
      <c r="B148" s="266"/>
      <c r="C148" s="61" t="str">
        <f>IFERROR(__xludf.DUMMYFUNCTION("IF(B148="""", """", IF(REGEXMATCH(TO_TEXT(B148), ""^(AA\d{10}|EDU\d{7}|\d+|SZSES10IS\d{9})$""), ""✅"", ""⚠️""))"),"")</f>
        <v/>
      </c>
      <c r="D148" s="267"/>
      <c r="E148" s="263"/>
      <c r="F148" s="263"/>
      <c r="G148" s="268"/>
      <c r="H148" s="267"/>
      <c r="I148" s="61" t="str">
        <f>IF(B148="", "", IFERROR(VLOOKUP(B148, '🔧 OT'!D:N, 11, 0), IF(H148&lt;&gt;"", H148, "Sin OT")))</f>
        <v/>
      </c>
      <c r="J148" s="61" t="str">
        <f>IFERROR(__xludf.DUMMYFUNCTION("IF(B148="""", """", IFERROR(VLOOKUP(TO_TEXT(B148), INDEX(TO_TEXT('🔧 OT'!D:G)), 4, 0), ""Sin OT""))"),"")</f>
        <v/>
      </c>
      <c r="K148" s="269"/>
      <c r="L148" s="261"/>
      <c r="M148" s="261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  <c r="AA148" s="159"/>
    </row>
    <row r="149">
      <c r="A149" s="47">
        <v>146.0</v>
      </c>
      <c r="B149" s="270"/>
      <c r="C149" s="61" t="str">
        <f>IFERROR(__xludf.DUMMYFUNCTION("IF(B149="""", """", IF(REGEXMATCH(TO_TEXT(B149), ""^(AA\d{10}|EDU\d{7}|\d+|SZSES10IS\d{9})$""), ""✅"", ""⚠️""))"),"")</f>
        <v/>
      </c>
      <c r="D149" s="271"/>
      <c r="E149" s="228"/>
      <c r="F149" s="228"/>
      <c r="G149" s="272"/>
      <c r="H149" s="271"/>
      <c r="I149" s="61" t="str">
        <f>IF(B149="", "", IFERROR(VLOOKUP(B149, '🔧 OT'!D:N, 11, 0), IF(H149&lt;&gt;"", H149, "Sin OT")))</f>
        <v/>
      </c>
      <c r="J149" s="61" t="str">
        <f>IFERROR(__xludf.DUMMYFUNCTION("IF(B149="""", """", IFERROR(VLOOKUP(TO_TEXT(B149), INDEX(TO_TEXT('🔧 OT'!D:G)), 4, 0), ""Sin OT""))"),"")</f>
        <v/>
      </c>
      <c r="K149" s="273"/>
      <c r="L149" s="234"/>
      <c r="M149" s="234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  <c r="AA149" s="159"/>
    </row>
    <row r="150">
      <c r="A150" s="130">
        <v>147.0</v>
      </c>
      <c r="B150" s="266"/>
      <c r="C150" s="61" t="str">
        <f>IFERROR(__xludf.DUMMYFUNCTION("IF(B150="""", """", IF(REGEXMATCH(TO_TEXT(B150), ""^(AA\d{10}|EDU\d{7}|\d+|SZSES10IS\d{9})$""), ""✅"", ""⚠️""))"),"")</f>
        <v/>
      </c>
      <c r="D150" s="267"/>
      <c r="E150" s="263"/>
      <c r="F150" s="263"/>
      <c r="G150" s="268"/>
      <c r="H150" s="267"/>
      <c r="I150" s="61" t="str">
        <f>IF(B150="", "", IFERROR(VLOOKUP(B150, '🔧 OT'!D:N, 11, 0), IF(H150&lt;&gt;"", H150, "Sin OT")))</f>
        <v/>
      </c>
      <c r="J150" s="61" t="str">
        <f>IFERROR(__xludf.DUMMYFUNCTION("IF(B150="""", """", IFERROR(VLOOKUP(TO_TEXT(B150), INDEX(TO_TEXT('🔧 OT'!D:G)), 4, 0), ""Sin OT""))"),"")</f>
        <v/>
      </c>
      <c r="K150" s="269"/>
      <c r="L150" s="261"/>
      <c r="M150" s="261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  <c r="AA150" s="159"/>
    </row>
    <row r="151">
      <c r="A151" s="274"/>
      <c r="B151" s="275"/>
      <c r="C151" s="276"/>
      <c r="D151" s="277"/>
      <c r="E151" s="278"/>
      <c r="F151" s="278"/>
      <c r="G151" s="279"/>
      <c r="H151" s="277"/>
      <c r="I151" s="277"/>
      <c r="J151" s="277"/>
      <c r="K151" s="280"/>
      <c r="L151" s="278"/>
      <c r="M151" s="278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  <c r="AA151" s="159"/>
    </row>
    <row r="152">
      <c r="A152" s="274"/>
      <c r="B152" s="275"/>
      <c r="C152" s="276"/>
      <c r="D152" s="277"/>
      <c r="E152" s="278"/>
      <c r="F152" s="278"/>
      <c r="G152" s="279"/>
      <c r="H152" s="277"/>
      <c r="I152" s="277"/>
      <c r="J152" s="277"/>
      <c r="K152" s="280"/>
      <c r="L152" s="278"/>
      <c r="M152" s="278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  <c r="AA152" s="159"/>
    </row>
    <row r="153">
      <c r="A153" s="274"/>
      <c r="B153" s="275"/>
      <c r="C153" s="276"/>
      <c r="D153" s="277"/>
      <c r="E153" s="278"/>
      <c r="F153" s="278"/>
      <c r="G153" s="279"/>
      <c r="H153" s="277"/>
      <c r="I153" s="277"/>
      <c r="J153" s="277"/>
      <c r="K153" s="280"/>
      <c r="L153" s="278"/>
      <c r="M153" s="278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  <c r="AA153" s="159"/>
    </row>
    <row r="154">
      <c r="A154" s="274"/>
      <c r="B154" s="275"/>
      <c r="C154" s="276"/>
      <c r="D154" s="277"/>
      <c r="E154" s="278"/>
      <c r="F154" s="278"/>
      <c r="G154" s="279"/>
      <c r="H154" s="277"/>
      <c r="I154" s="277"/>
      <c r="J154" s="277"/>
      <c r="K154" s="280"/>
      <c r="L154" s="278"/>
      <c r="M154" s="278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  <c r="AA154" s="159"/>
    </row>
    <row r="155">
      <c r="A155" s="274"/>
      <c r="B155" s="281"/>
      <c r="C155" s="282"/>
      <c r="D155" s="283"/>
      <c r="E155" s="284"/>
      <c r="F155" s="284"/>
      <c r="G155" s="285"/>
      <c r="H155" s="283"/>
      <c r="I155" s="283"/>
      <c r="J155" s="283"/>
      <c r="K155" s="286"/>
      <c r="L155" s="284"/>
      <c r="M155" s="284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  <c r="AA155" s="159"/>
    </row>
    <row r="156">
      <c r="A156" s="274"/>
      <c r="B156" s="281"/>
      <c r="C156" s="282"/>
      <c r="D156" s="283"/>
      <c r="E156" s="284"/>
      <c r="F156" s="284"/>
      <c r="G156" s="285"/>
      <c r="H156" s="283"/>
      <c r="I156" s="283"/>
      <c r="J156" s="283"/>
      <c r="K156" s="286"/>
      <c r="L156" s="284"/>
      <c r="M156" s="284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  <c r="AA156" s="159"/>
    </row>
    <row r="157">
      <c r="A157" s="274"/>
      <c r="B157" s="281"/>
      <c r="C157" s="282"/>
      <c r="D157" s="283"/>
      <c r="E157" s="284"/>
      <c r="F157" s="284"/>
      <c r="G157" s="285"/>
      <c r="H157" s="283"/>
      <c r="I157" s="283"/>
      <c r="J157" s="283"/>
      <c r="K157" s="286"/>
      <c r="L157" s="284"/>
      <c r="M157" s="284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  <c r="AA157" s="159"/>
    </row>
    <row r="158">
      <c r="A158" s="274"/>
      <c r="B158" s="281"/>
      <c r="C158" s="282"/>
      <c r="D158" s="283"/>
      <c r="E158" s="284"/>
      <c r="F158" s="284"/>
      <c r="G158" s="285"/>
      <c r="H158" s="283"/>
      <c r="I158" s="283"/>
      <c r="J158" s="283"/>
      <c r="K158" s="286"/>
      <c r="L158" s="284"/>
      <c r="M158" s="284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  <c r="AA158" s="159"/>
    </row>
    <row r="159">
      <c r="A159" s="274"/>
      <c r="B159" s="281"/>
      <c r="C159" s="282"/>
      <c r="D159" s="283"/>
      <c r="E159" s="284"/>
      <c r="F159" s="284"/>
      <c r="G159" s="285"/>
      <c r="H159" s="283"/>
      <c r="I159" s="283"/>
      <c r="J159" s="283"/>
      <c r="K159" s="286"/>
      <c r="L159" s="284"/>
      <c r="M159" s="284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  <c r="AA159" s="159"/>
    </row>
    <row r="160">
      <c r="A160" s="274"/>
      <c r="B160" s="281"/>
      <c r="C160" s="282"/>
      <c r="D160" s="283"/>
      <c r="E160" s="284"/>
      <c r="F160" s="284"/>
      <c r="G160" s="285"/>
      <c r="H160" s="283"/>
      <c r="I160" s="283"/>
      <c r="J160" s="283"/>
      <c r="K160" s="286"/>
      <c r="L160" s="284"/>
      <c r="M160" s="284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  <c r="AA160" s="159"/>
    </row>
    <row r="161">
      <c r="A161" s="274"/>
      <c r="B161" s="281"/>
      <c r="C161" s="282"/>
      <c r="D161" s="283"/>
      <c r="E161" s="284"/>
      <c r="F161" s="284"/>
      <c r="G161" s="285"/>
      <c r="H161" s="283"/>
      <c r="I161" s="283"/>
      <c r="J161" s="283"/>
      <c r="K161" s="286"/>
      <c r="L161" s="284"/>
      <c r="M161" s="284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  <c r="AA161" s="159"/>
    </row>
    <row r="162">
      <c r="A162" s="274"/>
      <c r="B162" s="281"/>
      <c r="C162" s="282"/>
      <c r="D162" s="283"/>
      <c r="E162" s="284"/>
      <c r="F162" s="284"/>
      <c r="G162" s="285"/>
      <c r="H162" s="283"/>
      <c r="I162" s="283"/>
      <c r="J162" s="283"/>
      <c r="K162" s="286"/>
      <c r="L162" s="284"/>
      <c r="M162" s="284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  <c r="AA162" s="159"/>
    </row>
    <row r="163">
      <c r="A163" s="274"/>
      <c r="B163" s="281"/>
      <c r="C163" s="282"/>
      <c r="D163" s="283"/>
      <c r="E163" s="284"/>
      <c r="F163" s="284"/>
      <c r="G163" s="285"/>
      <c r="H163" s="283"/>
      <c r="I163" s="283"/>
      <c r="J163" s="283"/>
      <c r="K163" s="286"/>
      <c r="L163" s="284"/>
      <c r="M163" s="284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  <c r="AA163" s="159"/>
    </row>
    <row r="164">
      <c r="A164" s="274"/>
      <c r="B164" s="281"/>
      <c r="C164" s="282"/>
      <c r="D164" s="283"/>
      <c r="E164" s="284"/>
      <c r="F164" s="284"/>
      <c r="G164" s="285"/>
      <c r="H164" s="283"/>
      <c r="I164" s="283"/>
      <c r="J164" s="283"/>
      <c r="K164" s="287"/>
      <c r="L164" s="284"/>
      <c r="M164" s="284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  <c r="AA164" s="159"/>
    </row>
    <row r="165">
      <c r="A165" s="274"/>
      <c r="B165" s="281"/>
      <c r="C165" s="282"/>
      <c r="D165" s="283"/>
      <c r="E165" s="284"/>
      <c r="F165" s="284"/>
      <c r="G165" s="285"/>
      <c r="H165" s="283"/>
      <c r="I165" s="283"/>
      <c r="J165" s="283"/>
      <c r="K165" s="287"/>
      <c r="L165" s="284"/>
      <c r="M165" s="284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  <c r="AA165" s="159"/>
    </row>
    <row r="166">
      <c r="A166" s="274"/>
      <c r="B166" s="281"/>
      <c r="C166" s="282"/>
      <c r="D166" s="283"/>
      <c r="E166" s="284"/>
      <c r="F166" s="284"/>
      <c r="G166" s="285"/>
      <c r="H166" s="283"/>
      <c r="I166" s="283"/>
      <c r="J166" s="283"/>
      <c r="K166" s="287"/>
      <c r="L166" s="284"/>
      <c r="M166" s="284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  <c r="AA166" s="159"/>
    </row>
    <row r="167">
      <c r="A167" s="274"/>
      <c r="B167" s="281"/>
      <c r="C167" s="282"/>
      <c r="D167" s="283"/>
      <c r="E167" s="284"/>
      <c r="F167" s="284"/>
      <c r="G167" s="285"/>
      <c r="H167" s="283"/>
      <c r="I167" s="283"/>
      <c r="J167" s="283"/>
      <c r="K167" s="287"/>
      <c r="L167" s="284"/>
      <c r="M167" s="284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  <c r="AA167" s="159"/>
    </row>
    <row r="168">
      <c r="A168" s="274"/>
      <c r="B168" s="281"/>
      <c r="C168" s="282"/>
      <c r="D168" s="283"/>
      <c r="E168" s="284"/>
      <c r="F168" s="284"/>
      <c r="G168" s="285"/>
      <c r="H168" s="283"/>
      <c r="I168" s="283"/>
      <c r="J168" s="283"/>
      <c r="K168" s="287"/>
      <c r="L168" s="284"/>
      <c r="M168" s="284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  <c r="AA168" s="159"/>
    </row>
    <row r="169">
      <c r="A169" s="274"/>
      <c r="B169" s="281"/>
      <c r="C169" s="282"/>
      <c r="D169" s="283"/>
      <c r="E169" s="284"/>
      <c r="F169" s="284"/>
      <c r="G169" s="285"/>
      <c r="H169" s="283"/>
      <c r="I169" s="283"/>
      <c r="J169" s="283"/>
      <c r="K169" s="287"/>
      <c r="L169" s="284"/>
      <c r="M169" s="284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  <c r="AA169" s="159"/>
    </row>
    <row r="170">
      <c r="A170" s="274"/>
      <c r="B170" s="281"/>
      <c r="C170" s="282"/>
      <c r="D170" s="283"/>
      <c r="E170" s="284"/>
      <c r="F170" s="284"/>
      <c r="G170" s="285"/>
      <c r="H170" s="283"/>
      <c r="I170" s="283"/>
      <c r="J170" s="283"/>
      <c r="K170" s="287"/>
      <c r="L170" s="284"/>
      <c r="M170" s="284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  <c r="AA170" s="159"/>
    </row>
    <row r="171">
      <c r="A171" s="274"/>
      <c r="B171" s="281"/>
      <c r="C171" s="282"/>
      <c r="D171" s="283"/>
      <c r="E171" s="284"/>
      <c r="F171" s="284"/>
      <c r="G171" s="285"/>
      <c r="H171" s="283"/>
      <c r="I171" s="283"/>
      <c r="J171" s="283"/>
      <c r="K171" s="287"/>
      <c r="L171" s="284"/>
      <c r="M171" s="284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  <c r="AA171" s="159"/>
    </row>
    <row r="172">
      <c r="A172" s="274"/>
      <c r="B172" s="281"/>
      <c r="C172" s="282"/>
      <c r="D172" s="283"/>
      <c r="E172" s="284"/>
      <c r="F172" s="284"/>
      <c r="G172" s="285"/>
      <c r="H172" s="283"/>
      <c r="I172" s="283"/>
      <c r="J172" s="283"/>
      <c r="K172" s="287"/>
      <c r="L172" s="284"/>
      <c r="M172" s="284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  <c r="AA172" s="159"/>
    </row>
    <row r="173">
      <c r="A173" s="274"/>
      <c r="B173" s="281"/>
      <c r="C173" s="282"/>
      <c r="D173" s="283"/>
      <c r="E173" s="284"/>
      <c r="F173" s="284"/>
      <c r="G173" s="285"/>
      <c r="H173" s="283"/>
      <c r="I173" s="283"/>
      <c r="J173" s="283"/>
      <c r="K173" s="287"/>
      <c r="L173" s="284"/>
      <c r="M173" s="284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  <c r="AA173" s="159"/>
    </row>
    <row r="174">
      <c r="A174" s="274"/>
      <c r="B174" s="281"/>
      <c r="C174" s="282"/>
      <c r="D174" s="283"/>
      <c r="E174" s="284"/>
      <c r="F174" s="284"/>
      <c r="G174" s="285"/>
      <c r="H174" s="283"/>
      <c r="I174" s="283"/>
      <c r="J174" s="283"/>
      <c r="K174" s="287"/>
      <c r="L174" s="284"/>
      <c r="M174" s="284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  <c r="AA174" s="159"/>
    </row>
    <row r="175">
      <c r="A175" s="274"/>
      <c r="B175" s="281"/>
      <c r="C175" s="282"/>
      <c r="D175" s="283"/>
      <c r="E175" s="284"/>
      <c r="F175" s="284"/>
      <c r="G175" s="285"/>
      <c r="H175" s="283"/>
      <c r="I175" s="283"/>
      <c r="J175" s="283"/>
      <c r="K175" s="287"/>
      <c r="L175" s="284"/>
      <c r="M175" s="284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  <c r="AA175" s="159"/>
    </row>
    <row r="176">
      <c r="A176" s="274"/>
      <c r="B176" s="281"/>
      <c r="C176" s="282"/>
      <c r="D176" s="283"/>
      <c r="E176" s="284"/>
      <c r="F176" s="284"/>
      <c r="G176" s="285"/>
      <c r="H176" s="283"/>
      <c r="I176" s="283"/>
      <c r="J176" s="283"/>
      <c r="K176" s="287"/>
      <c r="L176" s="284"/>
      <c r="M176" s="284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  <c r="AA176" s="159"/>
    </row>
    <row r="177">
      <c r="A177" s="274"/>
      <c r="B177" s="281"/>
      <c r="C177" s="282"/>
      <c r="D177" s="283"/>
      <c r="E177" s="284"/>
      <c r="F177" s="284"/>
      <c r="G177" s="285"/>
      <c r="H177" s="283"/>
      <c r="I177" s="283"/>
      <c r="J177" s="283"/>
      <c r="K177" s="283"/>
      <c r="L177" s="284"/>
      <c r="M177" s="284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  <c r="AA177" s="159"/>
    </row>
    <row r="178">
      <c r="A178" s="274"/>
      <c r="B178" s="281"/>
      <c r="C178" s="282"/>
      <c r="D178" s="283"/>
      <c r="E178" s="284"/>
      <c r="F178" s="284"/>
      <c r="G178" s="285"/>
      <c r="H178" s="283"/>
      <c r="I178" s="283"/>
      <c r="J178" s="283"/>
      <c r="K178" s="283"/>
      <c r="L178" s="284"/>
      <c r="M178" s="284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  <c r="AA178" s="159"/>
    </row>
    <row r="179">
      <c r="A179" s="274"/>
      <c r="B179" s="281"/>
      <c r="C179" s="282"/>
      <c r="D179" s="283"/>
      <c r="E179" s="284"/>
      <c r="F179" s="284"/>
      <c r="G179" s="285"/>
      <c r="H179" s="283"/>
      <c r="I179" s="283"/>
      <c r="J179" s="283"/>
      <c r="K179" s="283"/>
      <c r="L179" s="284"/>
      <c r="M179" s="284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  <c r="AA179" s="159"/>
    </row>
    <row r="180">
      <c r="A180" s="274"/>
      <c r="B180" s="281"/>
      <c r="C180" s="282"/>
      <c r="D180" s="283"/>
      <c r="E180" s="284"/>
      <c r="F180" s="284"/>
      <c r="G180" s="285"/>
      <c r="H180" s="283"/>
      <c r="I180" s="283"/>
      <c r="J180" s="283"/>
      <c r="K180" s="283"/>
      <c r="L180" s="284"/>
      <c r="M180" s="284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  <c r="AA180" s="159"/>
    </row>
    <row r="181">
      <c r="A181" s="274"/>
      <c r="B181" s="281"/>
      <c r="C181" s="282"/>
      <c r="D181" s="283"/>
      <c r="E181" s="284"/>
      <c r="F181" s="284"/>
      <c r="G181" s="285"/>
      <c r="H181" s="283"/>
      <c r="I181" s="283"/>
      <c r="J181" s="283"/>
      <c r="K181" s="283"/>
      <c r="L181" s="284"/>
      <c r="M181" s="284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  <c r="AA181" s="159"/>
    </row>
    <row r="182">
      <c r="A182" s="274"/>
      <c r="B182" s="281"/>
      <c r="C182" s="282"/>
      <c r="D182" s="283"/>
      <c r="E182" s="284"/>
      <c r="F182" s="284"/>
      <c r="G182" s="285"/>
      <c r="H182" s="283"/>
      <c r="I182" s="283"/>
      <c r="J182" s="283"/>
      <c r="K182" s="283"/>
      <c r="L182" s="284"/>
      <c r="M182" s="284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  <c r="AA182" s="159"/>
    </row>
    <row r="183">
      <c r="A183" s="274"/>
      <c r="B183" s="281"/>
      <c r="C183" s="282"/>
      <c r="D183" s="283"/>
      <c r="E183" s="284"/>
      <c r="F183" s="284"/>
      <c r="G183" s="285"/>
      <c r="H183" s="283"/>
      <c r="I183" s="283"/>
      <c r="J183" s="283"/>
      <c r="K183" s="283"/>
      <c r="L183" s="284"/>
      <c r="M183" s="284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  <c r="AA183" s="159"/>
    </row>
    <row r="184">
      <c r="A184" s="274"/>
      <c r="B184" s="281"/>
      <c r="C184" s="282"/>
      <c r="D184" s="283"/>
      <c r="E184" s="284"/>
      <c r="F184" s="284"/>
      <c r="G184" s="285"/>
      <c r="H184" s="283"/>
      <c r="I184" s="283"/>
      <c r="J184" s="283"/>
      <c r="K184" s="283"/>
      <c r="L184" s="284"/>
      <c r="M184" s="284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  <c r="AA184" s="159"/>
    </row>
    <row r="185">
      <c r="A185" s="274"/>
      <c r="B185" s="281"/>
      <c r="C185" s="282"/>
      <c r="D185" s="283"/>
      <c r="E185" s="284"/>
      <c r="F185" s="284"/>
      <c r="G185" s="285"/>
      <c r="H185" s="283"/>
      <c r="I185" s="283"/>
      <c r="J185" s="283"/>
      <c r="K185" s="283"/>
      <c r="L185" s="284"/>
      <c r="M185" s="284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  <c r="AA185" s="159"/>
    </row>
    <row r="186">
      <c r="A186" s="274"/>
      <c r="B186" s="281"/>
      <c r="C186" s="282"/>
      <c r="D186" s="283"/>
      <c r="E186" s="284"/>
      <c r="F186" s="284"/>
      <c r="G186" s="285"/>
      <c r="H186" s="283"/>
      <c r="I186" s="283"/>
      <c r="J186" s="283"/>
      <c r="K186" s="283"/>
      <c r="L186" s="284"/>
      <c r="M186" s="284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  <c r="AA186" s="159"/>
    </row>
    <row r="187">
      <c r="A187" s="274"/>
      <c r="B187" s="281"/>
      <c r="C187" s="282"/>
      <c r="D187" s="283"/>
      <c r="E187" s="284"/>
      <c r="F187" s="284"/>
      <c r="G187" s="285"/>
      <c r="H187" s="283"/>
      <c r="I187" s="283"/>
      <c r="J187" s="283"/>
      <c r="K187" s="283"/>
      <c r="L187" s="284"/>
      <c r="M187" s="284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  <c r="AA187" s="159"/>
    </row>
    <row r="188">
      <c r="A188" s="274"/>
      <c r="B188" s="281"/>
      <c r="C188" s="282"/>
      <c r="D188" s="283"/>
      <c r="E188" s="284"/>
      <c r="F188" s="284"/>
      <c r="G188" s="285"/>
      <c r="H188" s="283"/>
      <c r="I188" s="283"/>
      <c r="J188" s="283"/>
      <c r="K188" s="283"/>
      <c r="L188" s="284"/>
      <c r="M188" s="284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  <c r="AA188" s="159"/>
    </row>
    <row r="189">
      <c r="A189" s="274"/>
      <c r="B189" s="281"/>
      <c r="C189" s="282"/>
      <c r="D189" s="283"/>
      <c r="E189" s="284"/>
      <c r="F189" s="284"/>
      <c r="G189" s="285"/>
      <c r="H189" s="283"/>
      <c r="I189" s="283"/>
      <c r="J189" s="283"/>
      <c r="K189" s="283"/>
      <c r="L189" s="284"/>
      <c r="M189" s="284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  <c r="AA189" s="159"/>
    </row>
    <row r="190">
      <c r="A190" s="274"/>
      <c r="B190" s="281"/>
      <c r="C190" s="282"/>
      <c r="D190" s="283"/>
      <c r="E190" s="284"/>
      <c r="F190" s="284"/>
      <c r="G190" s="285"/>
      <c r="H190" s="283"/>
      <c r="I190" s="283"/>
      <c r="J190" s="283"/>
      <c r="K190" s="283"/>
      <c r="L190" s="284"/>
      <c r="M190" s="284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  <c r="AA190" s="159"/>
    </row>
    <row r="191">
      <c r="A191" s="274"/>
      <c r="B191" s="281"/>
      <c r="C191" s="282"/>
      <c r="D191" s="283"/>
      <c r="E191" s="284"/>
      <c r="F191" s="284"/>
      <c r="G191" s="285"/>
      <c r="H191" s="283"/>
      <c r="I191" s="283"/>
      <c r="J191" s="283"/>
      <c r="K191" s="283"/>
      <c r="L191" s="284"/>
      <c r="M191" s="284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  <c r="AA191" s="159"/>
    </row>
    <row r="192">
      <c r="A192" s="274"/>
      <c r="B192" s="281"/>
      <c r="C192" s="282"/>
      <c r="D192" s="283"/>
      <c r="E192" s="284"/>
      <c r="F192" s="284"/>
      <c r="G192" s="285"/>
      <c r="H192" s="283"/>
      <c r="I192" s="283"/>
      <c r="J192" s="283"/>
      <c r="K192" s="283"/>
      <c r="L192" s="284"/>
      <c r="M192" s="284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  <c r="AA192" s="159"/>
    </row>
    <row r="193">
      <c r="A193" s="274"/>
      <c r="B193" s="281"/>
      <c r="C193" s="282"/>
      <c r="D193" s="283"/>
      <c r="E193" s="284"/>
      <c r="F193" s="284"/>
      <c r="G193" s="285"/>
      <c r="H193" s="283"/>
      <c r="I193" s="283"/>
      <c r="J193" s="283"/>
      <c r="K193" s="283"/>
      <c r="L193" s="284"/>
      <c r="M193" s="284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  <c r="AA193" s="159"/>
    </row>
    <row r="194">
      <c r="A194" s="274"/>
      <c r="B194" s="281"/>
      <c r="C194" s="282"/>
      <c r="D194" s="283"/>
      <c r="E194" s="284"/>
      <c r="F194" s="284"/>
      <c r="G194" s="285"/>
      <c r="H194" s="283"/>
      <c r="I194" s="283"/>
      <c r="J194" s="283"/>
      <c r="K194" s="283"/>
      <c r="L194" s="284"/>
      <c r="M194" s="284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  <c r="AA194" s="159"/>
    </row>
    <row r="195">
      <c r="A195" s="274"/>
      <c r="B195" s="281"/>
      <c r="C195" s="282"/>
      <c r="D195" s="283"/>
      <c r="E195" s="284"/>
      <c r="F195" s="284"/>
      <c r="G195" s="285"/>
      <c r="H195" s="283"/>
      <c r="I195" s="283"/>
      <c r="J195" s="283"/>
      <c r="K195" s="283"/>
      <c r="L195" s="284"/>
      <c r="M195" s="284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  <c r="AA195" s="159"/>
    </row>
    <row r="196">
      <c r="A196" s="274"/>
      <c r="B196" s="281"/>
      <c r="C196" s="282"/>
      <c r="D196" s="283"/>
      <c r="E196" s="284"/>
      <c r="F196" s="284"/>
      <c r="G196" s="285"/>
      <c r="H196" s="283"/>
      <c r="I196" s="283"/>
      <c r="J196" s="283"/>
      <c r="K196" s="283"/>
      <c r="L196" s="284"/>
      <c r="M196" s="284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  <c r="AA196" s="159"/>
    </row>
    <row r="197">
      <c r="A197" s="274"/>
      <c r="B197" s="281"/>
      <c r="C197" s="282"/>
      <c r="D197" s="283"/>
      <c r="E197" s="284"/>
      <c r="F197" s="284"/>
      <c r="G197" s="285"/>
      <c r="H197" s="283"/>
      <c r="I197" s="283"/>
      <c r="J197" s="283"/>
      <c r="K197" s="283"/>
      <c r="L197" s="284"/>
      <c r="M197" s="284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</row>
    <row r="198">
      <c r="A198" s="274"/>
      <c r="B198" s="281"/>
      <c r="C198" s="282"/>
      <c r="D198" s="283"/>
      <c r="E198" s="284"/>
      <c r="F198" s="284"/>
      <c r="G198" s="285"/>
      <c r="H198" s="283"/>
      <c r="I198" s="283"/>
      <c r="J198" s="283"/>
      <c r="K198" s="283"/>
      <c r="L198" s="284"/>
      <c r="M198" s="284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  <c r="AA198" s="159"/>
    </row>
    <row r="199">
      <c r="A199" s="274"/>
      <c r="B199" s="281"/>
      <c r="C199" s="282"/>
      <c r="D199" s="283"/>
      <c r="E199" s="284"/>
      <c r="F199" s="284"/>
      <c r="G199" s="285"/>
      <c r="H199" s="283"/>
      <c r="I199" s="283"/>
      <c r="J199" s="283"/>
      <c r="K199" s="283"/>
      <c r="L199" s="284"/>
      <c r="M199" s="284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  <c r="AA199" s="159"/>
    </row>
    <row r="200">
      <c r="A200" s="274"/>
      <c r="B200" s="281"/>
      <c r="C200" s="282"/>
      <c r="D200" s="283"/>
      <c r="E200" s="284"/>
      <c r="F200" s="284"/>
      <c r="G200" s="285"/>
      <c r="H200" s="283"/>
      <c r="I200" s="283"/>
      <c r="J200" s="283"/>
      <c r="K200" s="283"/>
      <c r="L200" s="284"/>
      <c r="M200" s="284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</row>
    <row r="201">
      <c r="A201" s="274"/>
      <c r="B201" s="281"/>
      <c r="C201" s="282"/>
      <c r="D201" s="283"/>
      <c r="E201" s="284"/>
      <c r="F201" s="284"/>
      <c r="G201" s="285"/>
      <c r="H201" s="283"/>
      <c r="I201" s="283"/>
      <c r="J201" s="283"/>
      <c r="K201" s="283"/>
      <c r="L201" s="284"/>
      <c r="M201" s="284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  <c r="AA201" s="159"/>
    </row>
    <row r="202">
      <c r="A202" s="274"/>
      <c r="B202" s="281"/>
      <c r="C202" s="282"/>
      <c r="D202" s="283"/>
      <c r="E202" s="284"/>
      <c r="F202" s="284"/>
      <c r="G202" s="285"/>
      <c r="H202" s="283"/>
      <c r="I202" s="283"/>
      <c r="J202" s="283"/>
      <c r="K202" s="283"/>
      <c r="L202" s="284"/>
      <c r="M202" s="284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  <c r="AA202" s="159"/>
    </row>
    <row r="203">
      <c r="A203" s="274"/>
      <c r="B203" s="281"/>
      <c r="C203" s="282"/>
      <c r="D203" s="283"/>
      <c r="E203" s="284"/>
      <c r="F203" s="284"/>
      <c r="G203" s="285"/>
      <c r="H203" s="283"/>
      <c r="I203" s="283"/>
      <c r="J203" s="283"/>
      <c r="K203" s="283"/>
      <c r="L203" s="284"/>
      <c r="M203" s="284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9"/>
    </row>
    <row r="204">
      <c r="A204" s="274"/>
      <c r="B204" s="281"/>
      <c r="C204" s="282"/>
      <c r="D204" s="283"/>
      <c r="E204" s="284"/>
      <c r="F204" s="284"/>
      <c r="G204" s="285"/>
      <c r="H204" s="283"/>
      <c r="I204" s="283"/>
      <c r="J204" s="283"/>
      <c r="K204" s="283"/>
      <c r="L204" s="284"/>
      <c r="M204" s="284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  <c r="AA204" s="159"/>
    </row>
    <row r="205">
      <c r="A205" s="274"/>
      <c r="B205" s="281"/>
      <c r="C205" s="282"/>
      <c r="D205" s="283"/>
      <c r="E205" s="284"/>
      <c r="F205" s="284"/>
      <c r="G205" s="285"/>
      <c r="H205" s="283"/>
      <c r="I205" s="283"/>
      <c r="J205" s="283"/>
      <c r="K205" s="283"/>
      <c r="L205" s="284"/>
      <c r="M205" s="284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  <c r="AA205" s="159"/>
    </row>
    <row r="206">
      <c r="A206" s="274"/>
      <c r="B206" s="281"/>
      <c r="C206" s="282"/>
      <c r="D206" s="283"/>
      <c r="E206" s="284"/>
      <c r="F206" s="284"/>
      <c r="G206" s="285"/>
      <c r="H206" s="283"/>
      <c r="I206" s="283"/>
      <c r="J206" s="283"/>
      <c r="K206" s="283"/>
      <c r="L206" s="284"/>
      <c r="M206" s="284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  <c r="AA206" s="159"/>
    </row>
    <row r="207">
      <c r="A207" s="274"/>
      <c r="B207" s="281"/>
      <c r="C207" s="282"/>
      <c r="D207" s="283"/>
      <c r="E207" s="284"/>
      <c r="F207" s="284"/>
      <c r="G207" s="285"/>
      <c r="H207" s="283"/>
      <c r="I207" s="283"/>
      <c r="J207" s="283"/>
      <c r="K207" s="283"/>
      <c r="L207" s="284"/>
      <c r="M207" s="284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  <c r="AA207" s="159"/>
    </row>
    <row r="208">
      <c r="A208" s="274"/>
      <c r="B208" s="281"/>
      <c r="C208" s="282"/>
      <c r="D208" s="283"/>
      <c r="E208" s="284"/>
      <c r="F208" s="284"/>
      <c r="G208" s="285"/>
      <c r="H208" s="283"/>
      <c r="I208" s="283"/>
      <c r="J208" s="283"/>
      <c r="K208" s="283"/>
      <c r="L208" s="284"/>
      <c r="M208" s="284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  <c r="AA208" s="159"/>
    </row>
    <row r="209">
      <c r="A209" s="274"/>
      <c r="B209" s="281"/>
      <c r="C209" s="282"/>
      <c r="D209" s="283"/>
      <c r="E209" s="284"/>
      <c r="F209" s="284"/>
      <c r="G209" s="285"/>
      <c r="H209" s="283"/>
      <c r="I209" s="283"/>
      <c r="J209" s="283"/>
      <c r="K209" s="283"/>
      <c r="L209" s="284"/>
      <c r="M209" s="284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  <c r="AA209" s="159"/>
    </row>
    <row r="210">
      <c r="A210" s="274"/>
      <c r="B210" s="281"/>
      <c r="C210" s="282"/>
      <c r="D210" s="283"/>
      <c r="E210" s="284"/>
      <c r="F210" s="284"/>
      <c r="G210" s="285"/>
      <c r="H210" s="283"/>
      <c r="I210" s="283"/>
      <c r="J210" s="283"/>
      <c r="K210" s="283"/>
      <c r="L210" s="284"/>
      <c r="M210" s="284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  <c r="AA210" s="159"/>
    </row>
    <row r="211">
      <c r="A211" s="274"/>
      <c r="B211" s="281"/>
      <c r="C211" s="282"/>
      <c r="D211" s="283"/>
      <c r="E211" s="284"/>
      <c r="F211" s="284"/>
      <c r="G211" s="285"/>
      <c r="H211" s="283"/>
      <c r="I211" s="283"/>
      <c r="J211" s="283"/>
      <c r="K211" s="283"/>
      <c r="L211" s="284"/>
      <c r="M211" s="284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  <c r="AA211" s="159"/>
    </row>
    <row r="212">
      <c r="A212" s="274"/>
      <c r="B212" s="281"/>
      <c r="C212" s="282"/>
      <c r="D212" s="283"/>
      <c r="E212" s="284"/>
      <c r="F212" s="284"/>
      <c r="G212" s="285"/>
      <c r="H212" s="283"/>
      <c r="I212" s="283"/>
      <c r="J212" s="283"/>
      <c r="K212" s="283"/>
      <c r="L212" s="284"/>
      <c r="M212" s="284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  <c r="AA212" s="159"/>
    </row>
    <row r="213">
      <c r="A213" s="274"/>
      <c r="B213" s="281"/>
      <c r="C213" s="282"/>
      <c r="D213" s="283"/>
      <c r="E213" s="284"/>
      <c r="F213" s="284"/>
      <c r="G213" s="285"/>
      <c r="H213" s="283"/>
      <c r="I213" s="283"/>
      <c r="J213" s="283"/>
      <c r="K213" s="283"/>
      <c r="L213" s="284"/>
      <c r="M213" s="284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  <c r="AA213" s="159"/>
    </row>
    <row r="214">
      <c r="A214" s="274"/>
      <c r="B214" s="281"/>
      <c r="C214" s="282"/>
      <c r="D214" s="283"/>
      <c r="E214" s="284"/>
      <c r="F214" s="284"/>
      <c r="G214" s="285"/>
      <c r="H214" s="283"/>
      <c r="I214" s="283"/>
      <c r="J214" s="283"/>
      <c r="K214" s="283"/>
      <c r="L214" s="284"/>
      <c r="M214" s="284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  <c r="AA214" s="159"/>
    </row>
    <row r="215">
      <c r="A215" s="274"/>
      <c r="B215" s="281"/>
      <c r="C215" s="282"/>
      <c r="D215" s="283"/>
      <c r="E215" s="284"/>
      <c r="F215" s="284"/>
      <c r="G215" s="285"/>
      <c r="H215" s="283"/>
      <c r="I215" s="283"/>
      <c r="J215" s="283"/>
      <c r="K215" s="283"/>
      <c r="L215" s="284"/>
      <c r="M215" s="284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  <c r="AA215" s="159"/>
    </row>
    <row r="216">
      <c r="A216" s="274"/>
      <c r="B216" s="281"/>
      <c r="C216" s="282"/>
      <c r="D216" s="283"/>
      <c r="E216" s="284"/>
      <c r="F216" s="284"/>
      <c r="G216" s="285"/>
      <c r="H216" s="283"/>
      <c r="I216" s="283"/>
      <c r="J216" s="283"/>
      <c r="K216" s="283"/>
      <c r="L216" s="284"/>
      <c r="M216" s="284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  <c r="AA216" s="159"/>
    </row>
    <row r="217">
      <c r="A217" s="274"/>
      <c r="B217" s="281"/>
      <c r="C217" s="282"/>
      <c r="D217" s="283"/>
      <c r="E217" s="284"/>
      <c r="F217" s="284"/>
      <c r="G217" s="285"/>
      <c r="H217" s="283"/>
      <c r="I217" s="283"/>
      <c r="J217" s="283"/>
      <c r="K217" s="283"/>
      <c r="L217" s="284"/>
      <c r="M217" s="284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  <c r="AA217" s="159"/>
    </row>
    <row r="218">
      <c r="A218" s="274"/>
      <c r="B218" s="281"/>
      <c r="C218" s="282"/>
      <c r="D218" s="283"/>
      <c r="E218" s="284"/>
      <c r="F218" s="284"/>
      <c r="G218" s="285"/>
      <c r="H218" s="283"/>
      <c r="I218" s="283"/>
      <c r="J218" s="283"/>
      <c r="K218" s="283"/>
      <c r="L218" s="284"/>
      <c r="M218" s="284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  <c r="AA218" s="159"/>
    </row>
    <row r="219">
      <c r="A219" s="274"/>
      <c r="B219" s="281"/>
      <c r="C219" s="282"/>
      <c r="D219" s="283"/>
      <c r="E219" s="284"/>
      <c r="F219" s="284"/>
      <c r="G219" s="285"/>
      <c r="H219" s="283"/>
      <c r="I219" s="283"/>
      <c r="J219" s="283"/>
      <c r="K219" s="283"/>
      <c r="L219" s="284"/>
      <c r="M219" s="284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  <c r="AA219" s="159"/>
    </row>
    <row r="220">
      <c r="A220" s="274"/>
      <c r="B220" s="281"/>
      <c r="C220" s="282"/>
      <c r="D220" s="283"/>
      <c r="E220" s="284"/>
      <c r="F220" s="284"/>
      <c r="G220" s="285"/>
      <c r="H220" s="283"/>
      <c r="I220" s="283"/>
      <c r="J220" s="283"/>
      <c r="K220" s="283"/>
      <c r="L220" s="284"/>
      <c r="M220" s="284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  <c r="AA220" s="159"/>
    </row>
    <row r="221">
      <c r="A221" s="274"/>
      <c r="B221" s="281"/>
      <c r="C221" s="282"/>
      <c r="D221" s="283"/>
      <c r="E221" s="284"/>
      <c r="F221" s="284"/>
      <c r="G221" s="285"/>
      <c r="H221" s="283"/>
      <c r="I221" s="283"/>
      <c r="J221" s="283"/>
      <c r="K221" s="283"/>
      <c r="L221" s="284"/>
      <c r="M221" s="284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  <c r="AA221" s="159"/>
    </row>
    <row r="222">
      <c r="A222" s="274"/>
      <c r="B222" s="281"/>
      <c r="C222" s="282"/>
      <c r="D222" s="283"/>
      <c r="E222" s="284"/>
      <c r="F222" s="284"/>
      <c r="G222" s="285"/>
      <c r="H222" s="283"/>
      <c r="I222" s="283"/>
      <c r="J222" s="283"/>
      <c r="K222" s="283"/>
      <c r="L222" s="284"/>
      <c r="M222" s="284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  <c r="AA222" s="159"/>
    </row>
    <row r="223">
      <c r="A223" s="274"/>
      <c r="B223" s="281"/>
      <c r="C223" s="282"/>
      <c r="D223" s="283"/>
      <c r="E223" s="284"/>
      <c r="F223" s="284"/>
      <c r="G223" s="285"/>
      <c r="H223" s="283"/>
      <c r="I223" s="283"/>
      <c r="J223" s="283"/>
      <c r="K223" s="283"/>
      <c r="L223" s="284"/>
      <c r="M223" s="284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  <c r="AA223" s="159"/>
    </row>
    <row r="224">
      <c r="A224" s="274"/>
      <c r="B224" s="281"/>
      <c r="C224" s="282"/>
      <c r="D224" s="283"/>
      <c r="E224" s="284"/>
      <c r="F224" s="284"/>
      <c r="G224" s="285"/>
      <c r="H224" s="283"/>
      <c r="I224" s="283"/>
      <c r="J224" s="283"/>
      <c r="K224" s="283"/>
      <c r="L224" s="284"/>
      <c r="M224" s="284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  <c r="AA224" s="159"/>
    </row>
    <row r="225">
      <c r="A225" s="274"/>
      <c r="B225" s="281"/>
      <c r="C225" s="282"/>
      <c r="D225" s="283"/>
      <c r="E225" s="284"/>
      <c r="F225" s="284"/>
      <c r="G225" s="285"/>
      <c r="H225" s="283"/>
      <c r="I225" s="283"/>
      <c r="J225" s="283"/>
      <c r="K225" s="283"/>
      <c r="L225" s="284"/>
      <c r="M225" s="284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  <c r="AA225" s="159"/>
    </row>
    <row r="226">
      <c r="A226" s="274"/>
      <c r="B226" s="281"/>
      <c r="C226" s="282"/>
      <c r="D226" s="283"/>
      <c r="E226" s="284"/>
      <c r="F226" s="284"/>
      <c r="G226" s="285"/>
      <c r="H226" s="283"/>
      <c r="I226" s="283"/>
      <c r="J226" s="283"/>
      <c r="K226" s="283"/>
      <c r="L226" s="284"/>
      <c r="M226" s="284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  <c r="AA226" s="159"/>
    </row>
    <row r="227">
      <c r="A227" s="274"/>
      <c r="B227" s="281"/>
      <c r="C227" s="282"/>
      <c r="D227" s="283"/>
      <c r="E227" s="284"/>
      <c r="F227" s="284"/>
      <c r="G227" s="285"/>
      <c r="H227" s="283"/>
      <c r="I227" s="283"/>
      <c r="J227" s="283"/>
      <c r="K227" s="283"/>
      <c r="L227" s="284"/>
      <c r="M227" s="284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  <c r="AA227" s="159"/>
    </row>
    <row r="228">
      <c r="A228" s="274"/>
      <c r="B228" s="281"/>
      <c r="C228" s="282"/>
      <c r="D228" s="283"/>
      <c r="E228" s="284"/>
      <c r="F228" s="284"/>
      <c r="G228" s="285"/>
      <c r="H228" s="283"/>
      <c r="I228" s="283"/>
      <c r="J228" s="283"/>
      <c r="K228" s="283"/>
      <c r="L228" s="284"/>
      <c r="M228" s="284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  <c r="AA228" s="159"/>
    </row>
    <row r="229">
      <c r="A229" s="274"/>
      <c r="B229" s="281"/>
      <c r="C229" s="282"/>
      <c r="D229" s="283"/>
      <c r="E229" s="284"/>
      <c r="F229" s="284"/>
      <c r="G229" s="285"/>
      <c r="H229" s="283"/>
      <c r="I229" s="283"/>
      <c r="J229" s="283"/>
      <c r="K229" s="283"/>
      <c r="L229" s="284"/>
      <c r="M229" s="284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  <c r="AA229" s="159"/>
    </row>
    <row r="230">
      <c r="A230" s="274"/>
      <c r="B230" s="281"/>
      <c r="C230" s="282"/>
      <c r="D230" s="283"/>
      <c r="E230" s="284"/>
      <c r="F230" s="284"/>
      <c r="G230" s="285"/>
      <c r="H230" s="283"/>
      <c r="I230" s="283"/>
      <c r="J230" s="283"/>
      <c r="K230" s="283"/>
      <c r="L230" s="284"/>
      <c r="M230" s="284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  <c r="AA230" s="159"/>
    </row>
    <row r="231">
      <c r="A231" s="274"/>
      <c r="B231" s="281"/>
      <c r="C231" s="282"/>
      <c r="D231" s="283"/>
      <c r="E231" s="284"/>
      <c r="F231" s="284"/>
      <c r="G231" s="285"/>
      <c r="H231" s="283"/>
      <c r="I231" s="283"/>
      <c r="J231" s="283"/>
      <c r="K231" s="283"/>
      <c r="L231" s="284"/>
      <c r="M231" s="284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  <c r="AA231" s="159"/>
    </row>
    <row r="232">
      <c r="A232" s="274"/>
      <c r="B232" s="281"/>
      <c r="C232" s="282"/>
      <c r="D232" s="283"/>
      <c r="E232" s="284"/>
      <c r="F232" s="284"/>
      <c r="G232" s="285"/>
      <c r="H232" s="283"/>
      <c r="I232" s="283"/>
      <c r="J232" s="283"/>
      <c r="K232" s="283"/>
      <c r="L232" s="284"/>
      <c r="M232" s="284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  <c r="AA232" s="159"/>
    </row>
    <row r="233">
      <c r="A233" s="274"/>
      <c r="B233" s="281"/>
      <c r="C233" s="282"/>
      <c r="D233" s="283"/>
      <c r="E233" s="284"/>
      <c r="F233" s="284"/>
      <c r="G233" s="285"/>
      <c r="H233" s="283"/>
      <c r="I233" s="283"/>
      <c r="J233" s="283"/>
      <c r="K233" s="283"/>
      <c r="L233" s="284"/>
      <c r="M233" s="284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  <c r="AA233" s="159"/>
    </row>
    <row r="234">
      <c r="A234" s="274"/>
      <c r="B234" s="281"/>
      <c r="C234" s="282"/>
      <c r="D234" s="283"/>
      <c r="E234" s="284"/>
      <c r="F234" s="284"/>
      <c r="G234" s="285"/>
      <c r="H234" s="283"/>
      <c r="I234" s="283"/>
      <c r="J234" s="283"/>
      <c r="K234" s="283"/>
      <c r="L234" s="284"/>
      <c r="M234" s="284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  <c r="AA234" s="159"/>
    </row>
    <row r="235">
      <c r="A235" s="274"/>
      <c r="B235" s="281"/>
      <c r="C235" s="282"/>
      <c r="D235" s="283"/>
      <c r="E235" s="284"/>
      <c r="F235" s="284"/>
      <c r="G235" s="285"/>
      <c r="H235" s="283"/>
      <c r="I235" s="283"/>
      <c r="J235" s="283"/>
      <c r="K235" s="283"/>
      <c r="L235" s="288"/>
      <c r="M235" s="288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  <c r="AA235" s="159"/>
    </row>
    <row r="236">
      <c r="A236" s="274"/>
      <c r="B236" s="281"/>
      <c r="C236" s="282"/>
      <c r="D236" s="283"/>
      <c r="E236" s="284"/>
      <c r="F236" s="284"/>
      <c r="G236" s="285"/>
      <c r="H236" s="283"/>
      <c r="I236" s="283"/>
      <c r="J236" s="283"/>
      <c r="K236" s="283"/>
      <c r="L236" s="288"/>
      <c r="M236" s="288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  <c r="AA236" s="159"/>
    </row>
    <row r="237">
      <c r="A237" s="274"/>
      <c r="B237" s="281"/>
      <c r="C237" s="282"/>
      <c r="D237" s="283"/>
      <c r="E237" s="284"/>
      <c r="F237" s="284"/>
      <c r="G237" s="285"/>
      <c r="H237" s="283"/>
      <c r="I237" s="283"/>
      <c r="J237" s="283"/>
      <c r="K237" s="283"/>
      <c r="L237" s="288"/>
      <c r="M237" s="288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  <c r="AA237" s="159"/>
    </row>
    <row r="238">
      <c r="A238" s="274"/>
      <c r="B238" s="281"/>
      <c r="C238" s="282"/>
      <c r="D238" s="283"/>
      <c r="E238" s="284"/>
      <c r="F238" s="284"/>
      <c r="G238" s="285"/>
      <c r="H238" s="283"/>
      <c r="I238" s="283"/>
      <c r="J238" s="283"/>
      <c r="K238" s="283"/>
      <c r="L238" s="288"/>
      <c r="M238" s="288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  <c r="AA238" s="159"/>
    </row>
    <row r="239">
      <c r="A239" s="274"/>
      <c r="B239" s="281"/>
      <c r="C239" s="282"/>
      <c r="D239" s="283"/>
      <c r="E239" s="284"/>
      <c r="F239" s="284"/>
      <c r="G239" s="285"/>
      <c r="H239" s="283"/>
      <c r="I239" s="283"/>
      <c r="J239" s="283"/>
      <c r="K239" s="283"/>
      <c r="L239" s="288"/>
      <c r="M239" s="288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  <c r="AA239" s="159"/>
    </row>
    <row r="240">
      <c r="A240" s="274"/>
      <c r="B240" s="281"/>
      <c r="C240" s="282"/>
      <c r="D240" s="283"/>
      <c r="E240" s="284"/>
      <c r="F240" s="284"/>
      <c r="G240" s="285"/>
      <c r="H240" s="283"/>
      <c r="I240" s="283"/>
      <c r="J240" s="283"/>
      <c r="K240" s="283"/>
      <c r="L240" s="288"/>
      <c r="M240" s="288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  <c r="AA240" s="159"/>
    </row>
    <row r="241">
      <c r="A241" s="274"/>
      <c r="B241" s="281"/>
      <c r="C241" s="282"/>
      <c r="D241" s="283"/>
      <c r="E241" s="284"/>
      <c r="F241" s="284"/>
      <c r="G241" s="285"/>
      <c r="H241" s="283"/>
      <c r="I241" s="283"/>
      <c r="J241" s="283"/>
      <c r="K241" s="283"/>
      <c r="L241" s="288"/>
      <c r="M241" s="288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  <c r="AA241" s="159"/>
    </row>
    <row r="242">
      <c r="A242" s="274"/>
      <c r="B242" s="281"/>
      <c r="C242" s="282"/>
      <c r="D242" s="283"/>
      <c r="E242" s="284"/>
      <c r="F242" s="284"/>
      <c r="G242" s="285"/>
      <c r="H242" s="283"/>
      <c r="I242" s="283"/>
      <c r="J242" s="283"/>
      <c r="K242" s="283"/>
      <c r="L242" s="288"/>
      <c r="M242" s="288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  <c r="AA242" s="159"/>
    </row>
    <row r="243">
      <c r="A243" s="274"/>
      <c r="B243" s="281"/>
      <c r="C243" s="282"/>
      <c r="D243" s="283"/>
      <c r="E243" s="284"/>
      <c r="F243" s="284"/>
      <c r="G243" s="285"/>
      <c r="H243" s="283"/>
      <c r="I243" s="283"/>
      <c r="J243" s="283"/>
      <c r="K243" s="283"/>
      <c r="L243" s="288"/>
      <c r="M243" s="288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  <c r="AA243" s="159"/>
    </row>
    <row r="244">
      <c r="A244" s="274"/>
      <c r="B244" s="281"/>
      <c r="C244" s="282"/>
      <c r="D244" s="283"/>
      <c r="E244" s="284"/>
      <c r="F244" s="284"/>
      <c r="G244" s="285"/>
      <c r="H244" s="283"/>
      <c r="I244" s="283"/>
      <c r="J244" s="283"/>
      <c r="K244" s="283"/>
      <c r="L244" s="288"/>
      <c r="M244" s="288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  <c r="AA244" s="159"/>
    </row>
    <row r="245">
      <c r="A245" s="274"/>
      <c r="B245" s="281"/>
      <c r="C245" s="282"/>
      <c r="D245" s="283"/>
      <c r="E245" s="284"/>
      <c r="F245" s="284"/>
      <c r="G245" s="285"/>
      <c r="H245" s="283"/>
      <c r="I245" s="283"/>
      <c r="J245" s="283"/>
      <c r="K245" s="283"/>
      <c r="L245" s="288"/>
      <c r="M245" s="288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  <c r="AA245" s="159"/>
    </row>
    <row r="246">
      <c r="A246" s="274"/>
      <c r="B246" s="281"/>
      <c r="C246" s="282"/>
      <c r="D246" s="283"/>
      <c r="E246" s="284"/>
      <c r="F246" s="284"/>
      <c r="G246" s="285"/>
      <c r="H246" s="283"/>
      <c r="I246" s="283"/>
      <c r="J246" s="283"/>
      <c r="K246" s="283"/>
      <c r="L246" s="288"/>
      <c r="M246" s="288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  <c r="AA246" s="159"/>
    </row>
    <row r="247">
      <c r="A247" s="274"/>
      <c r="B247" s="281"/>
      <c r="C247" s="282"/>
      <c r="D247" s="283"/>
      <c r="E247" s="284"/>
      <c r="F247" s="284"/>
      <c r="G247" s="285"/>
      <c r="H247" s="283"/>
      <c r="I247" s="283"/>
      <c r="J247" s="283"/>
      <c r="K247" s="283"/>
      <c r="L247" s="288"/>
      <c r="M247" s="288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  <c r="AA247" s="159"/>
    </row>
    <row r="248">
      <c r="A248" s="274"/>
      <c r="B248" s="281"/>
      <c r="C248" s="282"/>
      <c r="D248" s="283"/>
      <c r="E248" s="284"/>
      <c r="F248" s="284"/>
      <c r="G248" s="285"/>
      <c r="H248" s="283"/>
      <c r="I248" s="283"/>
      <c r="J248" s="283"/>
      <c r="K248" s="283"/>
      <c r="L248" s="288"/>
      <c r="M248" s="288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  <c r="AA248" s="159"/>
    </row>
    <row r="249">
      <c r="A249" s="274"/>
      <c r="B249" s="281"/>
      <c r="C249" s="282"/>
      <c r="D249" s="283"/>
      <c r="E249" s="284"/>
      <c r="F249" s="284"/>
      <c r="G249" s="285"/>
      <c r="H249" s="283"/>
      <c r="I249" s="283"/>
      <c r="J249" s="283"/>
      <c r="K249" s="283"/>
      <c r="L249" s="288"/>
      <c r="M249" s="288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  <c r="AA249" s="159"/>
    </row>
    <row r="250">
      <c r="A250" s="274"/>
      <c r="B250" s="281"/>
      <c r="C250" s="282"/>
      <c r="D250" s="283"/>
      <c r="E250" s="284"/>
      <c r="F250" s="284"/>
      <c r="G250" s="285"/>
      <c r="H250" s="283"/>
      <c r="I250" s="283"/>
      <c r="J250" s="283"/>
      <c r="K250" s="283"/>
      <c r="L250" s="288"/>
      <c r="M250" s="288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  <c r="AA250" s="159"/>
    </row>
    <row r="251">
      <c r="A251" s="274"/>
      <c r="B251" s="281"/>
      <c r="C251" s="282"/>
      <c r="D251" s="283"/>
      <c r="E251" s="284"/>
      <c r="F251" s="284"/>
      <c r="G251" s="285"/>
      <c r="H251" s="283"/>
      <c r="I251" s="283"/>
      <c r="J251" s="283"/>
      <c r="K251" s="283"/>
      <c r="L251" s="288"/>
      <c r="M251" s="288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  <c r="AA251" s="159"/>
    </row>
    <row r="252">
      <c r="A252" s="274"/>
      <c r="B252" s="281"/>
      <c r="C252" s="282"/>
      <c r="D252" s="283"/>
      <c r="E252" s="284"/>
      <c r="F252" s="284"/>
      <c r="G252" s="285"/>
      <c r="H252" s="283"/>
      <c r="I252" s="283"/>
      <c r="J252" s="283"/>
      <c r="K252" s="283"/>
      <c r="L252" s="288"/>
      <c r="M252" s="288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  <c r="AA252" s="159"/>
    </row>
    <row r="253">
      <c r="A253" s="274"/>
      <c r="B253" s="281"/>
      <c r="C253" s="282"/>
      <c r="D253" s="283"/>
      <c r="E253" s="284"/>
      <c r="F253" s="284"/>
      <c r="G253" s="285"/>
      <c r="H253" s="283"/>
      <c r="I253" s="283"/>
      <c r="J253" s="283"/>
      <c r="K253" s="283"/>
      <c r="L253" s="288"/>
      <c r="M253" s="288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  <c r="AA253" s="159"/>
    </row>
    <row r="254">
      <c r="A254" s="274"/>
      <c r="B254" s="281"/>
      <c r="C254" s="282"/>
      <c r="D254" s="283"/>
      <c r="E254" s="284"/>
      <c r="F254" s="284"/>
      <c r="G254" s="285"/>
      <c r="H254" s="283"/>
      <c r="I254" s="283"/>
      <c r="J254" s="283"/>
      <c r="K254" s="283"/>
      <c r="L254" s="288"/>
      <c r="M254" s="288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  <c r="AA254" s="159"/>
    </row>
    <row r="255">
      <c r="A255" s="274"/>
      <c r="B255" s="281"/>
      <c r="C255" s="282"/>
      <c r="D255" s="283"/>
      <c r="E255" s="284"/>
      <c r="F255" s="284"/>
      <c r="G255" s="285"/>
      <c r="H255" s="283"/>
      <c r="I255" s="283"/>
      <c r="J255" s="283"/>
      <c r="K255" s="283"/>
      <c r="L255" s="288"/>
      <c r="M255" s="288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  <c r="AA255" s="159"/>
    </row>
    <row r="256">
      <c r="A256" s="274"/>
      <c r="B256" s="281"/>
      <c r="C256" s="282"/>
      <c r="D256" s="283"/>
      <c r="E256" s="284"/>
      <c r="F256" s="284"/>
      <c r="G256" s="285"/>
      <c r="H256" s="283"/>
      <c r="I256" s="283"/>
      <c r="J256" s="283"/>
      <c r="K256" s="283"/>
      <c r="L256" s="288"/>
      <c r="M256" s="288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  <c r="AA256" s="159"/>
    </row>
    <row r="257">
      <c r="A257" s="274"/>
      <c r="B257" s="281"/>
      <c r="C257" s="282"/>
      <c r="D257" s="283"/>
      <c r="E257" s="284"/>
      <c r="F257" s="284"/>
      <c r="G257" s="285"/>
      <c r="H257" s="283"/>
      <c r="I257" s="283"/>
      <c r="J257" s="283"/>
      <c r="K257" s="283"/>
      <c r="L257" s="288"/>
      <c r="M257" s="288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  <c r="AA257" s="159"/>
    </row>
    <row r="258">
      <c r="A258" s="274"/>
      <c r="B258" s="281"/>
      <c r="C258" s="282"/>
      <c r="D258" s="283"/>
      <c r="E258" s="284"/>
      <c r="F258" s="284"/>
      <c r="G258" s="285"/>
      <c r="H258" s="283"/>
      <c r="I258" s="283"/>
      <c r="J258" s="283"/>
      <c r="K258" s="283"/>
      <c r="L258" s="288"/>
      <c r="M258" s="288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  <c r="AA258" s="159"/>
    </row>
    <row r="259">
      <c r="A259" s="274"/>
      <c r="B259" s="281"/>
      <c r="C259" s="282"/>
      <c r="D259" s="283"/>
      <c r="E259" s="284"/>
      <c r="F259" s="284"/>
      <c r="G259" s="285"/>
      <c r="H259" s="283"/>
      <c r="I259" s="283"/>
      <c r="J259" s="283"/>
      <c r="K259" s="283"/>
      <c r="L259" s="288"/>
      <c r="M259" s="288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  <c r="AA259" s="159"/>
    </row>
    <row r="260">
      <c r="A260" s="274"/>
      <c r="B260" s="281"/>
      <c r="C260" s="282"/>
      <c r="D260" s="283"/>
      <c r="E260" s="284"/>
      <c r="F260" s="284"/>
      <c r="G260" s="285"/>
      <c r="H260" s="283"/>
      <c r="I260" s="283"/>
      <c r="J260" s="283"/>
      <c r="K260" s="283"/>
      <c r="L260" s="288"/>
      <c r="M260" s="288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  <c r="AA260" s="159"/>
    </row>
    <row r="261">
      <c r="A261" s="274"/>
      <c r="B261" s="281"/>
      <c r="C261" s="282"/>
      <c r="D261" s="283"/>
      <c r="E261" s="284"/>
      <c r="F261" s="284"/>
      <c r="G261" s="285"/>
      <c r="H261" s="283"/>
      <c r="I261" s="283"/>
      <c r="J261" s="283"/>
      <c r="K261" s="283"/>
      <c r="L261" s="288"/>
      <c r="M261" s="288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  <c r="AA261" s="159"/>
    </row>
    <row r="262">
      <c r="A262" s="274"/>
      <c r="B262" s="281"/>
      <c r="C262" s="282"/>
      <c r="D262" s="283"/>
      <c r="E262" s="284"/>
      <c r="F262" s="284"/>
      <c r="G262" s="285"/>
      <c r="H262" s="283"/>
      <c r="I262" s="283"/>
      <c r="J262" s="283"/>
      <c r="K262" s="283"/>
      <c r="L262" s="288"/>
      <c r="M262" s="288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  <c r="AA262" s="159"/>
    </row>
    <row r="263">
      <c r="A263" s="274"/>
      <c r="B263" s="281"/>
      <c r="C263" s="282"/>
      <c r="D263" s="283"/>
      <c r="E263" s="284"/>
      <c r="F263" s="284"/>
      <c r="G263" s="285"/>
      <c r="H263" s="283"/>
      <c r="I263" s="283"/>
      <c r="J263" s="283"/>
      <c r="K263" s="283"/>
      <c r="L263" s="288"/>
      <c r="M263" s="288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  <c r="AA263" s="159"/>
    </row>
    <row r="264">
      <c r="A264" s="274"/>
      <c r="B264" s="281"/>
      <c r="C264" s="282"/>
      <c r="D264" s="283"/>
      <c r="E264" s="284"/>
      <c r="F264" s="284"/>
      <c r="G264" s="285"/>
      <c r="H264" s="283"/>
      <c r="I264" s="283"/>
      <c r="J264" s="283"/>
      <c r="K264" s="283"/>
      <c r="L264" s="288"/>
      <c r="M264" s="288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  <c r="AA264" s="159"/>
    </row>
    <row r="265">
      <c r="A265" s="274"/>
      <c r="B265" s="281"/>
      <c r="C265" s="282"/>
      <c r="D265" s="283"/>
      <c r="E265" s="284"/>
      <c r="F265" s="284"/>
      <c r="G265" s="285"/>
      <c r="H265" s="283"/>
      <c r="I265" s="283"/>
      <c r="J265" s="283"/>
      <c r="K265" s="283"/>
      <c r="L265" s="288"/>
      <c r="M265" s="288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  <c r="AA265" s="159"/>
    </row>
    <row r="266">
      <c r="A266" s="274"/>
      <c r="B266" s="281"/>
      <c r="C266" s="282"/>
      <c r="D266" s="283"/>
      <c r="E266" s="284"/>
      <c r="F266" s="284"/>
      <c r="G266" s="285"/>
      <c r="H266" s="283"/>
      <c r="I266" s="283"/>
      <c r="J266" s="283"/>
      <c r="K266" s="283"/>
      <c r="L266" s="288"/>
      <c r="M266" s="288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  <c r="AA266" s="159"/>
    </row>
    <row r="267">
      <c r="A267" s="274"/>
      <c r="B267" s="281"/>
      <c r="C267" s="282"/>
      <c r="D267" s="283"/>
      <c r="E267" s="284"/>
      <c r="F267" s="284"/>
      <c r="G267" s="285"/>
      <c r="H267" s="283"/>
      <c r="I267" s="283"/>
      <c r="J267" s="283"/>
      <c r="K267" s="283"/>
      <c r="L267" s="288"/>
      <c r="M267" s="288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  <c r="AA267" s="159"/>
    </row>
    <row r="268">
      <c r="A268" s="274"/>
      <c r="B268" s="281"/>
      <c r="C268" s="282"/>
      <c r="D268" s="283"/>
      <c r="E268" s="284"/>
      <c r="F268" s="284"/>
      <c r="G268" s="285"/>
      <c r="H268" s="283"/>
      <c r="I268" s="283"/>
      <c r="J268" s="283"/>
      <c r="K268" s="283"/>
      <c r="L268" s="288"/>
      <c r="M268" s="288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  <c r="AA268" s="159"/>
    </row>
    <row r="269">
      <c r="A269" s="274"/>
      <c r="B269" s="281"/>
      <c r="C269" s="282"/>
      <c r="D269" s="283"/>
      <c r="E269" s="284"/>
      <c r="F269" s="284"/>
      <c r="G269" s="285"/>
      <c r="H269" s="283"/>
      <c r="I269" s="283"/>
      <c r="J269" s="283"/>
      <c r="K269" s="283"/>
      <c r="L269" s="288"/>
      <c r="M269" s="288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  <c r="AA269" s="159"/>
    </row>
    <row r="270">
      <c r="A270" s="274"/>
      <c r="B270" s="281"/>
      <c r="C270" s="282"/>
      <c r="D270" s="283"/>
      <c r="E270" s="284"/>
      <c r="F270" s="284"/>
      <c r="G270" s="285"/>
      <c r="H270" s="283"/>
      <c r="I270" s="283"/>
      <c r="J270" s="283"/>
      <c r="K270" s="283"/>
      <c r="L270" s="288"/>
      <c r="M270" s="288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  <c r="AA270" s="159"/>
    </row>
    <row r="271">
      <c r="A271" s="274"/>
      <c r="B271" s="281"/>
      <c r="C271" s="282"/>
      <c r="D271" s="283"/>
      <c r="E271" s="284"/>
      <c r="F271" s="284"/>
      <c r="G271" s="285"/>
      <c r="H271" s="283"/>
      <c r="I271" s="283"/>
      <c r="J271" s="283"/>
      <c r="K271" s="283"/>
      <c r="L271" s="288"/>
      <c r="M271" s="288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  <c r="AA271" s="159"/>
    </row>
    <row r="272">
      <c r="A272" s="274"/>
      <c r="B272" s="281"/>
      <c r="C272" s="282"/>
      <c r="D272" s="283"/>
      <c r="E272" s="284"/>
      <c r="F272" s="284"/>
      <c r="G272" s="285"/>
      <c r="H272" s="283"/>
      <c r="I272" s="283"/>
      <c r="J272" s="283"/>
      <c r="K272" s="283"/>
      <c r="L272" s="288"/>
      <c r="M272" s="288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  <c r="AA272" s="159"/>
    </row>
    <row r="273">
      <c r="A273" s="274"/>
      <c r="B273" s="281"/>
      <c r="C273" s="282"/>
      <c r="D273" s="283"/>
      <c r="E273" s="284"/>
      <c r="F273" s="284"/>
      <c r="G273" s="285"/>
      <c r="H273" s="283"/>
      <c r="I273" s="283"/>
      <c r="J273" s="283"/>
      <c r="K273" s="283"/>
      <c r="L273" s="288"/>
      <c r="M273" s="288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  <c r="AA273" s="159"/>
    </row>
    <row r="274">
      <c r="A274" s="274"/>
      <c r="B274" s="281"/>
      <c r="C274" s="282"/>
      <c r="D274" s="283"/>
      <c r="E274" s="284"/>
      <c r="F274" s="284"/>
      <c r="G274" s="285"/>
      <c r="H274" s="283"/>
      <c r="I274" s="283"/>
      <c r="J274" s="283"/>
      <c r="K274" s="283"/>
      <c r="L274" s="288"/>
      <c r="M274" s="288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  <c r="AA274" s="159"/>
    </row>
    <row r="275">
      <c r="A275" s="274"/>
      <c r="B275" s="281"/>
      <c r="C275" s="282"/>
      <c r="D275" s="283"/>
      <c r="E275" s="284"/>
      <c r="F275" s="284"/>
      <c r="G275" s="285"/>
      <c r="H275" s="283"/>
      <c r="I275" s="283"/>
      <c r="J275" s="283"/>
      <c r="K275" s="283"/>
      <c r="L275" s="288"/>
      <c r="M275" s="288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  <c r="AA275" s="159"/>
    </row>
    <row r="276">
      <c r="A276" s="274"/>
      <c r="B276" s="281"/>
      <c r="C276" s="282"/>
      <c r="D276" s="283"/>
      <c r="E276" s="284"/>
      <c r="F276" s="284"/>
      <c r="G276" s="285"/>
      <c r="H276" s="283"/>
      <c r="I276" s="283"/>
      <c r="J276" s="283"/>
      <c r="K276" s="283"/>
      <c r="L276" s="288"/>
      <c r="M276" s="288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  <c r="AA276" s="159"/>
    </row>
    <row r="277">
      <c r="A277" s="274"/>
      <c r="B277" s="281"/>
      <c r="C277" s="282"/>
      <c r="D277" s="283"/>
      <c r="E277" s="284"/>
      <c r="F277" s="284"/>
      <c r="G277" s="285"/>
      <c r="H277" s="283"/>
      <c r="I277" s="283"/>
      <c r="J277" s="283"/>
      <c r="K277" s="283"/>
      <c r="L277" s="288"/>
      <c r="M277" s="288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  <c r="AA277" s="159"/>
    </row>
    <row r="278">
      <c r="A278" s="274"/>
      <c r="B278" s="281"/>
      <c r="C278" s="282"/>
      <c r="D278" s="283"/>
      <c r="E278" s="284"/>
      <c r="F278" s="284"/>
      <c r="G278" s="285"/>
      <c r="H278" s="283"/>
      <c r="I278" s="283"/>
      <c r="J278" s="283"/>
      <c r="K278" s="283"/>
      <c r="L278" s="288"/>
      <c r="M278" s="288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  <c r="AA278" s="159"/>
    </row>
    <row r="279">
      <c r="A279" s="274"/>
      <c r="B279" s="281"/>
      <c r="C279" s="282"/>
      <c r="D279" s="283"/>
      <c r="E279" s="284"/>
      <c r="F279" s="284"/>
      <c r="G279" s="285"/>
      <c r="H279" s="283"/>
      <c r="I279" s="283"/>
      <c r="J279" s="283"/>
      <c r="K279" s="283"/>
      <c r="L279" s="288"/>
      <c r="M279" s="288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  <c r="AA279" s="159"/>
    </row>
    <row r="280">
      <c r="A280" s="274"/>
      <c r="B280" s="281"/>
      <c r="C280" s="282"/>
      <c r="D280" s="283"/>
      <c r="E280" s="284"/>
      <c r="F280" s="284"/>
      <c r="G280" s="285"/>
      <c r="H280" s="283"/>
      <c r="I280" s="283"/>
      <c r="J280" s="283"/>
      <c r="K280" s="283"/>
      <c r="L280" s="288"/>
      <c r="M280" s="288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  <c r="AA280" s="159"/>
    </row>
    <row r="281">
      <c r="A281" s="274"/>
      <c r="B281" s="281"/>
      <c r="C281" s="282"/>
      <c r="D281" s="283"/>
      <c r="E281" s="284"/>
      <c r="F281" s="284"/>
      <c r="G281" s="285"/>
      <c r="H281" s="283"/>
      <c r="I281" s="283"/>
      <c r="J281" s="283"/>
      <c r="K281" s="283"/>
      <c r="L281" s="288"/>
      <c r="M281" s="288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  <c r="AA281" s="159"/>
    </row>
    <row r="282">
      <c r="A282" s="274"/>
      <c r="B282" s="281"/>
      <c r="C282" s="282"/>
      <c r="D282" s="283"/>
      <c r="E282" s="284"/>
      <c r="F282" s="284"/>
      <c r="G282" s="285"/>
      <c r="H282" s="283"/>
      <c r="I282" s="283"/>
      <c r="J282" s="283"/>
      <c r="K282" s="283"/>
      <c r="L282" s="288"/>
      <c r="M282" s="288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  <c r="AA282" s="159"/>
    </row>
    <row r="283">
      <c r="A283" s="274"/>
      <c r="B283" s="281"/>
      <c r="C283" s="282"/>
      <c r="D283" s="283"/>
      <c r="E283" s="284"/>
      <c r="F283" s="284"/>
      <c r="G283" s="285"/>
      <c r="H283" s="283"/>
      <c r="I283" s="283"/>
      <c r="J283" s="283"/>
      <c r="K283" s="283"/>
      <c r="L283" s="288"/>
      <c r="M283" s="288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  <c r="AA283" s="159"/>
    </row>
    <row r="284">
      <c r="A284" s="274"/>
      <c r="B284" s="281"/>
      <c r="C284" s="282"/>
      <c r="D284" s="283"/>
      <c r="E284" s="284"/>
      <c r="F284" s="284"/>
      <c r="G284" s="285"/>
      <c r="H284" s="283"/>
      <c r="I284" s="283"/>
      <c r="J284" s="283"/>
      <c r="K284" s="283"/>
      <c r="L284" s="288"/>
      <c r="M284" s="288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  <c r="AA284" s="159"/>
    </row>
    <row r="285">
      <c r="A285" s="274"/>
      <c r="B285" s="281"/>
      <c r="C285" s="282"/>
      <c r="D285" s="283"/>
      <c r="E285" s="284"/>
      <c r="F285" s="284"/>
      <c r="G285" s="285"/>
      <c r="H285" s="283"/>
      <c r="I285" s="283"/>
      <c r="J285" s="283"/>
      <c r="K285" s="283"/>
      <c r="L285" s="288"/>
      <c r="M285" s="288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  <c r="AA285" s="159"/>
    </row>
    <row r="286">
      <c r="A286" s="274"/>
      <c r="B286" s="281"/>
      <c r="C286" s="282"/>
      <c r="D286" s="283"/>
      <c r="E286" s="284"/>
      <c r="F286" s="284"/>
      <c r="G286" s="285"/>
      <c r="H286" s="283"/>
      <c r="I286" s="283"/>
      <c r="J286" s="283"/>
      <c r="K286" s="283"/>
      <c r="L286" s="288"/>
      <c r="M286" s="288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  <c r="AA286" s="159"/>
    </row>
    <row r="287">
      <c r="A287" s="274"/>
      <c r="B287" s="281"/>
      <c r="C287" s="282"/>
      <c r="D287" s="283"/>
      <c r="E287" s="284"/>
      <c r="F287" s="284"/>
      <c r="G287" s="285"/>
      <c r="H287" s="283"/>
      <c r="I287" s="283"/>
      <c r="J287" s="283"/>
      <c r="K287" s="283"/>
      <c r="L287" s="288"/>
      <c r="M287" s="288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  <c r="AA287" s="159"/>
    </row>
    <row r="288">
      <c r="A288" s="274"/>
      <c r="B288" s="281"/>
      <c r="C288" s="282"/>
      <c r="D288" s="283"/>
      <c r="E288" s="284"/>
      <c r="F288" s="284"/>
      <c r="G288" s="285"/>
      <c r="H288" s="283"/>
      <c r="I288" s="283"/>
      <c r="J288" s="283"/>
      <c r="K288" s="283"/>
      <c r="L288" s="288"/>
      <c r="M288" s="288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  <c r="AA288" s="159"/>
    </row>
    <row r="289">
      <c r="A289" s="274"/>
      <c r="B289" s="281"/>
      <c r="C289" s="282"/>
      <c r="D289" s="283"/>
      <c r="E289" s="284"/>
      <c r="F289" s="284"/>
      <c r="G289" s="285"/>
      <c r="H289" s="283"/>
      <c r="I289" s="283"/>
      <c r="J289" s="283"/>
      <c r="K289" s="283"/>
      <c r="L289" s="288"/>
      <c r="M289" s="288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  <c r="AA289" s="159"/>
    </row>
    <row r="290">
      <c r="A290" s="274"/>
      <c r="B290" s="281"/>
      <c r="C290" s="282"/>
      <c r="D290" s="283"/>
      <c r="E290" s="284"/>
      <c r="F290" s="284"/>
      <c r="G290" s="285"/>
      <c r="H290" s="283"/>
      <c r="I290" s="283"/>
      <c r="J290" s="283"/>
      <c r="K290" s="283"/>
      <c r="L290" s="288"/>
      <c r="M290" s="288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  <c r="AA290" s="159"/>
    </row>
    <row r="291">
      <c r="A291" s="274"/>
      <c r="B291" s="281"/>
      <c r="C291" s="282"/>
      <c r="D291" s="283"/>
      <c r="E291" s="284"/>
      <c r="F291" s="284"/>
      <c r="G291" s="285"/>
      <c r="H291" s="283"/>
      <c r="I291" s="283"/>
      <c r="J291" s="283"/>
      <c r="K291" s="283"/>
      <c r="L291" s="288"/>
      <c r="M291" s="288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  <c r="AA291" s="159"/>
    </row>
    <row r="292">
      <c r="A292" s="274"/>
      <c r="B292" s="281"/>
      <c r="C292" s="282"/>
      <c r="D292" s="283"/>
      <c r="E292" s="284"/>
      <c r="F292" s="284"/>
      <c r="G292" s="285"/>
      <c r="H292" s="283"/>
      <c r="I292" s="283"/>
      <c r="J292" s="283"/>
      <c r="K292" s="283"/>
      <c r="L292" s="288"/>
      <c r="M292" s="288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  <c r="AA292" s="159"/>
    </row>
    <row r="293">
      <c r="A293" s="274"/>
      <c r="B293" s="281"/>
      <c r="C293" s="282"/>
      <c r="D293" s="283"/>
      <c r="E293" s="284"/>
      <c r="F293" s="284"/>
      <c r="G293" s="285"/>
      <c r="H293" s="283"/>
      <c r="I293" s="283"/>
      <c r="J293" s="283"/>
      <c r="K293" s="283"/>
      <c r="L293" s="288"/>
      <c r="M293" s="288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  <c r="AA293" s="159"/>
    </row>
    <row r="294">
      <c r="A294" s="274"/>
      <c r="B294" s="281"/>
      <c r="C294" s="282"/>
      <c r="D294" s="283"/>
      <c r="E294" s="284"/>
      <c r="F294" s="284"/>
      <c r="G294" s="285"/>
      <c r="H294" s="283"/>
      <c r="I294" s="283"/>
      <c r="J294" s="283"/>
      <c r="K294" s="283"/>
      <c r="L294" s="288"/>
      <c r="M294" s="288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  <c r="AA294" s="159"/>
    </row>
    <row r="295">
      <c r="A295" s="274"/>
      <c r="B295" s="281"/>
      <c r="C295" s="282"/>
      <c r="D295" s="283"/>
      <c r="E295" s="284"/>
      <c r="F295" s="284"/>
      <c r="G295" s="285"/>
      <c r="H295" s="283"/>
      <c r="I295" s="283"/>
      <c r="J295" s="283"/>
      <c r="K295" s="283"/>
      <c r="L295" s="288"/>
      <c r="M295" s="288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  <c r="AA295" s="159"/>
    </row>
    <row r="296">
      <c r="A296" s="274"/>
      <c r="B296" s="281"/>
      <c r="C296" s="282"/>
      <c r="D296" s="283"/>
      <c r="E296" s="284"/>
      <c r="F296" s="284"/>
      <c r="G296" s="285"/>
      <c r="H296" s="283"/>
      <c r="I296" s="283"/>
      <c r="J296" s="283"/>
      <c r="K296" s="283"/>
      <c r="L296" s="288"/>
      <c r="M296" s="288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  <c r="AA296" s="159"/>
    </row>
    <row r="297">
      <c r="A297" s="274"/>
      <c r="B297" s="281"/>
      <c r="C297" s="282"/>
      <c r="D297" s="283"/>
      <c r="E297" s="284"/>
      <c r="F297" s="284"/>
      <c r="G297" s="285"/>
      <c r="H297" s="283"/>
      <c r="I297" s="283"/>
      <c r="J297" s="283"/>
      <c r="K297" s="283"/>
      <c r="L297" s="288"/>
      <c r="M297" s="288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  <c r="AA297" s="159"/>
    </row>
    <row r="298">
      <c r="A298" s="274"/>
      <c r="B298" s="281"/>
      <c r="C298" s="282"/>
      <c r="D298" s="283"/>
      <c r="E298" s="284"/>
      <c r="F298" s="284"/>
      <c r="G298" s="285"/>
      <c r="H298" s="283"/>
      <c r="I298" s="283"/>
      <c r="J298" s="283"/>
      <c r="K298" s="283"/>
      <c r="L298" s="288"/>
      <c r="M298" s="288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  <c r="AA298" s="159"/>
    </row>
    <row r="299">
      <c r="A299" s="274"/>
      <c r="B299" s="281"/>
      <c r="C299" s="282"/>
      <c r="D299" s="283"/>
      <c r="E299" s="284"/>
      <c r="F299" s="284"/>
      <c r="G299" s="285"/>
      <c r="H299" s="283"/>
      <c r="I299" s="283"/>
      <c r="J299" s="283"/>
      <c r="K299" s="283"/>
      <c r="L299" s="288"/>
      <c r="M299" s="288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  <c r="AA299" s="159"/>
    </row>
    <row r="300">
      <c r="A300" s="274"/>
      <c r="B300" s="281"/>
      <c r="C300" s="282"/>
      <c r="D300" s="283"/>
      <c r="E300" s="284"/>
      <c r="F300" s="284"/>
      <c r="G300" s="285"/>
      <c r="H300" s="283"/>
      <c r="I300" s="283"/>
      <c r="J300" s="283"/>
      <c r="K300" s="283"/>
      <c r="L300" s="288"/>
      <c r="M300" s="288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  <c r="AA300" s="159"/>
    </row>
    <row r="301">
      <c r="A301" s="274"/>
      <c r="B301" s="281"/>
      <c r="C301" s="282"/>
      <c r="D301" s="283"/>
      <c r="E301" s="284"/>
      <c r="F301" s="284"/>
      <c r="G301" s="285"/>
      <c r="H301" s="283"/>
      <c r="I301" s="283"/>
      <c r="J301" s="283"/>
      <c r="K301" s="283"/>
      <c r="L301" s="288"/>
      <c r="M301" s="288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  <c r="AA301" s="159"/>
    </row>
    <row r="302">
      <c r="A302" s="274"/>
      <c r="B302" s="281"/>
      <c r="C302" s="282"/>
      <c r="D302" s="283"/>
      <c r="E302" s="284"/>
      <c r="F302" s="284"/>
      <c r="G302" s="285"/>
      <c r="H302" s="283"/>
      <c r="I302" s="283"/>
      <c r="J302" s="283"/>
      <c r="K302" s="283"/>
      <c r="L302" s="288"/>
      <c r="M302" s="288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  <c r="AA302" s="159"/>
    </row>
    <row r="303">
      <c r="A303" s="274"/>
      <c r="B303" s="281"/>
      <c r="C303" s="282"/>
      <c r="D303" s="283"/>
      <c r="E303" s="284"/>
      <c r="F303" s="284"/>
      <c r="G303" s="285"/>
      <c r="H303" s="283"/>
      <c r="I303" s="283"/>
      <c r="J303" s="283"/>
      <c r="K303" s="283"/>
      <c r="L303" s="288"/>
      <c r="M303" s="288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  <c r="AA303" s="159"/>
    </row>
    <row r="304">
      <c r="A304" s="274"/>
      <c r="B304" s="281"/>
      <c r="C304" s="282"/>
      <c r="D304" s="283"/>
      <c r="E304" s="284"/>
      <c r="F304" s="284"/>
      <c r="G304" s="285"/>
      <c r="H304" s="283"/>
      <c r="I304" s="283"/>
      <c r="J304" s="283"/>
      <c r="K304" s="283"/>
      <c r="L304" s="288"/>
      <c r="M304" s="288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  <c r="AA304" s="159"/>
    </row>
    <row r="305">
      <c r="A305" s="274"/>
      <c r="B305" s="281"/>
      <c r="C305" s="282"/>
      <c r="D305" s="283"/>
      <c r="E305" s="284"/>
      <c r="F305" s="284"/>
      <c r="G305" s="285"/>
      <c r="H305" s="283"/>
      <c r="I305" s="283"/>
      <c r="J305" s="283"/>
      <c r="K305" s="283"/>
      <c r="L305" s="288"/>
      <c r="M305" s="288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  <c r="AA305" s="159"/>
    </row>
    <row r="306">
      <c r="A306" s="274"/>
      <c r="B306" s="281"/>
      <c r="C306" s="282"/>
      <c r="D306" s="283"/>
      <c r="E306" s="284"/>
      <c r="F306" s="284"/>
      <c r="G306" s="285"/>
      <c r="H306" s="283"/>
      <c r="I306" s="283"/>
      <c r="J306" s="283"/>
      <c r="K306" s="283"/>
      <c r="L306" s="288"/>
      <c r="M306" s="288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  <c r="AA306" s="159"/>
    </row>
    <row r="307">
      <c r="A307" s="274"/>
      <c r="B307" s="281"/>
      <c r="C307" s="282"/>
      <c r="D307" s="283"/>
      <c r="E307" s="284"/>
      <c r="F307" s="284"/>
      <c r="G307" s="285"/>
      <c r="H307" s="283"/>
      <c r="I307" s="283"/>
      <c r="J307" s="283"/>
      <c r="K307" s="283"/>
      <c r="L307" s="288"/>
      <c r="M307" s="288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  <c r="AA307" s="159"/>
    </row>
    <row r="308">
      <c r="A308" s="274"/>
      <c r="B308" s="281"/>
      <c r="C308" s="282"/>
      <c r="D308" s="283"/>
      <c r="E308" s="284"/>
      <c r="F308" s="284"/>
      <c r="G308" s="285"/>
      <c r="H308" s="283"/>
      <c r="I308" s="283"/>
      <c r="J308" s="283"/>
      <c r="K308" s="283"/>
      <c r="L308" s="288"/>
      <c r="M308" s="288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  <c r="AA308" s="159"/>
    </row>
    <row r="309">
      <c r="A309" s="274"/>
      <c r="B309" s="281"/>
      <c r="C309" s="282"/>
      <c r="D309" s="283"/>
      <c r="E309" s="284"/>
      <c r="F309" s="284"/>
      <c r="G309" s="285"/>
      <c r="H309" s="283"/>
      <c r="I309" s="283"/>
      <c r="J309" s="283"/>
      <c r="K309" s="283"/>
      <c r="L309" s="288"/>
      <c r="M309" s="288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  <c r="AA309" s="159"/>
    </row>
    <row r="310">
      <c r="A310" s="274"/>
      <c r="B310" s="281"/>
      <c r="C310" s="282"/>
      <c r="D310" s="283"/>
      <c r="E310" s="284"/>
      <c r="F310" s="284"/>
      <c r="G310" s="285"/>
      <c r="H310" s="283"/>
      <c r="I310" s="283"/>
      <c r="J310" s="283"/>
      <c r="K310" s="283"/>
      <c r="L310" s="288"/>
      <c r="M310" s="288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  <c r="AA310" s="159"/>
    </row>
    <row r="311">
      <c r="A311" s="274"/>
      <c r="B311" s="281"/>
      <c r="C311" s="282"/>
      <c r="D311" s="283"/>
      <c r="E311" s="284"/>
      <c r="F311" s="284"/>
      <c r="G311" s="285"/>
      <c r="H311" s="283"/>
      <c r="I311" s="283"/>
      <c r="J311" s="283"/>
      <c r="K311" s="283"/>
      <c r="L311" s="288"/>
      <c r="M311" s="288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  <c r="AA311" s="159"/>
    </row>
    <row r="312">
      <c r="A312" s="274"/>
      <c r="B312" s="281"/>
      <c r="C312" s="282"/>
      <c r="D312" s="283"/>
      <c r="E312" s="284"/>
      <c r="F312" s="284"/>
      <c r="G312" s="285"/>
      <c r="H312" s="283"/>
      <c r="I312" s="283"/>
      <c r="J312" s="283"/>
      <c r="K312" s="283"/>
      <c r="L312" s="288"/>
      <c r="M312" s="288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  <c r="AA312" s="159"/>
    </row>
    <row r="313">
      <c r="A313" s="274"/>
      <c r="B313" s="281"/>
      <c r="C313" s="282"/>
      <c r="D313" s="283"/>
      <c r="E313" s="284"/>
      <c r="F313" s="284"/>
      <c r="G313" s="285"/>
      <c r="H313" s="283"/>
      <c r="I313" s="283"/>
      <c r="J313" s="283"/>
      <c r="K313" s="283"/>
      <c r="L313" s="288"/>
      <c r="M313" s="288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  <c r="AA313" s="159"/>
    </row>
    <row r="314">
      <c r="A314" s="274"/>
      <c r="B314" s="281"/>
      <c r="C314" s="282"/>
      <c r="D314" s="283"/>
      <c r="E314" s="284"/>
      <c r="F314" s="284"/>
      <c r="G314" s="285"/>
      <c r="H314" s="283"/>
      <c r="I314" s="283"/>
      <c r="J314" s="283"/>
      <c r="K314" s="283"/>
      <c r="L314" s="288"/>
      <c r="M314" s="288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  <c r="AA314" s="159"/>
    </row>
    <row r="315">
      <c r="A315" s="274"/>
      <c r="B315" s="281"/>
      <c r="C315" s="282"/>
      <c r="D315" s="283"/>
      <c r="E315" s="284"/>
      <c r="F315" s="284"/>
      <c r="G315" s="285"/>
      <c r="H315" s="283"/>
      <c r="I315" s="283"/>
      <c r="J315" s="283"/>
      <c r="K315" s="283"/>
      <c r="L315" s="288"/>
      <c r="M315" s="288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  <c r="AA315" s="159"/>
    </row>
    <row r="316">
      <c r="A316" s="274"/>
      <c r="B316" s="281"/>
      <c r="C316" s="282"/>
      <c r="D316" s="283"/>
      <c r="E316" s="284"/>
      <c r="F316" s="284"/>
      <c r="G316" s="285"/>
      <c r="H316" s="283"/>
      <c r="I316" s="283"/>
      <c r="J316" s="283"/>
      <c r="K316" s="283"/>
      <c r="L316" s="288"/>
      <c r="M316" s="288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  <c r="AA316" s="159"/>
    </row>
    <row r="317">
      <c r="A317" s="274"/>
      <c r="B317" s="281"/>
      <c r="C317" s="282"/>
      <c r="D317" s="283"/>
      <c r="E317" s="284"/>
      <c r="F317" s="284"/>
      <c r="G317" s="285"/>
      <c r="H317" s="283"/>
      <c r="I317" s="283"/>
      <c r="J317" s="283"/>
      <c r="K317" s="283"/>
      <c r="L317" s="288"/>
      <c r="M317" s="288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  <c r="AA317" s="159"/>
    </row>
    <row r="318">
      <c r="A318" s="274"/>
      <c r="B318" s="281"/>
      <c r="C318" s="282"/>
      <c r="D318" s="283"/>
      <c r="E318" s="284"/>
      <c r="F318" s="284"/>
      <c r="G318" s="285"/>
      <c r="H318" s="283"/>
      <c r="I318" s="283"/>
      <c r="J318" s="283"/>
      <c r="K318" s="283"/>
      <c r="L318" s="288"/>
      <c r="M318" s="288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  <c r="AA318" s="159"/>
    </row>
    <row r="319">
      <c r="A319" s="274"/>
      <c r="B319" s="281"/>
      <c r="C319" s="282"/>
      <c r="D319" s="283"/>
      <c r="E319" s="284"/>
      <c r="F319" s="284"/>
      <c r="G319" s="285"/>
      <c r="H319" s="283"/>
      <c r="I319" s="283"/>
      <c r="J319" s="283"/>
      <c r="K319" s="283"/>
      <c r="L319" s="288"/>
      <c r="M319" s="288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  <c r="AA319" s="159"/>
    </row>
    <row r="320">
      <c r="A320" s="274"/>
      <c r="B320" s="281"/>
      <c r="C320" s="282"/>
      <c r="D320" s="283"/>
      <c r="E320" s="284"/>
      <c r="F320" s="284"/>
      <c r="G320" s="285"/>
      <c r="H320" s="283"/>
      <c r="I320" s="283"/>
      <c r="J320" s="283"/>
      <c r="K320" s="283"/>
      <c r="L320" s="288"/>
      <c r="M320" s="288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  <c r="AA320" s="159"/>
    </row>
    <row r="321">
      <c r="A321" s="274"/>
      <c r="B321" s="281"/>
      <c r="C321" s="282"/>
      <c r="D321" s="283"/>
      <c r="E321" s="284"/>
      <c r="F321" s="284"/>
      <c r="G321" s="285"/>
      <c r="H321" s="283"/>
      <c r="I321" s="283"/>
      <c r="J321" s="283"/>
      <c r="K321" s="283"/>
      <c r="L321" s="288"/>
      <c r="M321" s="288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  <c r="AA321" s="159"/>
    </row>
    <row r="322">
      <c r="A322" s="274"/>
      <c r="B322" s="281"/>
      <c r="C322" s="282"/>
      <c r="D322" s="283"/>
      <c r="E322" s="284"/>
      <c r="F322" s="284"/>
      <c r="G322" s="285"/>
      <c r="H322" s="283"/>
      <c r="I322" s="283"/>
      <c r="J322" s="283"/>
      <c r="K322" s="283"/>
      <c r="L322" s="288"/>
      <c r="M322" s="288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  <c r="AA322" s="159"/>
    </row>
    <row r="323">
      <c r="A323" s="274"/>
      <c r="B323" s="281"/>
      <c r="C323" s="282"/>
      <c r="D323" s="283"/>
      <c r="E323" s="284"/>
      <c r="F323" s="284"/>
      <c r="G323" s="285"/>
      <c r="H323" s="283"/>
      <c r="I323" s="283"/>
      <c r="J323" s="283"/>
      <c r="K323" s="283"/>
      <c r="L323" s="288"/>
      <c r="M323" s="288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  <c r="AA323" s="159"/>
    </row>
    <row r="324">
      <c r="A324" s="274"/>
      <c r="B324" s="281"/>
      <c r="C324" s="282"/>
      <c r="D324" s="283"/>
      <c r="E324" s="284"/>
      <c r="F324" s="284"/>
      <c r="G324" s="285"/>
      <c r="H324" s="283"/>
      <c r="I324" s="283"/>
      <c r="J324" s="283"/>
      <c r="K324" s="283"/>
      <c r="L324" s="288"/>
      <c r="M324" s="288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  <c r="AA324" s="159"/>
    </row>
    <row r="325">
      <c r="A325" s="274"/>
      <c r="B325" s="281"/>
      <c r="C325" s="282"/>
      <c r="D325" s="283"/>
      <c r="E325" s="284"/>
      <c r="F325" s="284"/>
      <c r="G325" s="285"/>
      <c r="H325" s="283"/>
      <c r="I325" s="283"/>
      <c r="J325" s="283"/>
      <c r="K325" s="283"/>
      <c r="L325" s="288"/>
      <c r="M325" s="288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  <c r="AA325" s="159"/>
    </row>
    <row r="326">
      <c r="A326" s="274"/>
      <c r="B326" s="281"/>
      <c r="C326" s="282"/>
      <c r="D326" s="283"/>
      <c r="E326" s="284"/>
      <c r="F326" s="284"/>
      <c r="G326" s="285"/>
      <c r="H326" s="283"/>
      <c r="I326" s="283"/>
      <c r="J326" s="283"/>
      <c r="K326" s="283"/>
      <c r="L326" s="288"/>
      <c r="M326" s="288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  <c r="AA326" s="159"/>
    </row>
    <row r="327">
      <c r="A327" s="274"/>
      <c r="B327" s="281"/>
      <c r="C327" s="282"/>
      <c r="D327" s="283"/>
      <c r="E327" s="284"/>
      <c r="F327" s="284"/>
      <c r="G327" s="285"/>
      <c r="H327" s="283"/>
      <c r="I327" s="283"/>
      <c r="J327" s="283"/>
      <c r="K327" s="283"/>
      <c r="L327" s="288"/>
      <c r="M327" s="288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  <c r="AA327" s="159"/>
    </row>
    <row r="328">
      <c r="A328" s="274"/>
      <c r="B328" s="281"/>
      <c r="C328" s="282"/>
      <c r="D328" s="283"/>
      <c r="E328" s="284"/>
      <c r="F328" s="284"/>
      <c r="G328" s="285"/>
      <c r="H328" s="283"/>
      <c r="I328" s="283"/>
      <c r="J328" s="283"/>
      <c r="K328" s="283"/>
      <c r="L328" s="288"/>
      <c r="M328" s="288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  <c r="AA328" s="159"/>
    </row>
    <row r="329">
      <c r="A329" s="274"/>
      <c r="B329" s="281"/>
      <c r="C329" s="282"/>
      <c r="D329" s="283"/>
      <c r="E329" s="284"/>
      <c r="F329" s="284"/>
      <c r="G329" s="285"/>
      <c r="H329" s="283"/>
      <c r="I329" s="283"/>
      <c r="J329" s="283"/>
      <c r="K329" s="283"/>
      <c r="L329" s="288"/>
      <c r="M329" s="288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  <c r="AA329" s="159"/>
    </row>
    <row r="330">
      <c r="A330" s="274"/>
      <c r="B330" s="281"/>
      <c r="C330" s="282"/>
      <c r="D330" s="283"/>
      <c r="E330" s="284"/>
      <c r="F330" s="284"/>
      <c r="G330" s="285"/>
      <c r="H330" s="283"/>
      <c r="I330" s="283"/>
      <c r="J330" s="283"/>
      <c r="K330" s="283"/>
      <c r="L330" s="288"/>
      <c r="M330" s="288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  <c r="AA330" s="159"/>
    </row>
    <row r="331">
      <c r="A331" s="274"/>
      <c r="B331" s="281"/>
      <c r="C331" s="282"/>
      <c r="D331" s="283"/>
      <c r="E331" s="284"/>
      <c r="F331" s="284"/>
      <c r="G331" s="285"/>
      <c r="H331" s="283"/>
      <c r="I331" s="283"/>
      <c r="J331" s="283"/>
      <c r="K331" s="283"/>
      <c r="L331" s="288"/>
      <c r="M331" s="288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  <c r="AA331" s="159"/>
    </row>
    <row r="332">
      <c r="A332" s="274"/>
      <c r="B332" s="281"/>
      <c r="C332" s="282"/>
      <c r="D332" s="283"/>
      <c r="E332" s="284"/>
      <c r="F332" s="284"/>
      <c r="G332" s="285"/>
      <c r="H332" s="283"/>
      <c r="I332" s="283"/>
      <c r="J332" s="283"/>
      <c r="K332" s="283"/>
      <c r="L332" s="288"/>
      <c r="M332" s="288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  <c r="AA332" s="159"/>
    </row>
    <row r="333">
      <c r="A333" s="274"/>
      <c r="B333" s="281"/>
      <c r="C333" s="282"/>
      <c r="D333" s="283"/>
      <c r="E333" s="284"/>
      <c r="F333" s="284"/>
      <c r="G333" s="285"/>
      <c r="H333" s="283"/>
      <c r="I333" s="283"/>
      <c r="J333" s="283"/>
      <c r="K333" s="283"/>
      <c r="L333" s="288"/>
      <c r="M333" s="288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  <c r="AA333" s="159"/>
    </row>
    <row r="334">
      <c r="A334" s="274"/>
      <c r="B334" s="281"/>
      <c r="C334" s="282"/>
      <c r="D334" s="283"/>
      <c r="E334" s="284"/>
      <c r="F334" s="284"/>
      <c r="G334" s="285"/>
      <c r="H334" s="283"/>
      <c r="I334" s="283"/>
      <c r="J334" s="283"/>
      <c r="K334" s="283"/>
      <c r="L334" s="288"/>
      <c r="M334" s="288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  <c r="AA334" s="159"/>
    </row>
    <row r="335">
      <c r="A335" s="274"/>
      <c r="B335" s="281"/>
      <c r="C335" s="282"/>
      <c r="D335" s="283"/>
      <c r="E335" s="284"/>
      <c r="F335" s="284"/>
      <c r="G335" s="285"/>
      <c r="H335" s="283"/>
      <c r="I335" s="283"/>
      <c r="J335" s="283"/>
      <c r="K335" s="283"/>
      <c r="L335" s="288"/>
      <c r="M335" s="288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  <c r="AA335" s="159"/>
    </row>
    <row r="336">
      <c r="A336" s="274"/>
      <c r="B336" s="281"/>
      <c r="C336" s="282"/>
      <c r="D336" s="283"/>
      <c r="E336" s="284"/>
      <c r="F336" s="284"/>
      <c r="G336" s="285"/>
      <c r="H336" s="283"/>
      <c r="I336" s="283"/>
      <c r="J336" s="283"/>
      <c r="K336" s="283"/>
      <c r="L336" s="288"/>
      <c r="M336" s="288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  <c r="AA336" s="159"/>
    </row>
    <row r="337">
      <c r="A337" s="274"/>
      <c r="B337" s="281"/>
      <c r="C337" s="282"/>
      <c r="D337" s="283"/>
      <c r="E337" s="284"/>
      <c r="F337" s="284"/>
      <c r="G337" s="285"/>
      <c r="H337" s="283"/>
      <c r="I337" s="283"/>
      <c r="J337" s="283"/>
      <c r="K337" s="283"/>
      <c r="L337" s="288"/>
      <c r="M337" s="288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  <c r="AA337" s="159"/>
    </row>
    <row r="338">
      <c r="A338" s="274"/>
      <c r="B338" s="281"/>
      <c r="C338" s="282"/>
      <c r="D338" s="283"/>
      <c r="E338" s="284"/>
      <c r="F338" s="284"/>
      <c r="G338" s="285"/>
      <c r="H338" s="283"/>
      <c r="I338" s="283"/>
      <c r="J338" s="283"/>
      <c r="K338" s="283"/>
      <c r="L338" s="288"/>
      <c r="M338" s="288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  <c r="AA338" s="159"/>
    </row>
    <row r="339">
      <c r="A339" s="274"/>
      <c r="B339" s="281"/>
      <c r="C339" s="282"/>
      <c r="D339" s="283"/>
      <c r="E339" s="284"/>
      <c r="F339" s="284"/>
      <c r="G339" s="285"/>
      <c r="H339" s="283"/>
      <c r="I339" s="283"/>
      <c r="J339" s="283"/>
      <c r="K339" s="283"/>
      <c r="L339" s="288"/>
      <c r="M339" s="288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  <c r="AA339" s="159"/>
    </row>
    <row r="340">
      <c r="A340" s="274"/>
      <c r="B340" s="281"/>
      <c r="C340" s="282"/>
      <c r="D340" s="283"/>
      <c r="E340" s="284"/>
      <c r="F340" s="284"/>
      <c r="G340" s="285"/>
      <c r="H340" s="283"/>
      <c r="I340" s="283"/>
      <c r="J340" s="283"/>
      <c r="K340" s="283"/>
      <c r="L340" s="288"/>
      <c r="M340" s="288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  <c r="AA340" s="159"/>
    </row>
    <row r="341">
      <c r="A341" s="274"/>
      <c r="B341" s="281"/>
      <c r="C341" s="282"/>
      <c r="D341" s="283"/>
      <c r="E341" s="284"/>
      <c r="F341" s="284"/>
      <c r="G341" s="285"/>
      <c r="H341" s="283"/>
      <c r="I341" s="283"/>
      <c r="J341" s="283"/>
      <c r="K341" s="283"/>
      <c r="L341" s="288"/>
      <c r="M341" s="288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  <c r="AA341" s="159"/>
    </row>
    <row r="342">
      <c r="A342" s="274"/>
      <c r="B342" s="281"/>
      <c r="C342" s="282"/>
      <c r="D342" s="283"/>
      <c r="E342" s="284"/>
      <c r="F342" s="284"/>
      <c r="G342" s="285"/>
      <c r="H342" s="283"/>
      <c r="I342" s="283"/>
      <c r="J342" s="283"/>
      <c r="K342" s="283"/>
      <c r="L342" s="288"/>
      <c r="M342" s="288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  <c r="AA342" s="159"/>
    </row>
    <row r="343">
      <c r="A343" s="274"/>
      <c r="B343" s="281"/>
      <c r="C343" s="282"/>
      <c r="D343" s="283"/>
      <c r="E343" s="284"/>
      <c r="F343" s="284"/>
      <c r="G343" s="285"/>
      <c r="H343" s="283"/>
      <c r="I343" s="283"/>
      <c r="J343" s="283"/>
      <c r="K343" s="283"/>
      <c r="L343" s="288"/>
      <c r="M343" s="288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  <c r="AA343" s="159"/>
    </row>
    <row r="344">
      <c r="A344" s="274"/>
      <c r="B344" s="281"/>
      <c r="C344" s="282"/>
      <c r="D344" s="283"/>
      <c r="E344" s="284"/>
      <c r="F344" s="284"/>
      <c r="G344" s="285"/>
      <c r="H344" s="283"/>
      <c r="I344" s="283"/>
      <c r="J344" s="283"/>
      <c r="K344" s="283"/>
      <c r="L344" s="288"/>
      <c r="M344" s="288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  <c r="AA344" s="159"/>
    </row>
    <row r="345">
      <c r="A345" s="274"/>
      <c r="B345" s="281"/>
      <c r="C345" s="282"/>
      <c r="D345" s="283"/>
      <c r="E345" s="284"/>
      <c r="F345" s="284"/>
      <c r="G345" s="285"/>
      <c r="H345" s="283"/>
      <c r="I345" s="283"/>
      <c r="J345" s="283"/>
      <c r="K345" s="283"/>
      <c r="L345" s="288"/>
      <c r="M345" s="288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  <c r="AA345" s="159"/>
    </row>
    <row r="346">
      <c r="A346" s="274"/>
      <c r="B346" s="281"/>
      <c r="C346" s="282"/>
      <c r="D346" s="283"/>
      <c r="E346" s="284"/>
      <c r="F346" s="284"/>
      <c r="G346" s="285"/>
      <c r="H346" s="283"/>
      <c r="I346" s="283"/>
      <c r="J346" s="283"/>
      <c r="K346" s="283"/>
      <c r="L346" s="288"/>
      <c r="M346" s="288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  <c r="AA346" s="159"/>
    </row>
    <row r="347">
      <c r="A347" s="274"/>
      <c r="B347" s="281"/>
      <c r="C347" s="282"/>
      <c r="D347" s="283"/>
      <c r="E347" s="284"/>
      <c r="F347" s="284"/>
      <c r="G347" s="285"/>
      <c r="H347" s="283"/>
      <c r="I347" s="283"/>
      <c r="J347" s="283"/>
      <c r="K347" s="283"/>
      <c r="L347" s="288"/>
      <c r="M347" s="288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  <c r="AA347" s="159"/>
    </row>
    <row r="348">
      <c r="A348" s="274"/>
      <c r="B348" s="281"/>
      <c r="C348" s="282"/>
      <c r="D348" s="283"/>
      <c r="E348" s="284"/>
      <c r="F348" s="284"/>
      <c r="G348" s="285"/>
      <c r="H348" s="283"/>
      <c r="I348" s="283"/>
      <c r="J348" s="283"/>
      <c r="K348" s="283"/>
      <c r="L348" s="288"/>
      <c r="M348" s="288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  <c r="AA348" s="159"/>
    </row>
    <row r="349">
      <c r="A349" s="274"/>
      <c r="B349" s="281"/>
      <c r="C349" s="282"/>
      <c r="D349" s="283"/>
      <c r="E349" s="284"/>
      <c r="F349" s="284"/>
      <c r="G349" s="285"/>
      <c r="H349" s="283"/>
      <c r="I349" s="283"/>
      <c r="J349" s="283"/>
      <c r="K349" s="283"/>
      <c r="L349" s="288"/>
      <c r="M349" s="288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  <c r="AA349" s="159"/>
    </row>
    <row r="350">
      <c r="A350" s="274"/>
      <c r="B350" s="281"/>
      <c r="C350" s="282"/>
      <c r="D350" s="283"/>
      <c r="E350" s="284"/>
      <c r="F350" s="284"/>
      <c r="G350" s="285"/>
      <c r="H350" s="283"/>
      <c r="I350" s="283"/>
      <c r="J350" s="283"/>
      <c r="K350" s="283"/>
      <c r="L350" s="288"/>
      <c r="M350" s="288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  <c r="AA350" s="159"/>
    </row>
    <row r="351">
      <c r="A351" s="274"/>
      <c r="B351" s="281"/>
      <c r="C351" s="282"/>
      <c r="D351" s="283"/>
      <c r="E351" s="284"/>
      <c r="F351" s="284"/>
      <c r="G351" s="285"/>
      <c r="H351" s="283"/>
      <c r="I351" s="283"/>
      <c r="J351" s="283"/>
      <c r="K351" s="283"/>
      <c r="L351" s="288"/>
      <c r="M351" s="288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  <c r="AA351" s="159"/>
    </row>
    <row r="352">
      <c r="A352" s="274"/>
      <c r="B352" s="281"/>
      <c r="C352" s="282"/>
      <c r="D352" s="283"/>
      <c r="E352" s="284"/>
      <c r="F352" s="284"/>
      <c r="G352" s="285"/>
      <c r="H352" s="283"/>
      <c r="I352" s="283"/>
      <c r="J352" s="283"/>
      <c r="K352" s="283"/>
      <c r="L352" s="288"/>
      <c r="M352" s="288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  <c r="AA352" s="159"/>
    </row>
    <row r="353">
      <c r="A353" s="274"/>
      <c r="B353" s="281"/>
      <c r="C353" s="282"/>
      <c r="D353" s="283"/>
      <c r="E353" s="284"/>
      <c r="F353" s="284"/>
      <c r="G353" s="285"/>
      <c r="H353" s="283"/>
      <c r="I353" s="283"/>
      <c r="J353" s="283"/>
      <c r="K353" s="283"/>
      <c r="L353" s="288"/>
      <c r="M353" s="288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  <c r="AA353" s="159"/>
    </row>
    <row r="354">
      <c r="A354" s="274"/>
      <c r="B354" s="281"/>
      <c r="C354" s="282"/>
      <c r="D354" s="283"/>
      <c r="E354" s="284"/>
      <c r="F354" s="284"/>
      <c r="G354" s="285"/>
      <c r="H354" s="283"/>
      <c r="I354" s="283"/>
      <c r="J354" s="283"/>
      <c r="K354" s="283"/>
      <c r="L354" s="288"/>
      <c r="M354" s="288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  <c r="AA354" s="159"/>
    </row>
    <row r="355">
      <c r="A355" s="274"/>
      <c r="B355" s="281"/>
      <c r="C355" s="282"/>
      <c r="D355" s="283"/>
      <c r="E355" s="284"/>
      <c r="F355" s="284"/>
      <c r="G355" s="285"/>
      <c r="H355" s="283"/>
      <c r="I355" s="283"/>
      <c r="J355" s="283"/>
      <c r="K355" s="283"/>
      <c r="L355" s="288"/>
      <c r="M355" s="288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  <c r="AA355" s="159"/>
    </row>
    <row r="356">
      <c r="A356" s="274"/>
      <c r="B356" s="281"/>
      <c r="C356" s="282"/>
      <c r="D356" s="283"/>
      <c r="E356" s="284"/>
      <c r="F356" s="284"/>
      <c r="G356" s="285"/>
      <c r="H356" s="283"/>
      <c r="I356" s="283"/>
      <c r="J356" s="283"/>
      <c r="K356" s="283"/>
      <c r="L356" s="288"/>
      <c r="M356" s="288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  <c r="AA356" s="159"/>
    </row>
    <row r="357">
      <c r="A357" s="274"/>
      <c r="B357" s="281"/>
      <c r="C357" s="282"/>
      <c r="D357" s="283"/>
      <c r="E357" s="284"/>
      <c r="F357" s="284"/>
      <c r="G357" s="285"/>
      <c r="H357" s="283"/>
      <c r="I357" s="283"/>
      <c r="J357" s="283"/>
      <c r="K357" s="283"/>
      <c r="L357" s="288"/>
      <c r="M357" s="288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  <c r="AA357" s="159"/>
    </row>
    <row r="358">
      <c r="A358" s="274"/>
      <c r="B358" s="281"/>
      <c r="C358" s="282"/>
      <c r="D358" s="283"/>
      <c r="E358" s="284"/>
      <c r="F358" s="284"/>
      <c r="G358" s="285"/>
      <c r="H358" s="283"/>
      <c r="I358" s="283"/>
      <c r="J358" s="283"/>
      <c r="K358" s="283"/>
      <c r="L358" s="288"/>
      <c r="M358" s="288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  <c r="AA358" s="159"/>
    </row>
    <row r="359">
      <c r="A359" s="274"/>
      <c r="B359" s="281"/>
      <c r="C359" s="282"/>
      <c r="D359" s="283"/>
      <c r="E359" s="284"/>
      <c r="F359" s="284"/>
      <c r="G359" s="285"/>
      <c r="H359" s="283"/>
      <c r="I359" s="283"/>
      <c r="J359" s="283"/>
      <c r="K359" s="283"/>
      <c r="L359" s="288"/>
      <c r="M359" s="288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  <c r="AA359" s="159"/>
    </row>
    <row r="360">
      <c r="A360" s="274"/>
      <c r="B360" s="281"/>
      <c r="C360" s="282"/>
      <c r="D360" s="283"/>
      <c r="E360" s="284"/>
      <c r="F360" s="284"/>
      <c r="G360" s="285"/>
      <c r="H360" s="283"/>
      <c r="I360" s="283"/>
      <c r="J360" s="283"/>
      <c r="K360" s="283"/>
      <c r="L360" s="288"/>
      <c r="M360" s="288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  <c r="AA360" s="159"/>
    </row>
    <row r="361">
      <c r="A361" s="274"/>
      <c r="B361" s="281"/>
      <c r="C361" s="282"/>
      <c r="D361" s="283"/>
      <c r="E361" s="284"/>
      <c r="F361" s="284"/>
      <c r="G361" s="285"/>
      <c r="H361" s="283"/>
      <c r="I361" s="283"/>
      <c r="J361" s="283"/>
      <c r="K361" s="283"/>
      <c r="L361" s="288"/>
      <c r="M361" s="288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  <c r="AA361" s="159"/>
    </row>
    <row r="362">
      <c r="A362" s="274"/>
      <c r="B362" s="281"/>
      <c r="C362" s="282"/>
      <c r="D362" s="283"/>
      <c r="E362" s="284"/>
      <c r="F362" s="284"/>
      <c r="G362" s="285"/>
      <c r="H362" s="283"/>
      <c r="I362" s="283"/>
      <c r="J362" s="283"/>
      <c r="K362" s="283"/>
      <c r="L362" s="288"/>
      <c r="M362" s="288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  <c r="AA362" s="159"/>
    </row>
    <row r="363">
      <c r="A363" s="274"/>
      <c r="B363" s="281"/>
      <c r="C363" s="282"/>
      <c r="D363" s="283"/>
      <c r="E363" s="284"/>
      <c r="F363" s="284"/>
      <c r="G363" s="285"/>
      <c r="H363" s="283"/>
      <c r="I363" s="283"/>
      <c r="J363" s="283"/>
      <c r="K363" s="283"/>
      <c r="L363" s="288"/>
      <c r="M363" s="288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  <c r="AA363" s="159"/>
    </row>
    <row r="364">
      <c r="A364" s="274"/>
      <c r="B364" s="281"/>
      <c r="C364" s="282"/>
      <c r="D364" s="283"/>
      <c r="E364" s="284"/>
      <c r="F364" s="284"/>
      <c r="G364" s="285"/>
      <c r="H364" s="283"/>
      <c r="I364" s="283"/>
      <c r="J364" s="283"/>
      <c r="K364" s="283"/>
      <c r="L364" s="288"/>
      <c r="M364" s="288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  <c r="AA364" s="159"/>
    </row>
    <row r="365">
      <c r="A365" s="274"/>
      <c r="B365" s="281"/>
      <c r="C365" s="282"/>
      <c r="D365" s="283"/>
      <c r="E365" s="284"/>
      <c r="F365" s="284"/>
      <c r="G365" s="285"/>
      <c r="H365" s="283"/>
      <c r="I365" s="283"/>
      <c r="J365" s="283"/>
      <c r="K365" s="283"/>
      <c r="L365" s="288"/>
      <c r="M365" s="288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  <c r="AA365" s="159"/>
    </row>
    <row r="366">
      <c r="A366" s="274"/>
      <c r="B366" s="281"/>
      <c r="C366" s="282"/>
      <c r="D366" s="283"/>
      <c r="E366" s="284"/>
      <c r="F366" s="284"/>
      <c r="G366" s="285"/>
      <c r="H366" s="283"/>
      <c r="I366" s="283"/>
      <c r="J366" s="283"/>
      <c r="K366" s="283"/>
      <c r="L366" s="288"/>
      <c r="M366" s="288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  <c r="AA366" s="159"/>
    </row>
    <row r="367">
      <c r="A367" s="274"/>
      <c r="B367" s="281"/>
      <c r="C367" s="282"/>
      <c r="D367" s="283"/>
      <c r="E367" s="284"/>
      <c r="F367" s="284"/>
      <c r="G367" s="285"/>
      <c r="H367" s="283"/>
      <c r="I367" s="283"/>
      <c r="J367" s="283"/>
      <c r="K367" s="283"/>
      <c r="L367" s="288"/>
      <c r="M367" s="288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  <c r="AA367" s="159"/>
    </row>
    <row r="368">
      <c r="A368" s="274"/>
      <c r="B368" s="281"/>
      <c r="C368" s="282"/>
      <c r="D368" s="283"/>
      <c r="E368" s="284"/>
      <c r="F368" s="284"/>
      <c r="G368" s="285"/>
      <c r="H368" s="283"/>
      <c r="I368" s="283"/>
      <c r="J368" s="283"/>
      <c r="K368" s="283"/>
      <c r="L368" s="288"/>
      <c r="M368" s="288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  <c r="AA368" s="159"/>
    </row>
    <row r="369">
      <c r="A369" s="274"/>
      <c r="B369" s="281"/>
      <c r="C369" s="282"/>
      <c r="D369" s="283"/>
      <c r="E369" s="284"/>
      <c r="F369" s="284"/>
      <c r="G369" s="285"/>
      <c r="H369" s="283"/>
      <c r="I369" s="283"/>
      <c r="J369" s="283"/>
      <c r="K369" s="283"/>
      <c r="L369" s="288"/>
      <c r="M369" s="288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  <c r="AA369" s="159"/>
    </row>
    <row r="370">
      <c r="A370" s="274"/>
      <c r="B370" s="281"/>
      <c r="C370" s="282"/>
      <c r="D370" s="283"/>
      <c r="E370" s="284"/>
      <c r="F370" s="284"/>
      <c r="G370" s="285"/>
      <c r="H370" s="283"/>
      <c r="I370" s="283"/>
      <c r="J370" s="283"/>
      <c r="K370" s="283"/>
      <c r="L370" s="288"/>
      <c r="M370" s="288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  <c r="AA370" s="159"/>
    </row>
    <row r="371">
      <c r="A371" s="274"/>
      <c r="B371" s="281"/>
      <c r="C371" s="282"/>
      <c r="D371" s="283"/>
      <c r="E371" s="284"/>
      <c r="F371" s="284"/>
      <c r="G371" s="285"/>
      <c r="H371" s="283"/>
      <c r="I371" s="283"/>
      <c r="J371" s="283"/>
      <c r="K371" s="283"/>
      <c r="L371" s="288"/>
      <c r="M371" s="288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  <c r="AA371" s="159"/>
    </row>
    <row r="372">
      <c r="A372" s="274"/>
      <c r="B372" s="281"/>
      <c r="C372" s="282"/>
      <c r="D372" s="283"/>
      <c r="E372" s="284"/>
      <c r="F372" s="284"/>
      <c r="G372" s="285"/>
      <c r="H372" s="283"/>
      <c r="I372" s="283"/>
      <c r="J372" s="283"/>
      <c r="K372" s="283"/>
      <c r="L372" s="288"/>
      <c r="M372" s="288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  <c r="AA372" s="159"/>
    </row>
    <row r="373">
      <c r="A373" s="274"/>
      <c r="B373" s="281"/>
      <c r="C373" s="282"/>
      <c r="D373" s="283"/>
      <c r="E373" s="284"/>
      <c r="F373" s="284"/>
      <c r="G373" s="285"/>
      <c r="H373" s="283"/>
      <c r="I373" s="283"/>
      <c r="J373" s="283"/>
      <c r="K373" s="283"/>
      <c r="L373" s="288"/>
      <c r="M373" s="288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  <c r="AA373" s="159"/>
    </row>
    <row r="374">
      <c r="A374" s="274"/>
      <c r="B374" s="281"/>
      <c r="C374" s="282"/>
      <c r="D374" s="283"/>
      <c r="E374" s="284"/>
      <c r="F374" s="284"/>
      <c r="G374" s="285"/>
      <c r="H374" s="283"/>
      <c r="I374" s="283"/>
      <c r="J374" s="283"/>
      <c r="K374" s="283"/>
      <c r="L374" s="288"/>
      <c r="M374" s="288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  <c r="AA374" s="159"/>
    </row>
    <row r="375">
      <c r="A375" s="274"/>
      <c r="B375" s="281"/>
      <c r="C375" s="282"/>
      <c r="D375" s="283"/>
      <c r="E375" s="284"/>
      <c r="F375" s="284"/>
      <c r="G375" s="285"/>
      <c r="H375" s="283"/>
      <c r="I375" s="283"/>
      <c r="J375" s="283"/>
      <c r="K375" s="283"/>
      <c r="L375" s="288"/>
      <c r="M375" s="288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  <c r="AA375" s="159"/>
    </row>
    <row r="376">
      <c r="A376" s="274"/>
      <c r="B376" s="281"/>
      <c r="C376" s="282"/>
      <c r="D376" s="283"/>
      <c r="E376" s="284"/>
      <c r="F376" s="284"/>
      <c r="G376" s="285"/>
      <c r="H376" s="283"/>
      <c r="I376" s="283"/>
      <c r="J376" s="283"/>
      <c r="K376" s="283"/>
      <c r="L376" s="288"/>
      <c r="M376" s="288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  <c r="AA376" s="159"/>
    </row>
    <row r="377">
      <c r="A377" s="274"/>
      <c r="B377" s="281"/>
      <c r="C377" s="282"/>
      <c r="D377" s="283"/>
      <c r="E377" s="284"/>
      <c r="F377" s="284"/>
      <c r="G377" s="285"/>
      <c r="H377" s="283"/>
      <c r="I377" s="283"/>
      <c r="J377" s="283"/>
      <c r="K377" s="283"/>
      <c r="L377" s="288"/>
      <c r="M377" s="288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  <c r="AA377" s="159"/>
    </row>
    <row r="378">
      <c r="A378" s="274"/>
      <c r="B378" s="281"/>
      <c r="C378" s="282"/>
      <c r="D378" s="283"/>
      <c r="E378" s="284"/>
      <c r="F378" s="284"/>
      <c r="G378" s="285"/>
      <c r="H378" s="283"/>
      <c r="I378" s="283"/>
      <c r="J378" s="283"/>
      <c r="K378" s="283"/>
      <c r="L378" s="288"/>
      <c r="M378" s="288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  <c r="AA378" s="159"/>
    </row>
    <row r="379">
      <c r="A379" s="274"/>
      <c r="B379" s="281"/>
      <c r="C379" s="282"/>
      <c r="D379" s="283"/>
      <c r="E379" s="284"/>
      <c r="F379" s="284"/>
      <c r="G379" s="285"/>
      <c r="H379" s="283"/>
      <c r="I379" s="283"/>
      <c r="J379" s="283"/>
      <c r="K379" s="283"/>
      <c r="L379" s="288"/>
      <c r="M379" s="288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  <c r="AA379" s="159"/>
    </row>
    <row r="380">
      <c r="A380" s="274"/>
      <c r="B380" s="281"/>
      <c r="C380" s="282"/>
      <c r="D380" s="283"/>
      <c r="E380" s="284"/>
      <c r="F380" s="284"/>
      <c r="G380" s="285"/>
      <c r="H380" s="283"/>
      <c r="I380" s="283"/>
      <c r="J380" s="283"/>
      <c r="K380" s="283"/>
      <c r="L380" s="288"/>
      <c r="M380" s="288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  <c r="AA380" s="159"/>
    </row>
    <row r="381">
      <c r="A381" s="274"/>
      <c r="B381" s="281"/>
      <c r="C381" s="282"/>
      <c r="D381" s="283"/>
      <c r="E381" s="284"/>
      <c r="F381" s="284"/>
      <c r="G381" s="285"/>
      <c r="H381" s="283"/>
      <c r="I381" s="283"/>
      <c r="J381" s="283"/>
      <c r="K381" s="283"/>
      <c r="L381" s="288"/>
      <c r="M381" s="288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  <c r="AA381" s="159"/>
    </row>
    <row r="382">
      <c r="A382" s="274"/>
      <c r="B382" s="281"/>
      <c r="C382" s="282"/>
      <c r="D382" s="283"/>
      <c r="E382" s="284"/>
      <c r="F382" s="284"/>
      <c r="G382" s="285"/>
      <c r="H382" s="283"/>
      <c r="I382" s="283"/>
      <c r="J382" s="283"/>
      <c r="K382" s="283"/>
      <c r="L382" s="288"/>
      <c r="M382" s="288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  <c r="AA382" s="159"/>
    </row>
    <row r="383">
      <c r="A383" s="274"/>
      <c r="B383" s="281"/>
      <c r="C383" s="282"/>
      <c r="D383" s="283"/>
      <c r="E383" s="284"/>
      <c r="F383" s="284"/>
      <c r="G383" s="285"/>
      <c r="H383" s="283"/>
      <c r="I383" s="283"/>
      <c r="J383" s="283"/>
      <c r="K383" s="283"/>
      <c r="L383" s="288"/>
      <c r="M383" s="288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  <c r="AA383" s="159"/>
    </row>
    <row r="384">
      <c r="A384" s="274"/>
      <c r="B384" s="281"/>
      <c r="C384" s="282"/>
      <c r="D384" s="283"/>
      <c r="E384" s="284"/>
      <c r="F384" s="284"/>
      <c r="G384" s="285"/>
      <c r="H384" s="283"/>
      <c r="I384" s="283"/>
      <c r="J384" s="283"/>
      <c r="K384" s="283"/>
      <c r="L384" s="288"/>
      <c r="M384" s="288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  <c r="AA384" s="159"/>
    </row>
    <row r="385">
      <c r="A385" s="274"/>
      <c r="B385" s="281"/>
      <c r="C385" s="282"/>
      <c r="D385" s="283"/>
      <c r="E385" s="284"/>
      <c r="F385" s="284"/>
      <c r="G385" s="285"/>
      <c r="H385" s="283"/>
      <c r="I385" s="283"/>
      <c r="J385" s="283"/>
      <c r="K385" s="283"/>
      <c r="L385" s="288"/>
      <c r="M385" s="288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  <c r="AA385" s="159"/>
    </row>
    <row r="386">
      <c r="A386" s="274"/>
      <c r="B386" s="281"/>
      <c r="C386" s="282"/>
      <c r="D386" s="283"/>
      <c r="E386" s="284"/>
      <c r="F386" s="284"/>
      <c r="G386" s="285"/>
      <c r="H386" s="283"/>
      <c r="I386" s="283"/>
      <c r="J386" s="283"/>
      <c r="K386" s="283"/>
      <c r="L386" s="288"/>
      <c r="M386" s="288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  <c r="AA386" s="159"/>
    </row>
    <row r="387">
      <c r="A387" s="274"/>
      <c r="B387" s="281"/>
      <c r="C387" s="282"/>
      <c r="D387" s="283"/>
      <c r="E387" s="284"/>
      <c r="F387" s="284"/>
      <c r="G387" s="285"/>
      <c r="H387" s="283"/>
      <c r="I387" s="283"/>
      <c r="J387" s="283"/>
      <c r="K387" s="283"/>
      <c r="L387" s="288"/>
      <c r="M387" s="288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  <c r="AA387" s="159"/>
    </row>
    <row r="388">
      <c r="A388" s="274"/>
      <c r="B388" s="281"/>
      <c r="C388" s="282"/>
      <c r="D388" s="283"/>
      <c r="E388" s="284"/>
      <c r="F388" s="284"/>
      <c r="G388" s="285"/>
      <c r="H388" s="283"/>
      <c r="I388" s="283"/>
      <c r="J388" s="283"/>
      <c r="K388" s="283"/>
      <c r="L388" s="288"/>
      <c r="M388" s="288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  <c r="AA388" s="159"/>
    </row>
    <row r="389">
      <c r="A389" s="274"/>
      <c r="B389" s="281"/>
      <c r="C389" s="282"/>
      <c r="D389" s="283"/>
      <c r="E389" s="284"/>
      <c r="F389" s="284"/>
      <c r="G389" s="285"/>
      <c r="H389" s="283"/>
      <c r="I389" s="283"/>
      <c r="J389" s="283"/>
      <c r="K389" s="283"/>
      <c r="L389" s="288"/>
      <c r="M389" s="288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  <c r="AA389" s="159"/>
    </row>
    <row r="390">
      <c r="A390" s="274"/>
      <c r="B390" s="281"/>
      <c r="C390" s="282"/>
      <c r="D390" s="283"/>
      <c r="E390" s="284"/>
      <c r="F390" s="284"/>
      <c r="G390" s="285"/>
      <c r="H390" s="283"/>
      <c r="I390" s="283"/>
      <c r="J390" s="283"/>
      <c r="K390" s="283"/>
      <c r="L390" s="288"/>
      <c r="M390" s="288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  <c r="AA390" s="159"/>
    </row>
    <row r="391">
      <c r="A391" s="274"/>
      <c r="B391" s="281"/>
      <c r="C391" s="282"/>
      <c r="D391" s="283"/>
      <c r="E391" s="284"/>
      <c r="F391" s="284"/>
      <c r="G391" s="285"/>
      <c r="H391" s="283"/>
      <c r="I391" s="283"/>
      <c r="J391" s="283"/>
      <c r="K391" s="283"/>
      <c r="L391" s="288"/>
      <c r="M391" s="288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  <c r="AA391" s="159"/>
    </row>
    <row r="392">
      <c r="A392" s="274"/>
      <c r="B392" s="281"/>
      <c r="C392" s="282"/>
      <c r="D392" s="283"/>
      <c r="E392" s="284"/>
      <c r="F392" s="284"/>
      <c r="G392" s="285"/>
      <c r="H392" s="283"/>
      <c r="I392" s="283"/>
      <c r="J392" s="283"/>
      <c r="K392" s="283"/>
      <c r="L392" s="288"/>
      <c r="M392" s="288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  <c r="AA392" s="159"/>
    </row>
    <row r="393">
      <c r="A393" s="274"/>
      <c r="B393" s="281"/>
      <c r="C393" s="282"/>
      <c r="D393" s="283"/>
      <c r="E393" s="284"/>
      <c r="F393" s="284"/>
      <c r="G393" s="285"/>
      <c r="H393" s="283"/>
      <c r="I393" s="283"/>
      <c r="J393" s="283"/>
      <c r="K393" s="283"/>
      <c r="L393" s="288"/>
      <c r="M393" s="288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  <c r="AA393" s="159"/>
    </row>
    <row r="394">
      <c r="A394" s="274"/>
      <c r="B394" s="281"/>
      <c r="C394" s="282"/>
      <c r="D394" s="283"/>
      <c r="E394" s="284"/>
      <c r="F394" s="284"/>
      <c r="G394" s="285"/>
      <c r="H394" s="283"/>
      <c r="I394" s="283"/>
      <c r="J394" s="283"/>
      <c r="K394" s="283"/>
      <c r="L394" s="288"/>
      <c r="M394" s="288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  <c r="AA394" s="159"/>
    </row>
    <row r="395">
      <c r="A395" s="274"/>
      <c r="B395" s="281"/>
      <c r="C395" s="282"/>
      <c r="D395" s="283"/>
      <c r="E395" s="284"/>
      <c r="F395" s="284"/>
      <c r="G395" s="285"/>
      <c r="H395" s="283"/>
      <c r="I395" s="283"/>
      <c r="J395" s="283"/>
      <c r="K395" s="283"/>
      <c r="L395" s="288"/>
      <c r="M395" s="288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  <c r="AA395" s="159"/>
    </row>
    <row r="396">
      <c r="A396" s="274"/>
      <c r="B396" s="281"/>
      <c r="C396" s="282"/>
      <c r="D396" s="283"/>
      <c r="E396" s="284"/>
      <c r="F396" s="284"/>
      <c r="G396" s="285"/>
      <c r="H396" s="283"/>
      <c r="I396" s="283"/>
      <c r="J396" s="283"/>
      <c r="K396" s="283"/>
      <c r="L396" s="288"/>
      <c r="M396" s="288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  <c r="AA396" s="159"/>
    </row>
    <row r="397">
      <c r="A397" s="274"/>
      <c r="B397" s="281"/>
      <c r="C397" s="282"/>
      <c r="D397" s="283"/>
      <c r="E397" s="284"/>
      <c r="F397" s="284"/>
      <c r="G397" s="285"/>
      <c r="H397" s="283"/>
      <c r="I397" s="283"/>
      <c r="J397" s="283"/>
      <c r="K397" s="283"/>
      <c r="L397" s="288"/>
      <c r="M397" s="288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  <c r="AA397" s="159"/>
    </row>
    <row r="398">
      <c r="A398" s="274"/>
      <c r="B398" s="281"/>
      <c r="C398" s="282"/>
      <c r="D398" s="283"/>
      <c r="E398" s="284"/>
      <c r="F398" s="284"/>
      <c r="G398" s="285"/>
      <c r="H398" s="283"/>
      <c r="I398" s="283"/>
      <c r="J398" s="283"/>
      <c r="K398" s="283"/>
      <c r="L398" s="288"/>
      <c r="M398" s="288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  <c r="AA398" s="159"/>
    </row>
    <row r="399">
      <c r="A399" s="274"/>
      <c r="B399" s="281"/>
      <c r="C399" s="282"/>
      <c r="D399" s="283"/>
      <c r="E399" s="284"/>
      <c r="F399" s="284"/>
      <c r="G399" s="285"/>
      <c r="H399" s="283"/>
      <c r="I399" s="283"/>
      <c r="J399" s="283"/>
      <c r="K399" s="283"/>
      <c r="L399" s="288"/>
      <c r="M399" s="288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  <c r="AA399" s="159"/>
    </row>
    <row r="400">
      <c r="A400" s="274"/>
      <c r="B400" s="281"/>
      <c r="C400" s="282"/>
      <c r="D400" s="283"/>
      <c r="E400" s="284"/>
      <c r="F400" s="284"/>
      <c r="G400" s="285"/>
      <c r="H400" s="283"/>
      <c r="I400" s="283"/>
      <c r="J400" s="283"/>
      <c r="K400" s="283"/>
      <c r="L400" s="288"/>
      <c r="M400" s="288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  <c r="AA400" s="159"/>
    </row>
    <row r="401">
      <c r="A401" s="274"/>
      <c r="B401" s="281"/>
      <c r="C401" s="282"/>
      <c r="D401" s="283"/>
      <c r="E401" s="284"/>
      <c r="F401" s="284"/>
      <c r="G401" s="285"/>
      <c r="H401" s="283"/>
      <c r="I401" s="283"/>
      <c r="J401" s="283"/>
      <c r="K401" s="283"/>
      <c r="L401" s="288"/>
      <c r="M401" s="288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  <c r="AA401" s="159"/>
    </row>
    <row r="402">
      <c r="A402" s="274"/>
      <c r="B402" s="281"/>
      <c r="C402" s="282"/>
      <c r="D402" s="283"/>
      <c r="E402" s="284"/>
      <c r="F402" s="284"/>
      <c r="G402" s="285"/>
      <c r="H402" s="283"/>
      <c r="I402" s="283"/>
      <c r="J402" s="283"/>
      <c r="K402" s="283"/>
      <c r="L402" s="288"/>
      <c r="M402" s="288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  <c r="AA402" s="159"/>
    </row>
    <row r="403">
      <c r="A403" s="274"/>
      <c r="B403" s="281"/>
      <c r="C403" s="282"/>
      <c r="D403" s="283"/>
      <c r="E403" s="284"/>
      <c r="F403" s="284"/>
      <c r="G403" s="285"/>
      <c r="H403" s="283"/>
      <c r="I403" s="283"/>
      <c r="J403" s="283"/>
      <c r="K403" s="283"/>
      <c r="L403" s="288"/>
      <c r="M403" s="288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  <c r="AA403" s="159"/>
    </row>
    <row r="404">
      <c r="A404" s="274"/>
      <c r="B404" s="281"/>
      <c r="C404" s="282"/>
      <c r="D404" s="283"/>
      <c r="E404" s="284"/>
      <c r="F404" s="284"/>
      <c r="G404" s="285"/>
      <c r="H404" s="283"/>
      <c r="I404" s="283"/>
      <c r="J404" s="283"/>
      <c r="K404" s="283"/>
      <c r="L404" s="288"/>
      <c r="M404" s="288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  <c r="AA404" s="159"/>
    </row>
    <row r="405">
      <c r="A405" s="274"/>
      <c r="B405" s="281"/>
      <c r="C405" s="282"/>
      <c r="D405" s="283"/>
      <c r="E405" s="284"/>
      <c r="F405" s="284"/>
      <c r="G405" s="285"/>
      <c r="H405" s="283"/>
      <c r="I405" s="283"/>
      <c r="J405" s="283"/>
      <c r="K405" s="283"/>
      <c r="L405" s="288"/>
      <c r="M405" s="288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  <c r="AA405" s="159"/>
    </row>
    <row r="406">
      <c r="A406" s="274"/>
      <c r="B406" s="281"/>
      <c r="C406" s="282"/>
      <c r="D406" s="283"/>
      <c r="E406" s="284"/>
      <c r="F406" s="284"/>
      <c r="G406" s="285"/>
      <c r="H406" s="283"/>
      <c r="I406" s="283"/>
      <c r="J406" s="283"/>
      <c r="K406" s="283"/>
      <c r="L406" s="288"/>
      <c r="M406" s="288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  <c r="AA406" s="159"/>
    </row>
    <row r="407">
      <c r="A407" s="274"/>
      <c r="B407" s="281"/>
      <c r="C407" s="282"/>
      <c r="D407" s="283"/>
      <c r="E407" s="284"/>
      <c r="F407" s="284"/>
      <c r="G407" s="285"/>
      <c r="H407" s="283"/>
      <c r="I407" s="283"/>
      <c r="J407" s="283"/>
      <c r="K407" s="283"/>
      <c r="L407" s="288"/>
      <c r="M407" s="288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  <c r="AA407" s="159"/>
    </row>
    <row r="408">
      <c r="A408" s="274"/>
      <c r="B408" s="281"/>
      <c r="C408" s="282"/>
      <c r="D408" s="283"/>
      <c r="E408" s="284"/>
      <c r="F408" s="284"/>
      <c r="G408" s="285"/>
      <c r="H408" s="283"/>
      <c r="I408" s="283"/>
      <c r="J408" s="283"/>
      <c r="K408" s="283"/>
      <c r="L408" s="288"/>
      <c r="M408" s="288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  <c r="AA408" s="159"/>
    </row>
    <row r="409">
      <c r="A409" s="274"/>
      <c r="B409" s="281"/>
      <c r="C409" s="282"/>
      <c r="D409" s="283"/>
      <c r="E409" s="284"/>
      <c r="F409" s="284"/>
      <c r="G409" s="285"/>
      <c r="H409" s="283"/>
      <c r="I409" s="283"/>
      <c r="J409" s="283"/>
      <c r="K409" s="283"/>
      <c r="L409" s="288"/>
      <c r="M409" s="288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  <c r="AA409" s="159"/>
    </row>
    <row r="410">
      <c r="A410" s="274"/>
      <c r="B410" s="281"/>
      <c r="C410" s="282"/>
      <c r="D410" s="283"/>
      <c r="E410" s="284"/>
      <c r="F410" s="284"/>
      <c r="G410" s="285"/>
      <c r="H410" s="283"/>
      <c r="I410" s="283"/>
      <c r="J410" s="283"/>
      <c r="K410" s="283"/>
      <c r="L410" s="288"/>
      <c r="M410" s="288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  <c r="AA410" s="159"/>
    </row>
    <row r="411">
      <c r="A411" s="274"/>
      <c r="B411" s="281"/>
      <c r="C411" s="282"/>
      <c r="D411" s="283"/>
      <c r="E411" s="284"/>
      <c r="F411" s="284"/>
      <c r="G411" s="285"/>
      <c r="H411" s="283"/>
      <c r="I411" s="283"/>
      <c r="J411" s="283"/>
      <c r="K411" s="283"/>
      <c r="L411" s="288"/>
      <c r="M411" s="288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  <c r="AA411" s="159"/>
    </row>
    <row r="412">
      <c r="A412" s="274"/>
      <c r="B412" s="281"/>
      <c r="C412" s="282"/>
      <c r="D412" s="283"/>
      <c r="E412" s="284"/>
      <c r="F412" s="284"/>
      <c r="G412" s="285"/>
      <c r="H412" s="283"/>
      <c r="I412" s="283"/>
      <c r="J412" s="283"/>
      <c r="K412" s="283"/>
      <c r="L412" s="288"/>
      <c r="M412" s="288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  <c r="AA412" s="159"/>
    </row>
    <row r="413">
      <c r="A413" s="274"/>
      <c r="B413" s="281"/>
      <c r="C413" s="282"/>
      <c r="D413" s="283"/>
      <c r="E413" s="284"/>
      <c r="F413" s="284"/>
      <c r="G413" s="285"/>
      <c r="H413" s="283"/>
      <c r="I413" s="283"/>
      <c r="J413" s="283"/>
      <c r="K413" s="283"/>
      <c r="L413" s="288"/>
      <c r="M413" s="288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  <c r="AA413" s="159"/>
    </row>
    <row r="414">
      <c r="A414" s="274"/>
      <c r="B414" s="281"/>
      <c r="C414" s="282"/>
      <c r="D414" s="283"/>
      <c r="E414" s="284"/>
      <c r="F414" s="284"/>
      <c r="G414" s="285"/>
      <c r="H414" s="283"/>
      <c r="I414" s="283"/>
      <c r="J414" s="283"/>
      <c r="K414" s="283"/>
      <c r="L414" s="288"/>
      <c r="M414" s="288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  <c r="AA414" s="159"/>
    </row>
    <row r="415">
      <c r="A415" s="274"/>
      <c r="B415" s="281"/>
      <c r="C415" s="282"/>
      <c r="D415" s="283"/>
      <c r="E415" s="284"/>
      <c r="F415" s="284"/>
      <c r="G415" s="285"/>
      <c r="H415" s="283"/>
      <c r="I415" s="283"/>
      <c r="J415" s="283"/>
      <c r="K415" s="283"/>
      <c r="L415" s="288"/>
      <c r="M415" s="288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  <c r="AA415" s="159"/>
    </row>
    <row r="416">
      <c r="A416" s="274"/>
      <c r="B416" s="281"/>
      <c r="C416" s="282"/>
      <c r="D416" s="283"/>
      <c r="E416" s="284"/>
      <c r="F416" s="284"/>
      <c r="G416" s="285"/>
      <c r="H416" s="283"/>
      <c r="I416" s="283"/>
      <c r="J416" s="283"/>
      <c r="K416" s="283"/>
      <c r="L416" s="288"/>
      <c r="M416" s="288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  <c r="AA416" s="159"/>
    </row>
    <row r="417">
      <c r="A417" s="274"/>
      <c r="B417" s="281"/>
      <c r="C417" s="282"/>
      <c r="D417" s="283"/>
      <c r="E417" s="284"/>
      <c r="F417" s="284"/>
      <c r="G417" s="285"/>
      <c r="H417" s="283"/>
      <c r="I417" s="283"/>
      <c r="J417" s="283"/>
      <c r="K417" s="283"/>
      <c r="L417" s="288"/>
      <c r="M417" s="288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  <c r="AA417" s="159"/>
    </row>
    <row r="418">
      <c r="A418" s="274"/>
      <c r="B418" s="281"/>
      <c r="C418" s="282"/>
      <c r="D418" s="283"/>
      <c r="E418" s="284"/>
      <c r="F418" s="284"/>
      <c r="G418" s="285"/>
      <c r="H418" s="283"/>
      <c r="I418" s="283"/>
      <c r="J418" s="283"/>
      <c r="K418" s="283"/>
      <c r="L418" s="288"/>
      <c r="M418" s="288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  <c r="AA418" s="159"/>
    </row>
    <row r="419">
      <c r="A419" s="274"/>
      <c r="B419" s="281"/>
      <c r="C419" s="282"/>
      <c r="D419" s="283"/>
      <c r="E419" s="284"/>
      <c r="F419" s="284"/>
      <c r="G419" s="285"/>
      <c r="H419" s="283"/>
      <c r="I419" s="283"/>
      <c r="J419" s="283"/>
      <c r="K419" s="283"/>
      <c r="L419" s="288"/>
      <c r="M419" s="288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  <c r="AA419" s="159"/>
    </row>
    <row r="420">
      <c r="A420" s="274"/>
      <c r="B420" s="281"/>
      <c r="C420" s="282"/>
      <c r="D420" s="283"/>
      <c r="E420" s="284"/>
      <c r="F420" s="284"/>
      <c r="G420" s="285"/>
      <c r="H420" s="283"/>
      <c r="I420" s="283"/>
      <c r="J420" s="283"/>
      <c r="K420" s="283"/>
      <c r="L420" s="288"/>
      <c r="M420" s="288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  <c r="AA420" s="159"/>
    </row>
    <row r="421">
      <c r="A421" s="274"/>
      <c r="B421" s="281"/>
      <c r="C421" s="282"/>
      <c r="D421" s="283"/>
      <c r="E421" s="284"/>
      <c r="F421" s="284"/>
      <c r="G421" s="285"/>
      <c r="H421" s="283"/>
      <c r="I421" s="283"/>
      <c r="J421" s="283"/>
      <c r="K421" s="283"/>
      <c r="L421" s="288"/>
      <c r="M421" s="288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  <c r="AA421" s="159"/>
    </row>
    <row r="422">
      <c r="A422" s="274"/>
      <c r="B422" s="281"/>
      <c r="C422" s="282"/>
      <c r="D422" s="283"/>
      <c r="E422" s="284"/>
      <c r="F422" s="284"/>
      <c r="G422" s="285"/>
      <c r="H422" s="283"/>
      <c r="I422" s="283"/>
      <c r="J422" s="283"/>
      <c r="K422" s="283"/>
      <c r="L422" s="288"/>
      <c r="M422" s="288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  <c r="AA422" s="159"/>
    </row>
    <row r="423">
      <c r="A423" s="274"/>
      <c r="B423" s="281"/>
      <c r="C423" s="282"/>
      <c r="D423" s="283"/>
      <c r="E423" s="284"/>
      <c r="F423" s="284"/>
      <c r="G423" s="285"/>
      <c r="H423" s="283"/>
      <c r="I423" s="283"/>
      <c r="J423" s="283"/>
      <c r="K423" s="283"/>
      <c r="L423" s="288"/>
      <c r="M423" s="288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  <c r="AA423" s="159"/>
    </row>
    <row r="424">
      <c r="A424" s="274"/>
      <c r="B424" s="281"/>
      <c r="C424" s="282"/>
      <c r="D424" s="283"/>
      <c r="E424" s="284"/>
      <c r="F424" s="284"/>
      <c r="G424" s="285"/>
      <c r="H424" s="283"/>
      <c r="I424" s="283"/>
      <c r="J424" s="283"/>
      <c r="K424" s="283"/>
      <c r="L424" s="288"/>
      <c r="M424" s="288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  <c r="AA424" s="159"/>
    </row>
    <row r="425">
      <c r="A425" s="274"/>
      <c r="B425" s="281"/>
      <c r="C425" s="282"/>
      <c r="D425" s="283"/>
      <c r="E425" s="284"/>
      <c r="F425" s="284"/>
      <c r="G425" s="285"/>
      <c r="H425" s="283"/>
      <c r="I425" s="283"/>
      <c r="J425" s="283"/>
      <c r="K425" s="283"/>
      <c r="L425" s="288"/>
      <c r="M425" s="288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  <c r="AA425" s="159"/>
    </row>
    <row r="426">
      <c r="A426" s="274"/>
      <c r="B426" s="281"/>
      <c r="C426" s="282"/>
      <c r="D426" s="283"/>
      <c r="E426" s="284"/>
      <c r="F426" s="284"/>
      <c r="G426" s="285"/>
      <c r="H426" s="283"/>
      <c r="I426" s="283"/>
      <c r="J426" s="283"/>
      <c r="K426" s="283"/>
      <c r="L426" s="288"/>
      <c r="M426" s="288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  <c r="AA426" s="159"/>
    </row>
    <row r="427">
      <c r="A427" s="274"/>
      <c r="B427" s="281"/>
      <c r="C427" s="282"/>
      <c r="D427" s="283"/>
      <c r="E427" s="284"/>
      <c r="F427" s="284"/>
      <c r="G427" s="285"/>
      <c r="H427" s="283"/>
      <c r="I427" s="283"/>
      <c r="J427" s="283"/>
      <c r="K427" s="283"/>
      <c r="L427" s="288"/>
      <c r="M427" s="288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  <c r="AA427" s="159"/>
    </row>
    <row r="428">
      <c r="A428" s="274"/>
      <c r="B428" s="281"/>
      <c r="C428" s="282"/>
      <c r="D428" s="283"/>
      <c r="E428" s="284"/>
      <c r="F428" s="284"/>
      <c r="G428" s="285"/>
      <c r="H428" s="283"/>
      <c r="I428" s="283"/>
      <c r="J428" s="283"/>
      <c r="K428" s="283"/>
      <c r="L428" s="288"/>
      <c r="M428" s="288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  <c r="AA428" s="159"/>
    </row>
    <row r="429">
      <c r="A429" s="274"/>
      <c r="B429" s="281"/>
      <c r="C429" s="282"/>
      <c r="D429" s="283"/>
      <c r="E429" s="284"/>
      <c r="F429" s="284"/>
      <c r="G429" s="285"/>
      <c r="H429" s="283"/>
      <c r="I429" s="283"/>
      <c r="J429" s="283"/>
      <c r="K429" s="283"/>
      <c r="L429" s="288"/>
      <c r="M429" s="288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  <c r="AA429" s="159"/>
    </row>
    <row r="430">
      <c r="A430" s="274"/>
      <c r="B430" s="281"/>
      <c r="C430" s="282"/>
      <c r="D430" s="283"/>
      <c r="E430" s="284"/>
      <c r="F430" s="284"/>
      <c r="G430" s="285"/>
      <c r="H430" s="283"/>
      <c r="I430" s="283"/>
      <c r="J430" s="283"/>
      <c r="K430" s="283"/>
      <c r="L430" s="288"/>
      <c r="M430" s="288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  <c r="AA430" s="159"/>
    </row>
    <row r="431">
      <c r="A431" s="274"/>
      <c r="B431" s="281"/>
      <c r="C431" s="282"/>
      <c r="D431" s="283"/>
      <c r="E431" s="284"/>
      <c r="F431" s="284"/>
      <c r="G431" s="285"/>
      <c r="H431" s="283"/>
      <c r="I431" s="283"/>
      <c r="J431" s="283"/>
      <c r="K431" s="283"/>
      <c r="L431" s="288"/>
      <c r="M431" s="288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  <c r="AA431" s="159"/>
    </row>
    <row r="432">
      <c r="A432" s="274"/>
      <c r="B432" s="281"/>
      <c r="C432" s="282"/>
      <c r="D432" s="283"/>
      <c r="E432" s="284"/>
      <c r="F432" s="284"/>
      <c r="G432" s="285"/>
      <c r="H432" s="283"/>
      <c r="I432" s="283"/>
      <c r="J432" s="283"/>
      <c r="K432" s="283"/>
      <c r="L432" s="288"/>
      <c r="M432" s="288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  <c r="AA432" s="159"/>
    </row>
    <row r="433">
      <c r="A433" s="274"/>
      <c r="B433" s="281"/>
      <c r="C433" s="282"/>
      <c r="D433" s="283"/>
      <c r="E433" s="284"/>
      <c r="F433" s="284"/>
      <c r="G433" s="285"/>
      <c r="H433" s="283"/>
      <c r="I433" s="283"/>
      <c r="J433" s="283"/>
      <c r="K433" s="283"/>
      <c r="L433" s="288"/>
      <c r="M433" s="288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  <c r="AA433" s="159"/>
    </row>
    <row r="434">
      <c r="A434" s="274"/>
      <c r="B434" s="281"/>
      <c r="C434" s="282"/>
      <c r="D434" s="283"/>
      <c r="E434" s="284"/>
      <c r="F434" s="284"/>
      <c r="G434" s="285"/>
      <c r="H434" s="283"/>
      <c r="I434" s="283"/>
      <c r="J434" s="283"/>
      <c r="K434" s="283"/>
      <c r="L434" s="288"/>
      <c r="M434" s="288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  <c r="AA434" s="159"/>
    </row>
    <row r="435">
      <c r="A435" s="274"/>
      <c r="B435" s="281"/>
      <c r="C435" s="282"/>
      <c r="D435" s="283"/>
      <c r="E435" s="284"/>
      <c r="F435" s="284"/>
      <c r="G435" s="285"/>
      <c r="H435" s="283"/>
      <c r="I435" s="283"/>
      <c r="J435" s="283"/>
      <c r="K435" s="283"/>
      <c r="L435" s="288"/>
      <c r="M435" s="288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  <c r="AA435" s="159"/>
    </row>
    <row r="436">
      <c r="A436" s="274"/>
      <c r="B436" s="281"/>
      <c r="C436" s="282"/>
      <c r="D436" s="283"/>
      <c r="E436" s="284"/>
      <c r="F436" s="284"/>
      <c r="G436" s="285"/>
      <c r="H436" s="283"/>
      <c r="I436" s="283"/>
      <c r="J436" s="283"/>
      <c r="K436" s="283"/>
      <c r="L436" s="288"/>
      <c r="M436" s="288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  <c r="AA436" s="159"/>
    </row>
    <row r="437">
      <c r="A437" s="274"/>
      <c r="B437" s="281"/>
      <c r="C437" s="282"/>
      <c r="D437" s="283"/>
      <c r="E437" s="284"/>
      <c r="F437" s="284"/>
      <c r="G437" s="285"/>
      <c r="H437" s="283"/>
      <c r="I437" s="283"/>
      <c r="J437" s="283"/>
      <c r="K437" s="283"/>
      <c r="L437" s="288"/>
      <c r="M437" s="288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  <c r="AA437" s="159"/>
    </row>
    <row r="438">
      <c r="A438" s="274"/>
      <c r="B438" s="281"/>
      <c r="C438" s="282"/>
      <c r="D438" s="283"/>
      <c r="E438" s="284"/>
      <c r="F438" s="284"/>
      <c r="G438" s="285"/>
      <c r="H438" s="283"/>
      <c r="I438" s="283"/>
      <c r="J438" s="283"/>
      <c r="K438" s="283"/>
      <c r="L438" s="288"/>
      <c r="M438" s="288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  <c r="AA438" s="159"/>
    </row>
    <row r="439">
      <c r="A439" s="274"/>
      <c r="B439" s="281"/>
      <c r="C439" s="282"/>
      <c r="D439" s="283"/>
      <c r="E439" s="284"/>
      <c r="F439" s="284"/>
      <c r="G439" s="285"/>
      <c r="H439" s="283"/>
      <c r="I439" s="283"/>
      <c r="J439" s="283"/>
      <c r="K439" s="283"/>
      <c r="L439" s="288"/>
      <c r="M439" s="288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  <c r="AA439" s="159"/>
    </row>
    <row r="440">
      <c r="A440" s="274"/>
      <c r="B440" s="281"/>
      <c r="C440" s="282"/>
      <c r="D440" s="283"/>
      <c r="E440" s="284"/>
      <c r="F440" s="284"/>
      <c r="G440" s="285"/>
      <c r="H440" s="283"/>
      <c r="I440" s="283"/>
      <c r="J440" s="283"/>
      <c r="K440" s="283"/>
      <c r="L440" s="288"/>
      <c r="M440" s="288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  <c r="AA440" s="159"/>
    </row>
    <row r="441">
      <c r="A441" s="274"/>
      <c r="B441" s="281"/>
      <c r="C441" s="282"/>
      <c r="D441" s="283"/>
      <c r="E441" s="284"/>
      <c r="F441" s="284"/>
      <c r="G441" s="285"/>
      <c r="H441" s="283"/>
      <c r="I441" s="283"/>
      <c r="J441" s="283"/>
      <c r="K441" s="283"/>
      <c r="L441" s="288"/>
      <c r="M441" s="288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  <c r="AA441" s="159"/>
    </row>
    <row r="442">
      <c r="A442" s="274"/>
      <c r="B442" s="281"/>
      <c r="C442" s="282"/>
      <c r="D442" s="283"/>
      <c r="E442" s="284"/>
      <c r="F442" s="284"/>
      <c r="G442" s="285"/>
      <c r="H442" s="283"/>
      <c r="I442" s="283"/>
      <c r="J442" s="283"/>
      <c r="K442" s="283"/>
      <c r="L442" s="288"/>
      <c r="M442" s="288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  <c r="AA442" s="159"/>
    </row>
    <row r="443">
      <c r="A443" s="274"/>
      <c r="B443" s="281"/>
      <c r="C443" s="282"/>
      <c r="D443" s="283"/>
      <c r="E443" s="284"/>
      <c r="F443" s="284"/>
      <c r="G443" s="285"/>
      <c r="H443" s="283"/>
      <c r="I443" s="283"/>
      <c r="J443" s="283"/>
      <c r="K443" s="283"/>
      <c r="L443" s="288"/>
      <c r="M443" s="288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  <c r="AA443" s="159"/>
    </row>
    <row r="444">
      <c r="A444" s="274"/>
      <c r="B444" s="281"/>
      <c r="C444" s="282"/>
      <c r="D444" s="283"/>
      <c r="E444" s="284"/>
      <c r="F444" s="284"/>
      <c r="G444" s="285"/>
      <c r="H444" s="283"/>
      <c r="I444" s="283"/>
      <c r="J444" s="283"/>
      <c r="K444" s="283"/>
      <c r="L444" s="288"/>
      <c r="M444" s="288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  <c r="AA444" s="159"/>
    </row>
    <row r="445">
      <c r="A445" s="274"/>
      <c r="B445" s="281"/>
      <c r="C445" s="282"/>
      <c r="D445" s="283"/>
      <c r="E445" s="284"/>
      <c r="F445" s="284"/>
      <c r="G445" s="285"/>
      <c r="H445" s="283"/>
      <c r="I445" s="283"/>
      <c r="J445" s="283"/>
      <c r="K445" s="283"/>
      <c r="L445" s="288"/>
      <c r="M445" s="288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  <c r="AA445" s="159"/>
    </row>
    <row r="446">
      <c r="A446" s="274"/>
      <c r="B446" s="281"/>
      <c r="C446" s="282"/>
      <c r="D446" s="283"/>
      <c r="E446" s="284"/>
      <c r="F446" s="284"/>
      <c r="G446" s="285"/>
      <c r="H446" s="283"/>
      <c r="I446" s="283"/>
      <c r="J446" s="283"/>
      <c r="K446" s="283"/>
      <c r="L446" s="288"/>
      <c r="M446" s="288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  <c r="AA446" s="159"/>
    </row>
    <row r="447">
      <c r="A447" s="274"/>
      <c r="B447" s="281"/>
      <c r="C447" s="282"/>
      <c r="D447" s="283"/>
      <c r="E447" s="284"/>
      <c r="F447" s="284"/>
      <c r="G447" s="285"/>
      <c r="H447" s="283"/>
      <c r="I447" s="283"/>
      <c r="J447" s="283"/>
      <c r="K447" s="283"/>
      <c r="L447" s="288"/>
      <c r="M447" s="288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  <c r="AA447" s="159"/>
    </row>
    <row r="448">
      <c r="A448" s="274"/>
      <c r="B448" s="281"/>
      <c r="C448" s="282"/>
      <c r="D448" s="283"/>
      <c r="E448" s="284"/>
      <c r="F448" s="284"/>
      <c r="G448" s="285"/>
      <c r="H448" s="283"/>
      <c r="I448" s="283"/>
      <c r="J448" s="283"/>
      <c r="K448" s="283"/>
      <c r="L448" s="288"/>
      <c r="M448" s="288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  <c r="AA448" s="159"/>
    </row>
    <row r="449">
      <c r="A449" s="274"/>
      <c r="B449" s="281"/>
      <c r="C449" s="282"/>
      <c r="D449" s="283"/>
      <c r="E449" s="284"/>
      <c r="F449" s="284"/>
      <c r="G449" s="285"/>
      <c r="H449" s="283"/>
      <c r="I449" s="283"/>
      <c r="J449" s="283"/>
      <c r="K449" s="283"/>
      <c r="L449" s="288"/>
      <c r="M449" s="288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  <c r="AA449" s="159"/>
    </row>
    <row r="450">
      <c r="A450" s="274"/>
      <c r="B450" s="281"/>
      <c r="C450" s="282"/>
      <c r="D450" s="283"/>
      <c r="E450" s="284"/>
      <c r="F450" s="284"/>
      <c r="G450" s="285"/>
      <c r="H450" s="283"/>
      <c r="I450" s="283"/>
      <c r="J450" s="283"/>
      <c r="K450" s="283"/>
      <c r="L450" s="288"/>
      <c r="M450" s="288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  <c r="AA450" s="159"/>
    </row>
    <row r="451">
      <c r="A451" s="274"/>
      <c r="B451" s="281"/>
      <c r="C451" s="282"/>
      <c r="D451" s="283"/>
      <c r="E451" s="284"/>
      <c r="F451" s="284"/>
      <c r="G451" s="285"/>
      <c r="H451" s="283"/>
      <c r="I451" s="283"/>
      <c r="J451" s="283"/>
      <c r="K451" s="283"/>
      <c r="L451" s="288"/>
      <c r="M451" s="288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  <c r="AA451" s="159"/>
    </row>
    <row r="452">
      <c r="A452" s="274"/>
      <c r="B452" s="281"/>
      <c r="C452" s="282"/>
      <c r="D452" s="283"/>
      <c r="E452" s="284"/>
      <c r="F452" s="284"/>
      <c r="G452" s="285"/>
      <c r="H452" s="283"/>
      <c r="I452" s="283"/>
      <c r="J452" s="283"/>
      <c r="K452" s="283"/>
      <c r="L452" s="288"/>
      <c r="M452" s="288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  <c r="AA452" s="159"/>
    </row>
    <row r="453">
      <c r="A453" s="274"/>
      <c r="B453" s="281"/>
      <c r="C453" s="282"/>
      <c r="D453" s="283"/>
      <c r="E453" s="284"/>
      <c r="F453" s="284"/>
      <c r="G453" s="285"/>
      <c r="H453" s="283"/>
      <c r="I453" s="283"/>
      <c r="J453" s="283"/>
      <c r="K453" s="283"/>
      <c r="L453" s="288"/>
      <c r="M453" s="288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  <c r="AA453" s="159"/>
    </row>
    <row r="454">
      <c r="A454" s="274"/>
      <c r="B454" s="281"/>
      <c r="C454" s="282"/>
      <c r="D454" s="283"/>
      <c r="E454" s="284"/>
      <c r="F454" s="284"/>
      <c r="G454" s="285"/>
      <c r="H454" s="283"/>
      <c r="I454" s="283"/>
      <c r="J454" s="283"/>
      <c r="K454" s="283"/>
      <c r="L454" s="288"/>
      <c r="M454" s="288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  <c r="AA454" s="159"/>
    </row>
    <row r="455">
      <c r="A455" s="274"/>
      <c r="B455" s="281"/>
      <c r="C455" s="282"/>
      <c r="D455" s="283"/>
      <c r="E455" s="284"/>
      <c r="F455" s="284"/>
      <c r="G455" s="285"/>
      <c r="H455" s="283"/>
      <c r="I455" s="283"/>
      <c r="J455" s="283"/>
      <c r="K455" s="283"/>
      <c r="L455" s="288"/>
      <c r="M455" s="288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  <c r="AA455" s="159"/>
    </row>
    <row r="456">
      <c r="A456" s="274"/>
      <c r="B456" s="281"/>
      <c r="C456" s="282"/>
      <c r="D456" s="283"/>
      <c r="E456" s="284"/>
      <c r="F456" s="284"/>
      <c r="G456" s="285"/>
      <c r="H456" s="283"/>
      <c r="I456" s="283"/>
      <c r="J456" s="283"/>
      <c r="K456" s="283"/>
      <c r="L456" s="288"/>
      <c r="M456" s="288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  <c r="AA456" s="159"/>
    </row>
    <row r="457">
      <c r="A457" s="274"/>
      <c r="B457" s="281"/>
      <c r="C457" s="282"/>
      <c r="D457" s="283"/>
      <c r="E457" s="284"/>
      <c r="F457" s="284"/>
      <c r="G457" s="285"/>
      <c r="H457" s="283"/>
      <c r="I457" s="283"/>
      <c r="J457" s="283"/>
      <c r="K457" s="283"/>
      <c r="L457" s="288"/>
      <c r="M457" s="288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  <c r="AA457" s="159"/>
    </row>
    <row r="458">
      <c r="A458" s="274"/>
      <c r="B458" s="281"/>
      <c r="C458" s="282"/>
      <c r="D458" s="283"/>
      <c r="E458" s="284"/>
      <c r="F458" s="284"/>
      <c r="G458" s="285"/>
      <c r="H458" s="283"/>
      <c r="I458" s="283"/>
      <c r="J458" s="283"/>
      <c r="K458" s="283"/>
      <c r="L458" s="288"/>
      <c r="M458" s="288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  <c r="AA458" s="159"/>
    </row>
    <row r="459">
      <c r="A459" s="274"/>
      <c r="B459" s="281"/>
      <c r="C459" s="282"/>
      <c r="D459" s="283"/>
      <c r="E459" s="284"/>
      <c r="F459" s="284"/>
      <c r="G459" s="285"/>
      <c r="H459" s="283"/>
      <c r="I459" s="283"/>
      <c r="J459" s="283"/>
      <c r="K459" s="283"/>
      <c r="L459" s="288"/>
      <c r="M459" s="288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  <c r="AA459" s="159"/>
    </row>
    <row r="460">
      <c r="A460" s="274"/>
      <c r="B460" s="281"/>
      <c r="C460" s="282"/>
      <c r="D460" s="283"/>
      <c r="E460" s="284"/>
      <c r="F460" s="284"/>
      <c r="G460" s="285"/>
      <c r="H460" s="283"/>
      <c r="I460" s="283"/>
      <c r="J460" s="283"/>
      <c r="K460" s="283"/>
      <c r="L460" s="288"/>
      <c r="M460" s="288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  <c r="AA460" s="159"/>
    </row>
    <row r="461">
      <c r="A461" s="274"/>
      <c r="B461" s="281"/>
      <c r="C461" s="282"/>
      <c r="D461" s="283"/>
      <c r="E461" s="284"/>
      <c r="F461" s="284"/>
      <c r="G461" s="285"/>
      <c r="H461" s="283"/>
      <c r="I461" s="283"/>
      <c r="J461" s="283"/>
      <c r="K461" s="283"/>
      <c r="L461" s="288"/>
      <c r="M461" s="288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  <c r="AA461" s="159"/>
    </row>
    <row r="462">
      <c r="A462" s="274"/>
      <c r="B462" s="281"/>
      <c r="C462" s="282"/>
      <c r="D462" s="283"/>
      <c r="E462" s="284"/>
      <c r="F462" s="284"/>
      <c r="G462" s="285"/>
      <c r="H462" s="283"/>
      <c r="I462" s="283"/>
      <c r="J462" s="283"/>
      <c r="K462" s="283"/>
      <c r="L462" s="288"/>
      <c r="M462" s="288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  <c r="AA462" s="159"/>
    </row>
    <row r="463">
      <c r="A463" s="274"/>
      <c r="B463" s="281"/>
      <c r="C463" s="282"/>
      <c r="D463" s="283"/>
      <c r="E463" s="284"/>
      <c r="F463" s="284"/>
      <c r="G463" s="285"/>
      <c r="H463" s="283"/>
      <c r="I463" s="283"/>
      <c r="J463" s="283"/>
      <c r="K463" s="283"/>
      <c r="L463" s="288"/>
      <c r="M463" s="288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  <c r="AA463" s="159"/>
    </row>
    <row r="464">
      <c r="A464" s="274"/>
      <c r="B464" s="281"/>
      <c r="C464" s="282"/>
      <c r="D464" s="283"/>
      <c r="E464" s="284"/>
      <c r="F464" s="284"/>
      <c r="G464" s="285"/>
      <c r="H464" s="283"/>
      <c r="I464" s="283"/>
      <c r="J464" s="283"/>
      <c r="K464" s="283"/>
      <c r="L464" s="288"/>
      <c r="M464" s="288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  <c r="AA464" s="159"/>
    </row>
    <row r="465">
      <c r="A465" s="274"/>
      <c r="B465" s="281"/>
      <c r="C465" s="282"/>
      <c r="D465" s="283"/>
      <c r="E465" s="284"/>
      <c r="F465" s="284"/>
      <c r="G465" s="285"/>
      <c r="H465" s="283"/>
      <c r="I465" s="283"/>
      <c r="J465" s="283"/>
      <c r="K465" s="283"/>
      <c r="L465" s="288"/>
      <c r="M465" s="288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  <c r="AA465" s="159"/>
    </row>
    <row r="466">
      <c r="A466" s="274"/>
      <c r="B466" s="281"/>
      <c r="C466" s="282"/>
      <c r="D466" s="283"/>
      <c r="E466" s="284"/>
      <c r="F466" s="284"/>
      <c r="G466" s="285"/>
      <c r="H466" s="283"/>
      <c r="I466" s="283"/>
      <c r="J466" s="283"/>
      <c r="K466" s="283"/>
      <c r="L466" s="288"/>
      <c r="M466" s="288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  <c r="AA466" s="159"/>
    </row>
    <row r="467">
      <c r="A467" s="274"/>
      <c r="B467" s="281"/>
      <c r="C467" s="282"/>
      <c r="D467" s="283"/>
      <c r="E467" s="284"/>
      <c r="F467" s="284"/>
      <c r="G467" s="285"/>
      <c r="H467" s="283"/>
      <c r="I467" s="283"/>
      <c r="J467" s="283"/>
      <c r="K467" s="283"/>
      <c r="L467" s="288"/>
      <c r="M467" s="288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  <c r="AA467" s="159"/>
    </row>
    <row r="468">
      <c r="A468" s="274"/>
      <c r="B468" s="281"/>
      <c r="C468" s="282"/>
      <c r="D468" s="283"/>
      <c r="E468" s="284"/>
      <c r="F468" s="284"/>
      <c r="G468" s="285"/>
      <c r="H468" s="283"/>
      <c r="I468" s="283"/>
      <c r="J468" s="283"/>
      <c r="K468" s="283"/>
      <c r="L468" s="288"/>
      <c r="M468" s="288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  <c r="AA468" s="159"/>
    </row>
    <row r="469">
      <c r="A469" s="274"/>
      <c r="B469" s="281"/>
      <c r="C469" s="282"/>
      <c r="D469" s="283"/>
      <c r="E469" s="284"/>
      <c r="F469" s="284"/>
      <c r="G469" s="285"/>
      <c r="H469" s="283"/>
      <c r="I469" s="283"/>
      <c r="J469" s="283"/>
      <c r="K469" s="283"/>
      <c r="L469" s="288"/>
      <c r="M469" s="288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  <c r="AA469" s="159"/>
    </row>
    <row r="470">
      <c r="A470" s="274"/>
      <c r="B470" s="281"/>
      <c r="C470" s="282"/>
      <c r="D470" s="283"/>
      <c r="E470" s="284"/>
      <c r="F470" s="284"/>
      <c r="G470" s="285"/>
      <c r="H470" s="283"/>
      <c r="I470" s="283"/>
      <c r="J470" s="283"/>
      <c r="K470" s="283"/>
      <c r="L470" s="288"/>
      <c r="M470" s="288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  <c r="AA470" s="159"/>
    </row>
    <row r="471">
      <c r="A471" s="274"/>
      <c r="B471" s="281"/>
      <c r="C471" s="282"/>
      <c r="D471" s="283"/>
      <c r="E471" s="284"/>
      <c r="F471" s="284"/>
      <c r="G471" s="285"/>
      <c r="H471" s="283"/>
      <c r="I471" s="283"/>
      <c r="J471" s="283"/>
      <c r="K471" s="283"/>
      <c r="L471" s="288"/>
      <c r="M471" s="288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  <c r="AA471" s="159"/>
    </row>
    <row r="472">
      <c r="A472" s="274"/>
      <c r="B472" s="281"/>
      <c r="C472" s="282"/>
      <c r="D472" s="283"/>
      <c r="E472" s="284"/>
      <c r="F472" s="284"/>
      <c r="G472" s="285"/>
      <c r="H472" s="283"/>
      <c r="I472" s="283"/>
      <c r="J472" s="283"/>
      <c r="K472" s="283"/>
      <c r="L472" s="288"/>
      <c r="M472" s="288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  <c r="AA472" s="159"/>
    </row>
    <row r="473">
      <c r="A473" s="274"/>
      <c r="B473" s="281"/>
      <c r="C473" s="282"/>
      <c r="D473" s="283"/>
      <c r="E473" s="284"/>
      <c r="F473" s="284"/>
      <c r="G473" s="285"/>
      <c r="H473" s="283"/>
      <c r="I473" s="283"/>
      <c r="J473" s="283"/>
      <c r="K473" s="283"/>
      <c r="L473" s="288"/>
      <c r="M473" s="288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  <c r="AA473" s="159"/>
    </row>
    <row r="474">
      <c r="A474" s="274"/>
      <c r="B474" s="281"/>
      <c r="C474" s="282"/>
      <c r="D474" s="283"/>
      <c r="E474" s="284"/>
      <c r="F474" s="284"/>
      <c r="G474" s="285"/>
      <c r="H474" s="283"/>
      <c r="I474" s="283"/>
      <c r="J474" s="283"/>
      <c r="K474" s="283"/>
      <c r="L474" s="288"/>
      <c r="M474" s="288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  <c r="AA474" s="159"/>
    </row>
    <row r="475">
      <c r="A475" s="274"/>
      <c r="B475" s="281"/>
      <c r="C475" s="282"/>
      <c r="D475" s="283"/>
      <c r="E475" s="284"/>
      <c r="F475" s="284"/>
      <c r="G475" s="285"/>
      <c r="H475" s="283"/>
      <c r="I475" s="283"/>
      <c r="J475" s="283"/>
      <c r="K475" s="283"/>
      <c r="L475" s="288"/>
      <c r="M475" s="288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  <c r="AA475" s="159"/>
    </row>
    <row r="476">
      <c r="A476" s="274"/>
      <c r="B476" s="281"/>
      <c r="C476" s="282"/>
      <c r="D476" s="283"/>
      <c r="E476" s="284"/>
      <c r="F476" s="284"/>
      <c r="G476" s="285"/>
      <c r="H476" s="283"/>
      <c r="I476" s="283"/>
      <c r="J476" s="283"/>
      <c r="K476" s="283"/>
      <c r="L476" s="288"/>
      <c r="M476" s="288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  <c r="AA476" s="159"/>
    </row>
    <row r="477">
      <c r="A477" s="274"/>
      <c r="B477" s="281"/>
      <c r="C477" s="282"/>
      <c r="D477" s="283"/>
      <c r="E477" s="284"/>
      <c r="F477" s="284"/>
      <c r="G477" s="285"/>
      <c r="H477" s="283"/>
      <c r="I477" s="283"/>
      <c r="J477" s="283"/>
      <c r="K477" s="283"/>
      <c r="L477" s="288"/>
      <c r="M477" s="288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  <c r="AA477" s="159"/>
    </row>
    <row r="478">
      <c r="A478" s="274"/>
      <c r="B478" s="281"/>
      <c r="C478" s="282"/>
      <c r="D478" s="283"/>
      <c r="E478" s="284"/>
      <c r="F478" s="284"/>
      <c r="G478" s="285"/>
      <c r="H478" s="283"/>
      <c r="I478" s="283"/>
      <c r="J478" s="283"/>
      <c r="K478" s="283"/>
      <c r="L478" s="288"/>
      <c r="M478" s="288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  <c r="AA478" s="159"/>
    </row>
    <row r="479">
      <c r="A479" s="274"/>
      <c r="B479" s="281"/>
      <c r="C479" s="282"/>
      <c r="D479" s="283"/>
      <c r="E479" s="284"/>
      <c r="F479" s="284"/>
      <c r="G479" s="285"/>
      <c r="H479" s="283"/>
      <c r="I479" s="283"/>
      <c r="J479" s="283"/>
      <c r="K479" s="283"/>
      <c r="L479" s="288"/>
      <c r="M479" s="288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  <c r="AA479" s="159"/>
    </row>
    <row r="480">
      <c r="A480" s="274"/>
      <c r="B480" s="281"/>
      <c r="C480" s="282"/>
      <c r="D480" s="283"/>
      <c r="E480" s="284"/>
      <c r="F480" s="284"/>
      <c r="G480" s="285"/>
      <c r="H480" s="283"/>
      <c r="I480" s="283"/>
      <c r="J480" s="283"/>
      <c r="K480" s="283"/>
      <c r="L480" s="288"/>
      <c r="M480" s="288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  <c r="AA480" s="159"/>
    </row>
    <row r="481">
      <c r="A481" s="274"/>
      <c r="B481" s="281"/>
      <c r="C481" s="282"/>
      <c r="D481" s="283"/>
      <c r="E481" s="284"/>
      <c r="F481" s="284"/>
      <c r="G481" s="285"/>
      <c r="H481" s="283"/>
      <c r="I481" s="283"/>
      <c r="J481" s="283"/>
      <c r="K481" s="283"/>
      <c r="L481" s="288"/>
      <c r="M481" s="288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  <c r="AA481" s="159"/>
    </row>
    <row r="482">
      <c r="A482" s="274"/>
      <c r="B482" s="281"/>
      <c r="C482" s="282"/>
      <c r="D482" s="283"/>
      <c r="E482" s="284"/>
      <c r="F482" s="284"/>
      <c r="G482" s="285"/>
      <c r="H482" s="283"/>
      <c r="I482" s="283"/>
      <c r="J482" s="283"/>
      <c r="K482" s="283"/>
      <c r="L482" s="288"/>
      <c r="M482" s="288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  <c r="AA482" s="159"/>
    </row>
    <row r="483">
      <c r="A483" s="274"/>
      <c r="B483" s="281"/>
      <c r="C483" s="282"/>
      <c r="D483" s="283"/>
      <c r="E483" s="284"/>
      <c r="F483" s="284"/>
      <c r="G483" s="285"/>
      <c r="H483" s="283"/>
      <c r="I483" s="283"/>
      <c r="J483" s="283"/>
      <c r="K483" s="283"/>
      <c r="L483" s="288"/>
      <c r="M483" s="288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  <c r="AA483" s="159"/>
    </row>
    <row r="484">
      <c r="A484" s="274"/>
      <c r="B484" s="281"/>
      <c r="C484" s="282"/>
      <c r="D484" s="283"/>
      <c r="E484" s="284"/>
      <c r="F484" s="284"/>
      <c r="G484" s="285"/>
      <c r="H484" s="283"/>
      <c r="I484" s="283"/>
      <c r="J484" s="283"/>
      <c r="K484" s="283"/>
      <c r="L484" s="288"/>
      <c r="M484" s="288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  <c r="AA484" s="159"/>
    </row>
    <row r="485">
      <c r="A485" s="274"/>
      <c r="B485" s="281"/>
      <c r="C485" s="282"/>
      <c r="D485" s="283"/>
      <c r="E485" s="284"/>
      <c r="F485" s="284"/>
      <c r="G485" s="285"/>
      <c r="H485" s="283"/>
      <c r="I485" s="283"/>
      <c r="J485" s="283"/>
      <c r="K485" s="283"/>
      <c r="L485" s="288"/>
      <c r="M485" s="288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  <c r="AA485" s="159"/>
    </row>
    <row r="486">
      <c r="A486" s="274"/>
      <c r="B486" s="281"/>
      <c r="C486" s="282"/>
      <c r="D486" s="283"/>
      <c r="E486" s="284"/>
      <c r="F486" s="284"/>
      <c r="G486" s="285"/>
      <c r="H486" s="283"/>
      <c r="I486" s="283"/>
      <c r="J486" s="283"/>
      <c r="K486" s="283"/>
      <c r="L486" s="288"/>
      <c r="M486" s="288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  <c r="AA486" s="159"/>
    </row>
    <row r="487">
      <c r="A487" s="274"/>
      <c r="B487" s="281"/>
      <c r="C487" s="282"/>
      <c r="D487" s="283"/>
      <c r="E487" s="284"/>
      <c r="F487" s="284"/>
      <c r="G487" s="285"/>
      <c r="H487" s="283"/>
      <c r="I487" s="283"/>
      <c r="J487" s="283"/>
      <c r="K487" s="283"/>
      <c r="L487" s="288"/>
      <c r="M487" s="288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  <c r="AA487" s="159"/>
    </row>
    <row r="488">
      <c r="A488" s="274"/>
      <c r="B488" s="281"/>
      <c r="C488" s="282"/>
      <c r="D488" s="283"/>
      <c r="E488" s="284"/>
      <c r="F488" s="284"/>
      <c r="G488" s="285"/>
      <c r="H488" s="283"/>
      <c r="I488" s="283"/>
      <c r="J488" s="283"/>
      <c r="K488" s="283"/>
      <c r="L488" s="288"/>
      <c r="M488" s="288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  <c r="AA488" s="159"/>
    </row>
    <row r="489">
      <c r="A489" s="274"/>
      <c r="B489" s="281"/>
      <c r="C489" s="282"/>
      <c r="D489" s="283"/>
      <c r="E489" s="284"/>
      <c r="F489" s="284"/>
      <c r="G489" s="285"/>
      <c r="H489" s="283"/>
      <c r="I489" s="283"/>
      <c r="J489" s="283"/>
      <c r="K489" s="283"/>
      <c r="L489" s="288"/>
      <c r="M489" s="288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  <c r="AA489" s="159"/>
    </row>
    <row r="490">
      <c r="A490" s="274"/>
      <c r="B490" s="281"/>
      <c r="C490" s="282"/>
      <c r="D490" s="283"/>
      <c r="E490" s="284"/>
      <c r="F490" s="284"/>
      <c r="G490" s="285"/>
      <c r="H490" s="283"/>
      <c r="I490" s="283"/>
      <c r="J490" s="283"/>
      <c r="K490" s="283"/>
      <c r="L490" s="288"/>
      <c r="M490" s="288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  <c r="AA490" s="159"/>
    </row>
    <row r="491">
      <c r="A491" s="274"/>
      <c r="B491" s="281"/>
      <c r="C491" s="282"/>
      <c r="D491" s="283"/>
      <c r="E491" s="284"/>
      <c r="F491" s="284"/>
      <c r="G491" s="285"/>
      <c r="H491" s="283"/>
      <c r="I491" s="283"/>
      <c r="J491" s="283"/>
      <c r="K491" s="283"/>
      <c r="L491" s="288"/>
      <c r="M491" s="288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  <c r="AA491" s="159"/>
    </row>
    <row r="492">
      <c r="A492" s="274"/>
      <c r="B492" s="281"/>
      <c r="C492" s="282"/>
      <c r="D492" s="283"/>
      <c r="E492" s="284"/>
      <c r="F492" s="284"/>
      <c r="G492" s="285"/>
      <c r="H492" s="283"/>
      <c r="I492" s="283"/>
      <c r="J492" s="283"/>
      <c r="K492" s="283"/>
      <c r="L492" s="288"/>
      <c r="M492" s="288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  <c r="AA492" s="159"/>
    </row>
    <row r="493">
      <c r="A493" s="274"/>
      <c r="B493" s="281"/>
      <c r="C493" s="282"/>
      <c r="D493" s="283"/>
      <c r="E493" s="284"/>
      <c r="F493" s="284"/>
      <c r="G493" s="285"/>
      <c r="H493" s="283"/>
      <c r="I493" s="283"/>
      <c r="J493" s="283"/>
      <c r="K493" s="283"/>
      <c r="L493" s="288"/>
      <c r="M493" s="288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  <c r="AA493" s="159"/>
    </row>
    <row r="494">
      <c r="A494" s="274"/>
      <c r="B494" s="281"/>
      <c r="C494" s="282"/>
      <c r="D494" s="283"/>
      <c r="E494" s="284"/>
      <c r="F494" s="284"/>
      <c r="G494" s="285"/>
      <c r="H494" s="283"/>
      <c r="I494" s="283"/>
      <c r="J494" s="283"/>
      <c r="K494" s="283"/>
      <c r="L494" s="288"/>
      <c r="M494" s="288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  <c r="AA494" s="159"/>
    </row>
    <row r="495">
      <c r="A495" s="274"/>
      <c r="B495" s="281"/>
      <c r="C495" s="282"/>
      <c r="D495" s="283"/>
      <c r="E495" s="284"/>
      <c r="F495" s="284"/>
      <c r="G495" s="285"/>
      <c r="H495" s="283"/>
      <c r="I495" s="283"/>
      <c r="J495" s="283"/>
      <c r="K495" s="283"/>
      <c r="L495" s="288"/>
      <c r="M495" s="288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  <c r="AA495" s="159"/>
    </row>
    <row r="496">
      <c r="A496" s="274"/>
      <c r="B496" s="281"/>
      <c r="C496" s="282"/>
      <c r="D496" s="283"/>
      <c r="E496" s="284"/>
      <c r="F496" s="284"/>
      <c r="G496" s="285"/>
      <c r="H496" s="283"/>
      <c r="I496" s="283"/>
      <c r="J496" s="283"/>
      <c r="K496" s="283"/>
      <c r="L496" s="288"/>
      <c r="M496" s="288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  <c r="AA496" s="159"/>
    </row>
    <row r="497">
      <c r="A497" s="274"/>
      <c r="B497" s="281"/>
      <c r="C497" s="282"/>
      <c r="D497" s="283"/>
      <c r="E497" s="284"/>
      <c r="F497" s="284"/>
      <c r="G497" s="285"/>
      <c r="H497" s="283"/>
      <c r="I497" s="283"/>
      <c r="J497" s="283"/>
      <c r="K497" s="283"/>
      <c r="L497" s="288"/>
      <c r="M497" s="288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  <c r="AA497" s="159"/>
    </row>
    <row r="498">
      <c r="A498" s="274"/>
      <c r="B498" s="281"/>
      <c r="C498" s="282"/>
      <c r="D498" s="283"/>
      <c r="E498" s="284"/>
      <c r="F498" s="284"/>
      <c r="G498" s="285"/>
      <c r="H498" s="283"/>
      <c r="I498" s="283"/>
      <c r="J498" s="283"/>
      <c r="K498" s="283"/>
      <c r="L498" s="288"/>
      <c r="M498" s="288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  <c r="AA498" s="159"/>
    </row>
    <row r="499">
      <c r="A499" s="274"/>
      <c r="B499" s="281"/>
      <c r="C499" s="282"/>
      <c r="D499" s="283"/>
      <c r="E499" s="284"/>
      <c r="F499" s="284"/>
      <c r="G499" s="285"/>
      <c r="H499" s="283"/>
      <c r="I499" s="283"/>
      <c r="J499" s="283"/>
      <c r="K499" s="283"/>
      <c r="L499" s="288"/>
      <c r="M499" s="288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  <c r="AA499" s="159"/>
    </row>
    <row r="500">
      <c r="A500" s="274"/>
      <c r="B500" s="281"/>
      <c r="C500" s="282"/>
      <c r="D500" s="283"/>
      <c r="E500" s="284"/>
      <c r="F500" s="284"/>
      <c r="G500" s="285"/>
      <c r="H500" s="283"/>
      <c r="I500" s="283"/>
      <c r="J500" s="283"/>
      <c r="K500" s="283"/>
      <c r="L500" s="288"/>
      <c r="M500" s="288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  <c r="AA500" s="159"/>
    </row>
    <row r="501">
      <c r="A501" s="274"/>
      <c r="B501" s="281"/>
      <c r="C501" s="282"/>
      <c r="D501" s="283"/>
      <c r="E501" s="284"/>
      <c r="F501" s="284"/>
      <c r="G501" s="285"/>
      <c r="H501" s="283"/>
      <c r="I501" s="283"/>
      <c r="J501" s="283"/>
      <c r="K501" s="283"/>
      <c r="L501" s="288"/>
      <c r="M501" s="288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  <c r="AA501" s="159"/>
    </row>
    <row r="502">
      <c r="A502" s="274"/>
      <c r="B502" s="281"/>
      <c r="C502" s="282"/>
      <c r="D502" s="283"/>
      <c r="E502" s="284"/>
      <c r="F502" s="284"/>
      <c r="G502" s="285"/>
      <c r="H502" s="283"/>
      <c r="I502" s="283"/>
      <c r="J502" s="283"/>
      <c r="K502" s="283"/>
      <c r="L502" s="288"/>
      <c r="M502" s="288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  <c r="AA502" s="159"/>
    </row>
    <row r="503">
      <c r="A503" s="274"/>
      <c r="B503" s="281"/>
      <c r="C503" s="282"/>
      <c r="D503" s="283"/>
      <c r="E503" s="284"/>
      <c r="F503" s="284"/>
      <c r="G503" s="285"/>
      <c r="H503" s="283"/>
      <c r="I503" s="283"/>
      <c r="J503" s="283"/>
      <c r="K503" s="283"/>
      <c r="L503" s="288"/>
      <c r="M503" s="288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  <c r="AA503" s="159"/>
    </row>
    <row r="504">
      <c r="A504" s="274"/>
      <c r="B504" s="281"/>
      <c r="C504" s="282"/>
      <c r="D504" s="283"/>
      <c r="E504" s="284"/>
      <c r="F504" s="284"/>
      <c r="G504" s="285"/>
      <c r="H504" s="283"/>
      <c r="I504" s="283"/>
      <c r="J504" s="283"/>
      <c r="K504" s="283"/>
      <c r="L504" s="288"/>
      <c r="M504" s="288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  <c r="AA504" s="159"/>
    </row>
    <row r="505">
      <c r="A505" s="274"/>
      <c r="B505" s="281"/>
      <c r="C505" s="282"/>
      <c r="D505" s="283"/>
      <c r="E505" s="284"/>
      <c r="F505" s="284"/>
      <c r="G505" s="285"/>
      <c r="H505" s="283"/>
      <c r="I505" s="283"/>
      <c r="J505" s="283"/>
      <c r="K505" s="283"/>
      <c r="L505" s="288"/>
      <c r="M505" s="288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  <c r="AA505" s="159"/>
    </row>
    <row r="506">
      <c r="A506" s="274"/>
      <c r="B506" s="281"/>
      <c r="C506" s="282"/>
      <c r="D506" s="283"/>
      <c r="E506" s="284"/>
      <c r="F506" s="284"/>
      <c r="G506" s="285"/>
      <c r="H506" s="283"/>
      <c r="I506" s="283"/>
      <c r="J506" s="283"/>
      <c r="K506" s="283"/>
      <c r="L506" s="288"/>
      <c r="M506" s="288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  <c r="AA506" s="159"/>
    </row>
    <row r="507">
      <c r="A507" s="274"/>
      <c r="B507" s="281"/>
      <c r="C507" s="282"/>
      <c r="D507" s="283"/>
      <c r="E507" s="284"/>
      <c r="F507" s="284"/>
      <c r="G507" s="285"/>
      <c r="H507" s="283"/>
      <c r="I507" s="283"/>
      <c r="J507" s="283"/>
      <c r="K507" s="283"/>
      <c r="L507" s="288"/>
      <c r="M507" s="288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  <c r="AA507" s="159"/>
    </row>
    <row r="508">
      <c r="A508" s="274"/>
      <c r="B508" s="281"/>
      <c r="C508" s="282"/>
      <c r="D508" s="283"/>
      <c r="E508" s="284"/>
      <c r="F508" s="284"/>
      <c r="G508" s="285"/>
      <c r="H508" s="283"/>
      <c r="I508" s="283"/>
      <c r="J508" s="283"/>
      <c r="K508" s="283"/>
      <c r="L508" s="288"/>
      <c r="M508" s="288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  <c r="AA508" s="159"/>
    </row>
    <row r="509">
      <c r="A509" s="274"/>
      <c r="B509" s="281"/>
      <c r="C509" s="282"/>
      <c r="D509" s="283"/>
      <c r="E509" s="284"/>
      <c r="F509" s="284"/>
      <c r="G509" s="285"/>
      <c r="H509" s="283"/>
      <c r="I509" s="283"/>
      <c r="J509" s="283"/>
      <c r="K509" s="283"/>
      <c r="L509" s="288"/>
      <c r="M509" s="288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  <c r="AA509" s="159"/>
    </row>
    <row r="510">
      <c r="A510" s="274"/>
      <c r="B510" s="281"/>
      <c r="C510" s="282"/>
      <c r="D510" s="283"/>
      <c r="E510" s="284"/>
      <c r="F510" s="284"/>
      <c r="G510" s="285"/>
      <c r="H510" s="283"/>
      <c r="I510" s="283"/>
      <c r="J510" s="283"/>
      <c r="K510" s="283"/>
      <c r="L510" s="288"/>
      <c r="M510" s="288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  <c r="AA510" s="159"/>
    </row>
    <row r="511">
      <c r="A511" s="274"/>
      <c r="B511" s="281"/>
      <c r="C511" s="282"/>
      <c r="D511" s="283"/>
      <c r="E511" s="284"/>
      <c r="F511" s="284"/>
      <c r="G511" s="285"/>
      <c r="H511" s="283"/>
      <c r="I511" s="283"/>
      <c r="J511" s="283"/>
      <c r="K511" s="283"/>
      <c r="L511" s="288"/>
      <c r="M511" s="288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  <c r="AA511" s="159"/>
    </row>
    <row r="512">
      <c r="A512" s="274"/>
      <c r="B512" s="281"/>
      <c r="C512" s="282"/>
      <c r="D512" s="283"/>
      <c r="E512" s="284"/>
      <c r="F512" s="284"/>
      <c r="G512" s="285"/>
      <c r="H512" s="283"/>
      <c r="I512" s="283"/>
      <c r="J512" s="283"/>
      <c r="K512" s="283"/>
      <c r="L512" s="288"/>
      <c r="M512" s="288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  <c r="AA512" s="159"/>
    </row>
    <row r="513">
      <c r="A513" s="274"/>
      <c r="B513" s="281"/>
      <c r="C513" s="282"/>
      <c r="D513" s="283"/>
      <c r="E513" s="284"/>
      <c r="F513" s="284"/>
      <c r="G513" s="285"/>
      <c r="H513" s="283"/>
      <c r="I513" s="283"/>
      <c r="J513" s="283"/>
      <c r="K513" s="283"/>
      <c r="L513" s="288"/>
      <c r="M513" s="288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  <c r="AA513" s="159"/>
    </row>
    <row r="514">
      <c r="A514" s="274"/>
      <c r="B514" s="281"/>
      <c r="C514" s="282"/>
      <c r="D514" s="283"/>
      <c r="E514" s="284"/>
      <c r="F514" s="284"/>
      <c r="G514" s="285"/>
      <c r="H514" s="283"/>
      <c r="I514" s="283"/>
      <c r="J514" s="283"/>
      <c r="K514" s="283"/>
      <c r="L514" s="288"/>
      <c r="M514" s="288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  <c r="AA514" s="159"/>
    </row>
    <row r="515">
      <c r="A515" s="274"/>
      <c r="B515" s="281"/>
      <c r="C515" s="282"/>
      <c r="D515" s="283"/>
      <c r="E515" s="284"/>
      <c r="F515" s="284"/>
      <c r="G515" s="285"/>
      <c r="H515" s="283"/>
      <c r="I515" s="283"/>
      <c r="J515" s="283"/>
      <c r="K515" s="283"/>
      <c r="L515" s="288"/>
      <c r="M515" s="288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  <c r="AA515" s="159"/>
    </row>
    <row r="516">
      <c r="A516" s="274"/>
      <c r="B516" s="281"/>
      <c r="C516" s="282"/>
      <c r="D516" s="283"/>
      <c r="E516" s="284"/>
      <c r="F516" s="284"/>
      <c r="G516" s="285"/>
      <c r="H516" s="283"/>
      <c r="I516" s="283"/>
      <c r="J516" s="283"/>
      <c r="K516" s="283"/>
      <c r="L516" s="288"/>
      <c r="M516" s="288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  <c r="AA516" s="159"/>
    </row>
    <row r="517">
      <c r="A517" s="274"/>
      <c r="B517" s="281"/>
      <c r="C517" s="282"/>
      <c r="D517" s="283"/>
      <c r="E517" s="284"/>
      <c r="F517" s="284"/>
      <c r="G517" s="285"/>
      <c r="H517" s="283"/>
      <c r="I517" s="283"/>
      <c r="J517" s="283"/>
      <c r="K517" s="283"/>
      <c r="L517" s="288"/>
      <c r="M517" s="288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  <c r="AA517" s="159"/>
    </row>
    <row r="518">
      <c r="A518" s="274"/>
      <c r="B518" s="281"/>
      <c r="C518" s="282"/>
      <c r="D518" s="283"/>
      <c r="E518" s="284"/>
      <c r="F518" s="284"/>
      <c r="G518" s="285"/>
      <c r="H518" s="283"/>
      <c r="I518" s="283"/>
      <c r="J518" s="283"/>
      <c r="K518" s="283"/>
      <c r="L518" s="288"/>
      <c r="M518" s="288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  <c r="AA518" s="159"/>
    </row>
    <row r="519">
      <c r="A519" s="274"/>
      <c r="B519" s="281"/>
      <c r="C519" s="282"/>
      <c r="D519" s="283"/>
      <c r="E519" s="284"/>
      <c r="F519" s="284"/>
      <c r="G519" s="285"/>
      <c r="H519" s="283"/>
      <c r="I519" s="283"/>
      <c r="J519" s="283"/>
      <c r="K519" s="283"/>
      <c r="L519" s="288"/>
      <c r="M519" s="288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  <c r="AA519" s="159"/>
    </row>
    <row r="520">
      <c r="A520" s="274"/>
      <c r="B520" s="281"/>
      <c r="C520" s="282"/>
      <c r="D520" s="283"/>
      <c r="E520" s="284"/>
      <c r="F520" s="284"/>
      <c r="G520" s="285"/>
      <c r="H520" s="283"/>
      <c r="I520" s="283"/>
      <c r="J520" s="283"/>
      <c r="K520" s="283"/>
      <c r="L520" s="288"/>
      <c r="M520" s="288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  <c r="AA520" s="159"/>
    </row>
    <row r="521">
      <c r="A521" s="274"/>
      <c r="B521" s="281"/>
      <c r="C521" s="282"/>
      <c r="D521" s="283"/>
      <c r="E521" s="284"/>
      <c r="F521" s="284"/>
      <c r="G521" s="285"/>
      <c r="H521" s="283"/>
      <c r="I521" s="283"/>
      <c r="J521" s="283"/>
      <c r="K521" s="283"/>
      <c r="L521" s="288"/>
      <c r="M521" s="288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  <c r="AA521" s="159"/>
    </row>
    <row r="522">
      <c r="A522" s="274"/>
      <c r="B522" s="281"/>
      <c r="C522" s="282"/>
      <c r="D522" s="283"/>
      <c r="E522" s="284"/>
      <c r="F522" s="284"/>
      <c r="G522" s="285"/>
      <c r="H522" s="283"/>
      <c r="I522" s="283"/>
      <c r="J522" s="283"/>
      <c r="K522" s="283"/>
      <c r="L522" s="288"/>
      <c r="M522" s="288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  <c r="AA522" s="159"/>
    </row>
    <row r="523">
      <c r="A523" s="274"/>
      <c r="B523" s="281"/>
      <c r="C523" s="282"/>
      <c r="D523" s="283"/>
      <c r="E523" s="284"/>
      <c r="F523" s="284"/>
      <c r="G523" s="285"/>
      <c r="H523" s="283"/>
      <c r="I523" s="283"/>
      <c r="J523" s="283"/>
      <c r="K523" s="283"/>
      <c r="L523" s="288"/>
      <c r="M523" s="288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  <c r="AA523" s="159"/>
    </row>
    <row r="524">
      <c r="A524" s="274"/>
      <c r="B524" s="281"/>
      <c r="C524" s="282"/>
      <c r="D524" s="283"/>
      <c r="E524" s="284"/>
      <c r="F524" s="284"/>
      <c r="G524" s="285"/>
      <c r="H524" s="283"/>
      <c r="I524" s="283"/>
      <c r="J524" s="283"/>
      <c r="K524" s="283"/>
      <c r="L524" s="288"/>
      <c r="M524" s="288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  <c r="AA524" s="159"/>
    </row>
    <row r="525">
      <c r="A525" s="274"/>
      <c r="B525" s="281"/>
      <c r="C525" s="282"/>
      <c r="D525" s="283"/>
      <c r="E525" s="284"/>
      <c r="F525" s="284"/>
      <c r="G525" s="285"/>
      <c r="H525" s="283"/>
      <c r="I525" s="283"/>
      <c r="J525" s="283"/>
      <c r="K525" s="283"/>
      <c r="L525" s="288"/>
      <c r="M525" s="288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  <c r="AA525" s="159"/>
    </row>
    <row r="526">
      <c r="A526" s="274"/>
      <c r="B526" s="281"/>
      <c r="C526" s="282"/>
      <c r="D526" s="283"/>
      <c r="E526" s="284"/>
      <c r="F526" s="284"/>
      <c r="G526" s="285"/>
      <c r="H526" s="283"/>
      <c r="I526" s="283"/>
      <c r="J526" s="283"/>
      <c r="K526" s="283"/>
      <c r="L526" s="288"/>
      <c r="M526" s="288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  <c r="AA526" s="159"/>
    </row>
    <row r="527">
      <c r="A527" s="274"/>
      <c r="B527" s="281"/>
      <c r="C527" s="282"/>
      <c r="D527" s="283"/>
      <c r="E527" s="284"/>
      <c r="F527" s="284"/>
      <c r="G527" s="285"/>
      <c r="H527" s="283"/>
      <c r="I527" s="283"/>
      <c r="J527" s="283"/>
      <c r="K527" s="283"/>
      <c r="L527" s="288"/>
      <c r="M527" s="288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  <c r="AA527" s="159"/>
    </row>
    <row r="528">
      <c r="A528" s="274"/>
      <c r="B528" s="281"/>
      <c r="C528" s="282"/>
      <c r="D528" s="283"/>
      <c r="E528" s="284"/>
      <c r="F528" s="284"/>
      <c r="G528" s="285"/>
      <c r="H528" s="283"/>
      <c r="I528" s="283"/>
      <c r="J528" s="283"/>
      <c r="K528" s="283"/>
      <c r="L528" s="288"/>
      <c r="M528" s="288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  <c r="AA528" s="159"/>
    </row>
    <row r="529">
      <c r="A529" s="274"/>
      <c r="B529" s="281"/>
      <c r="C529" s="282"/>
      <c r="D529" s="283"/>
      <c r="E529" s="284"/>
      <c r="F529" s="284"/>
      <c r="G529" s="285"/>
      <c r="H529" s="283"/>
      <c r="I529" s="283"/>
      <c r="J529" s="283"/>
      <c r="K529" s="283"/>
      <c r="L529" s="288"/>
      <c r="M529" s="288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  <c r="AA529" s="159"/>
    </row>
    <row r="530">
      <c r="A530" s="274"/>
      <c r="B530" s="281"/>
      <c r="C530" s="282"/>
      <c r="D530" s="283"/>
      <c r="E530" s="284"/>
      <c r="F530" s="284"/>
      <c r="G530" s="285"/>
      <c r="H530" s="283"/>
      <c r="I530" s="283"/>
      <c r="J530" s="283"/>
      <c r="K530" s="283"/>
      <c r="L530" s="288"/>
      <c r="M530" s="288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  <c r="AA530" s="159"/>
    </row>
    <row r="531">
      <c r="A531" s="274"/>
      <c r="B531" s="281"/>
      <c r="C531" s="282"/>
      <c r="D531" s="283"/>
      <c r="E531" s="284"/>
      <c r="F531" s="284"/>
      <c r="G531" s="285"/>
      <c r="H531" s="283"/>
      <c r="I531" s="283"/>
      <c r="J531" s="283"/>
      <c r="K531" s="283"/>
      <c r="L531" s="288"/>
      <c r="M531" s="288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  <c r="AA531" s="159"/>
    </row>
    <row r="532">
      <c r="A532" s="274"/>
      <c r="B532" s="281"/>
      <c r="C532" s="282"/>
      <c r="D532" s="283"/>
      <c r="E532" s="284"/>
      <c r="F532" s="284"/>
      <c r="G532" s="285"/>
      <c r="H532" s="283"/>
      <c r="I532" s="283"/>
      <c r="J532" s="283"/>
      <c r="K532" s="283"/>
      <c r="L532" s="288"/>
      <c r="M532" s="288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  <c r="AA532" s="159"/>
    </row>
    <row r="533">
      <c r="A533" s="274"/>
      <c r="B533" s="281"/>
      <c r="C533" s="282"/>
      <c r="D533" s="283"/>
      <c r="E533" s="284"/>
      <c r="F533" s="284"/>
      <c r="G533" s="285"/>
      <c r="H533" s="283"/>
      <c r="I533" s="283"/>
      <c r="J533" s="283"/>
      <c r="K533" s="283"/>
      <c r="L533" s="288"/>
      <c r="M533" s="288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  <c r="AA533" s="159"/>
    </row>
    <row r="534">
      <c r="A534" s="274"/>
      <c r="B534" s="281"/>
      <c r="C534" s="282"/>
      <c r="D534" s="283"/>
      <c r="E534" s="284"/>
      <c r="F534" s="284"/>
      <c r="G534" s="285"/>
      <c r="H534" s="283"/>
      <c r="I534" s="283"/>
      <c r="J534" s="283"/>
      <c r="K534" s="283"/>
      <c r="L534" s="288"/>
      <c r="M534" s="288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  <c r="AA534" s="159"/>
    </row>
    <row r="535">
      <c r="A535" s="274"/>
      <c r="B535" s="281"/>
      <c r="C535" s="282"/>
      <c r="D535" s="283"/>
      <c r="E535" s="284"/>
      <c r="F535" s="284"/>
      <c r="G535" s="285"/>
      <c r="H535" s="283"/>
      <c r="I535" s="283"/>
      <c r="J535" s="283"/>
      <c r="K535" s="283"/>
      <c r="L535" s="288"/>
      <c r="M535" s="288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  <c r="AA535" s="159"/>
    </row>
    <row r="536">
      <c r="A536" s="274"/>
      <c r="B536" s="281"/>
      <c r="C536" s="282"/>
      <c r="D536" s="283"/>
      <c r="E536" s="284"/>
      <c r="F536" s="284"/>
      <c r="G536" s="285"/>
      <c r="H536" s="283"/>
      <c r="I536" s="283"/>
      <c r="J536" s="283"/>
      <c r="K536" s="283"/>
      <c r="L536" s="288"/>
      <c r="M536" s="288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  <c r="AA536" s="159"/>
    </row>
    <row r="537">
      <c r="A537" s="274"/>
      <c r="B537" s="281"/>
      <c r="C537" s="282"/>
      <c r="D537" s="283"/>
      <c r="E537" s="284"/>
      <c r="F537" s="284"/>
      <c r="G537" s="285"/>
      <c r="H537" s="283"/>
      <c r="I537" s="283"/>
      <c r="J537" s="283"/>
      <c r="K537" s="283"/>
      <c r="L537" s="288"/>
      <c r="M537" s="288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  <c r="AA537" s="159"/>
    </row>
    <row r="538">
      <c r="A538" s="274"/>
      <c r="B538" s="281"/>
      <c r="C538" s="282"/>
      <c r="D538" s="283"/>
      <c r="E538" s="284"/>
      <c r="F538" s="284"/>
      <c r="G538" s="285"/>
      <c r="H538" s="283"/>
      <c r="I538" s="283"/>
      <c r="J538" s="283"/>
      <c r="K538" s="283"/>
      <c r="L538" s="288"/>
      <c r="M538" s="288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  <c r="AA538" s="159"/>
    </row>
    <row r="539">
      <c r="A539" s="274"/>
      <c r="B539" s="281"/>
      <c r="C539" s="282"/>
      <c r="D539" s="283"/>
      <c r="E539" s="284"/>
      <c r="F539" s="284"/>
      <c r="G539" s="285"/>
      <c r="H539" s="283"/>
      <c r="I539" s="283"/>
      <c r="J539" s="283"/>
      <c r="K539" s="283"/>
      <c r="L539" s="288"/>
      <c r="M539" s="288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  <c r="AA539" s="159"/>
    </row>
    <row r="540">
      <c r="A540" s="274"/>
      <c r="B540" s="281"/>
      <c r="C540" s="282"/>
      <c r="D540" s="283"/>
      <c r="E540" s="284"/>
      <c r="F540" s="284"/>
      <c r="G540" s="285"/>
      <c r="H540" s="283"/>
      <c r="I540" s="283"/>
      <c r="J540" s="283"/>
      <c r="K540" s="283"/>
      <c r="L540" s="288"/>
      <c r="M540" s="288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  <c r="AA540" s="159"/>
    </row>
    <row r="541">
      <c r="A541" s="274"/>
      <c r="B541" s="281"/>
      <c r="C541" s="282"/>
      <c r="D541" s="283"/>
      <c r="E541" s="284"/>
      <c r="F541" s="284"/>
      <c r="G541" s="285"/>
      <c r="H541" s="283"/>
      <c r="I541" s="283"/>
      <c r="J541" s="283"/>
      <c r="K541" s="283"/>
      <c r="L541" s="288"/>
      <c r="M541" s="288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  <c r="AA541" s="159"/>
    </row>
    <row r="542">
      <c r="A542" s="274"/>
      <c r="B542" s="281"/>
      <c r="C542" s="282"/>
      <c r="D542" s="283"/>
      <c r="E542" s="284"/>
      <c r="F542" s="284"/>
      <c r="G542" s="285"/>
      <c r="H542" s="283"/>
      <c r="I542" s="283"/>
      <c r="J542" s="283"/>
      <c r="K542" s="283"/>
      <c r="L542" s="288"/>
      <c r="M542" s="288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  <c r="AA542" s="159"/>
    </row>
    <row r="543">
      <c r="A543" s="274"/>
      <c r="B543" s="281"/>
      <c r="C543" s="282"/>
      <c r="D543" s="283"/>
      <c r="E543" s="284"/>
      <c r="F543" s="284"/>
      <c r="G543" s="285"/>
      <c r="H543" s="283"/>
      <c r="I543" s="283"/>
      <c r="J543" s="283"/>
      <c r="K543" s="283"/>
      <c r="L543" s="288"/>
      <c r="M543" s="288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  <c r="AA543" s="159"/>
    </row>
    <row r="544">
      <c r="A544" s="274"/>
      <c r="B544" s="281"/>
      <c r="C544" s="282"/>
      <c r="D544" s="283"/>
      <c r="E544" s="284"/>
      <c r="F544" s="284"/>
      <c r="G544" s="285"/>
      <c r="H544" s="283"/>
      <c r="I544" s="283"/>
      <c r="J544" s="283"/>
      <c r="K544" s="283"/>
      <c r="L544" s="288"/>
      <c r="M544" s="288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  <c r="AA544" s="159"/>
    </row>
    <row r="545">
      <c r="A545" s="274"/>
      <c r="B545" s="281"/>
      <c r="C545" s="282"/>
      <c r="D545" s="283"/>
      <c r="E545" s="284"/>
      <c r="F545" s="284"/>
      <c r="G545" s="285"/>
      <c r="H545" s="283"/>
      <c r="I545" s="283"/>
      <c r="J545" s="283"/>
      <c r="K545" s="283"/>
      <c r="L545" s="288"/>
      <c r="M545" s="288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  <c r="AA545" s="159"/>
    </row>
    <row r="546">
      <c r="A546" s="274"/>
      <c r="B546" s="281"/>
      <c r="C546" s="282"/>
      <c r="D546" s="283"/>
      <c r="E546" s="284"/>
      <c r="F546" s="284"/>
      <c r="G546" s="285"/>
      <c r="H546" s="283"/>
      <c r="I546" s="283"/>
      <c r="J546" s="283"/>
      <c r="K546" s="283"/>
      <c r="L546" s="288"/>
      <c r="M546" s="288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  <c r="AA546" s="159"/>
    </row>
    <row r="547">
      <c r="A547" s="274"/>
      <c r="B547" s="281"/>
      <c r="C547" s="282"/>
      <c r="D547" s="283"/>
      <c r="E547" s="284"/>
      <c r="F547" s="284"/>
      <c r="G547" s="285"/>
      <c r="H547" s="283"/>
      <c r="I547" s="283"/>
      <c r="J547" s="283"/>
      <c r="K547" s="283"/>
      <c r="L547" s="288"/>
      <c r="M547" s="288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  <c r="AA547" s="159"/>
    </row>
    <row r="548">
      <c r="A548" s="274"/>
      <c r="B548" s="281"/>
      <c r="C548" s="282"/>
      <c r="D548" s="283"/>
      <c r="E548" s="284"/>
      <c r="F548" s="284"/>
      <c r="G548" s="285"/>
      <c r="H548" s="283"/>
      <c r="I548" s="283"/>
      <c r="J548" s="283"/>
      <c r="K548" s="283"/>
      <c r="L548" s="288"/>
      <c r="M548" s="288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  <c r="AA548" s="159"/>
    </row>
    <row r="549">
      <c r="A549" s="274"/>
      <c r="B549" s="281"/>
      <c r="C549" s="282"/>
      <c r="D549" s="283"/>
      <c r="E549" s="284"/>
      <c r="F549" s="284"/>
      <c r="G549" s="285"/>
      <c r="H549" s="283"/>
      <c r="I549" s="283"/>
      <c r="J549" s="283"/>
      <c r="K549" s="283"/>
      <c r="L549" s="288"/>
      <c r="M549" s="288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  <c r="AA549" s="159"/>
    </row>
    <row r="550">
      <c r="A550" s="274"/>
      <c r="B550" s="281"/>
      <c r="C550" s="282"/>
      <c r="D550" s="283"/>
      <c r="E550" s="284"/>
      <c r="F550" s="284"/>
      <c r="G550" s="285"/>
      <c r="H550" s="283"/>
      <c r="I550" s="283"/>
      <c r="J550" s="283"/>
      <c r="K550" s="283"/>
      <c r="L550" s="288"/>
      <c r="M550" s="288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  <c r="AA550" s="159"/>
    </row>
    <row r="551">
      <c r="A551" s="274"/>
      <c r="B551" s="281"/>
      <c r="C551" s="282"/>
      <c r="D551" s="283"/>
      <c r="E551" s="284"/>
      <c r="F551" s="284"/>
      <c r="G551" s="285"/>
      <c r="H551" s="283"/>
      <c r="I551" s="283"/>
      <c r="J551" s="283"/>
      <c r="K551" s="283"/>
      <c r="L551" s="288"/>
      <c r="M551" s="288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  <c r="AA551" s="159"/>
    </row>
    <row r="552">
      <c r="A552" s="274"/>
      <c r="B552" s="281"/>
      <c r="C552" s="282"/>
      <c r="D552" s="283"/>
      <c r="E552" s="284"/>
      <c r="F552" s="284"/>
      <c r="G552" s="285"/>
      <c r="H552" s="283"/>
      <c r="I552" s="283"/>
      <c r="J552" s="283"/>
      <c r="K552" s="283"/>
      <c r="L552" s="288"/>
      <c r="M552" s="288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  <c r="AA552" s="159"/>
    </row>
    <row r="553">
      <c r="A553" s="274"/>
      <c r="B553" s="281"/>
      <c r="C553" s="282"/>
      <c r="D553" s="283"/>
      <c r="E553" s="284"/>
      <c r="F553" s="284"/>
      <c r="G553" s="285"/>
      <c r="H553" s="283"/>
      <c r="I553" s="283"/>
      <c r="J553" s="283"/>
      <c r="K553" s="283"/>
      <c r="L553" s="288"/>
      <c r="M553" s="288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  <c r="AA553" s="159"/>
    </row>
    <row r="554">
      <c r="A554" s="274"/>
      <c r="B554" s="281"/>
      <c r="C554" s="282"/>
      <c r="D554" s="283"/>
      <c r="E554" s="284"/>
      <c r="F554" s="284"/>
      <c r="G554" s="285"/>
      <c r="H554" s="283"/>
      <c r="I554" s="283"/>
      <c r="J554" s="283"/>
      <c r="K554" s="283"/>
      <c r="L554" s="288"/>
      <c r="M554" s="288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  <c r="AA554" s="159"/>
    </row>
    <row r="555">
      <c r="A555" s="274"/>
      <c r="B555" s="281"/>
      <c r="C555" s="282"/>
      <c r="D555" s="283"/>
      <c r="E555" s="284"/>
      <c r="F555" s="284"/>
      <c r="G555" s="285"/>
      <c r="H555" s="283"/>
      <c r="I555" s="283"/>
      <c r="J555" s="283"/>
      <c r="K555" s="283"/>
      <c r="L555" s="288"/>
      <c r="M555" s="288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  <c r="AA555" s="159"/>
    </row>
    <row r="556">
      <c r="A556" s="274"/>
      <c r="B556" s="281"/>
      <c r="C556" s="282"/>
      <c r="D556" s="283"/>
      <c r="E556" s="284"/>
      <c r="F556" s="284"/>
      <c r="G556" s="285"/>
      <c r="H556" s="283"/>
      <c r="I556" s="283"/>
      <c r="J556" s="283"/>
      <c r="K556" s="283"/>
      <c r="L556" s="288"/>
      <c r="M556" s="288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  <c r="AA556" s="159"/>
    </row>
    <row r="557">
      <c r="A557" s="274"/>
      <c r="B557" s="281"/>
      <c r="C557" s="282"/>
      <c r="D557" s="283"/>
      <c r="E557" s="284"/>
      <c r="F557" s="284"/>
      <c r="G557" s="285"/>
      <c r="H557" s="283"/>
      <c r="I557" s="283"/>
      <c r="J557" s="283"/>
      <c r="K557" s="283"/>
      <c r="L557" s="288"/>
      <c r="M557" s="288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  <c r="AA557" s="159"/>
    </row>
    <row r="558">
      <c r="A558" s="274"/>
      <c r="B558" s="281"/>
      <c r="C558" s="282"/>
      <c r="D558" s="283"/>
      <c r="E558" s="284"/>
      <c r="F558" s="284"/>
      <c r="G558" s="285"/>
      <c r="H558" s="283"/>
      <c r="I558" s="283"/>
      <c r="J558" s="283"/>
      <c r="K558" s="283"/>
      <c r="L558" s="288"/>
      <c r="M558" s="288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  <c r="AA558" s="159"/>
    </row>
    <row r="559">
      <c r="A559" s="274"/>
      <c r="B559" s="281"/>
      <c r="C559" s="282"/>
      <c r="D559" s="283"/>
      <c r="E559" s="284"/>
      <c r="F559" s="284"/>
      <c r="G559" s="285"/>
      <c r="H559" s="283"/>
      <c r="I559" s="283"/>
      <c r="J559" s="283"/>
      <c r="K559" s="283"/>
      <c r="L559" s="288"/>
      <c r="M559" s="288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  <c r="AA559" s="159"/>
    </row>
    <row r="560">
      <c r="A560" s="274"/>
      <c r="B560" s="281"/>
      <c r="C560" s="282"/>
      <c r="D560" s="283"/>
      <c r="E560" s="284"/>
      <c r="F560" s="284"/>
      <c r="G560" s="285"/>
      <c r="H560" s="283"/>
      <c r="I560" s="283"/>
      <c r="J560" s="283"/>
      <c r="K560" s="283"/>
      <c r="L560" s="288"/>
      <c r="M560" s="288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  <c r="AA560" s="159"/>
    </row>
    <row r="561">
      <c r="A561" s="274"/>
      <c r="B561" s="281"/>
      <c r="C561" s="282"/>
      <c r="D561" s="283"/>
      <c r="E561" s="284"/>
      <c r="F561" s="284"/>
      <c r="G561" s="285"/>
      <c r="H561" s="283"/>
      <c r="I561" s="283"/>
      <c r="J561" s="283"/>
      <c r="K561" s="283"/>
      <c r="L561" s="288"/>
      <c r="M561" s="288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  <c r="AA561" s="159"/>
    </row>
    <row r="562">
      <c r="A562" s="274"/>
      <c r="B562" s="281"/>
      <c r="C562" s="282"/>
      <c r="D562" s="283"/>
      <c r="E562" s="284"/>
      <c r="F562" s="284"/>
      <c r="G562" s="285"/>
      <c r="H562" s="283"/>
      <c r="I562" s="283"/>
      <c r="J562" s="283"/>
      <c r="K562" s="283"/>
      <c r="L562" s="288"/>
      <c r="M562" s="288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  <c r="AA562" s="159"/>
    </row>
    <row r="563">
      <c r="A563" s="274"/>
      <c r="B563" s="281"/>
      <c r="C563" s="282"/>
      <c r="D563" s="283"/>
      <c r="E563" s="284"/>
      <c r="F563" s="284"/>
      <c r="G563" s="285"/>
      <c r="H563" s="283"/>
      <c r="I563" s="283"/>
      <c r="J563" s="283"/>
      <c r="K563" s="283"/>
      <c r="L563" s="288"/>
      <c r="M563" s="288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  <c r="AA563" s="159"/>
    </row>
    <row r="564">
      <c r="A564" s="274"/>
      <c r="B564" s="281"/>
      <c r="C564" s="282"/>
      <c r="D564" s="283"/>
      <c r="E564" s="284"/>
      <c r="F564" s="284"/>
      <c r="G564" s="285"/>
      <c r="H564" s="283"/>
      <c r="I564" s="283"/>
      <c r="J564" s="283"/>
      <c r="K564" s="283"/>
      <c r="L564" s="288"/>
      <c r="M564" s="288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  <c r="AA564" s="159"/>
    </row>
    <row r="565">
      <c r="A565" s="274"/>
      <c r="B565" s="281"/>
      <c r="C565" s="282"/>
      <c r="D565" s="283"/>
      <c r="E565" s="284"/>
      <c r="F565" s="284"/>
      <c r="G565" s="285"/>
      <c r="H565" s="283"/>
      <c r="I565" s="283"/>
      <c r="J565" s="283"/>
      <c r="K565" s="283"/>
      <c r="L565" s="288"/>
      <c r="M565" s="288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  <c r="AA565" s="159"/>
    </row>
    <row r="566">
      <c r="A566" s="274"/>
      <c r="B566" s="281"/>
      <c r="C566" s="282"/>
      <c r="D566" s="283"/>
      <c r="E566" s="284"/>
      <c r="F566" s="284"/>
      <c r="G566" s="285"/>
      <c r="H566" s="283"/>
      <c r="I566" s="283"/>
      <c r="J566" s="283"/>
      <c r="K566" s="283"/>
      <c r="L566" s="288"/>
      <c r="M566" s="288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  <c r="AA566" s="159"/>
    </row>
    <row r="567">
      <c r="A567" s="274"/>
      <c r="B567" s="281"/>
      <c r="C567" s="282"/>
      <c r="D567" s="283"/>
      <c r="E567" s="284"/>
      <c r="F567" s="284"/>
      <c r="G567" s="285"/>
      <c r="H567" s="283"/>
      <c r="I567" s="283"/>
      <c r="J567" s="283"/>
      <c r="K567" s="283"/>
      <c r="L567" s="288"/>
      <c r="M567" s="288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  <c r="AA567" s="159"/>
    </row>
    <row r="568">
      <c r="A568" s="274"/>
      <c r="B568" s="281"/>
      <c r="C568" s="282"/>
      <c r="D568" s="283"/>
      <c r="E568" s="284"/>
      <c r="F568" s="284"/>
      <c r="G568" s="285"/>
      <c r="H568" s="283"/>
      <c r="I568" s="283"/>
      <c r="J568" s="283"/>
      <c r="K568" s="283"/>
      <c r="L568" s="288"/>
      <c r="M568" s="288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  <c r="AA568" s="159"/>
    </row>
    <row r="569">
      <c r="A569" s="274"/>
      <c r="B569" s="281"/>
      <c r="C569" s="282"/>
      <c r="D569" s="283"/>
      <c r="E569" s="284"/>
      <c r="F569" s="284"/>
      <c r="G569" s="285"/>
      <c r="H569" s="283"/>
      <c r="I569" s="283"/>
      <c r="J569" s="283"/>
      <c r="K569" s="283"/>
      <c r="L569" s="288"/>
      <c r="M569" s="288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  <c r="AA569" s="159"/>
    </row>
    <row r="570">
      <c r="A570" s="274"/>
      <c r="B570" s="281"/>
      <c r="C570" s="282"/>
      <c r="D570" s="283"/>
      <c r="E570" s="284"/>
      <c r="F570" s="284"/>
      <c r="G570" s="285"/>
      <c r="H570" s="283"/>
      <c r="I570" s="283"/>
      <c r="J570" s="283"/>
      <c r="K570" s="283"/>
      <c r="L570" s="288"/>
      <c r="M570" s="288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  <c r="AA570" s="159"/>
    </row>
    <row r="571">
      <c r="A571" s="274"/>
      <c r="B571" s="281"/>
      <c r="C571" s="282"/>
      <c r="D571" s="283"/>
      <c r="E571" s="284"/>
      <c r="F571" s="284"/>
      <c r="G571" s="285"/>
      <c r="H571" s="283"/>
      <c r="I571" s="283"/>
      <c r="J571" s="283"/>
      <c r="K571" s="283"/>
      <c r="L571" s="288"/>
      <c r="M571" s="288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  <c r="AA571" s="159"/>
    </row>
    <row r="572">
      <c r="A572" s="274"/>
      <c r="B572" s="281"/>
      <c r="C572" s="282"/>
      <c r="D572" s="283"/>
      <c r="E572" s="284"/>
      <c r="F572" s="284"/>
      <c r="G572" s="285"/>
      <c r="H572" s="283"/>
      <c r="I572" s="283"/>
      <c r="J572" s="283"/>
      <c r="K572" s="283"/>
      <c r="L572" s="288"/>
      <c r="M572" s="288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  <c r="AA572" s="159"/>
    </row>
    <row r="573">
      <c r="A573" s="274"/>
      <c r="B573" s="281"/>
      <c r="C573" s="282"/>
      <c r="D573" s="283"/>
      <c r="E573" s="284"/>
      <c r="F573" s="284"/>
      <c r="G573" s="285"/>
      <c r="H573" s="283"/>
      <c r="I573" s="283"/>
      <c r="J573" s="283"/>
      <c r="K573" s="283"/>
      <c r="L573" s="288"/>
      <c r="M573" s="288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  <c r="AA573" s="159"/>
    </row>
    <row r="574">
      <c r="A574" s="274"/>
      <c r="B574" s="281"/>
      <c r="C574" s="282"/>
      <c r="D574" s="283"/>
      <c r="E574" s="284"/>
      <c r="F574" s="284"/>
      <c r="G574" s="285"/>
      <c r="H574" s="283"/>
      <c r="I574" s="283"/>
      <c r="J574" s="283"/>
      <c r="K574" s="283"/>
      <c r="L574" s="288"/>
      <c r="M574" s="288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  <c r="AA574" s="159"/>
    </row>
    <row r="575">
      <c r="A575" s="274"/>
      <c r="B575" s="281"/>
      <c r="C575" s="282"/>
      <c r="D575" s="283"/>
      <c r="E575" s="284"/>
      <c r="F575" s="284"/>
      <c r="G575" s="285"/>
      <c r="H575" s="283"/>
      <c r="I575" s="283"/>
      <c r="J575" s="283"/>
      <c r="K575" s="283"/>
      <c r="L575" s="288"/>
      <c r="M575" s="288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  <c r="AA575" s="159"/>
    </row>
    <row r="576">
      <c r="A576" s="274"/>
      <c r="B576" s="281"/>
      <c r="C576" s="282"/>
      <c r="D576" s="283"/>
      <c r="E576" s="284"/>
      <c r="F576" s="284"/>
      <c r="G576" s="285"/>
      <c r="H576" s="283"/>
      <c r="I576" s="283"/>
      <c r="J576" s="283"/>
      <c r="K576" s="283"/>
      <c r="L576" s="288"/>
      <c r="M576" s="288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  <c r="AA576" s="159"/>
    </row>
    <row r="577">
      <c r="A577" s="274"/>
      <c r="B577" s="281"/>
      <c r="C577" s="282"/>
      <c r="D577" s="283"/>
      <c r="E577" s="284"/>
      <c r="F577" s="284"/>
      <c r="G577" s="285"/>
      <c r="H577" s="283"/>
      <c r="I577" s="283"/>
      <c r="J577" s="283"/>
      <c r="K577" s="283"/>
      <c r="L577" s="288"/>
      <c r="M577" s="288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  <c r="AA577" s="159"/>
    </row>
    <row r="578">
      <c r="A578" s="274"/>
      <c r="B578" s="281"/>
      <c r="C578" s="282"/>
      <c r="D578" s="283"/>
      <c r="E578" s="284"/>
      <c r="F578" s="284"/>
      <c r="G578" s="285"/>
      <c r="H578" s="283"/>
      <c r="I578" s="283"/>
      <c r="J578" s="283"/>
      <c r="K578" s="283"/>
      <c r="L578" s="288"/>
      <c r="M578" s="288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  <c r="AA578" s="159"/>
    </row>
    <row r="579">
      <c r="A579" s="274"/>
      <c r="B579" s="281"/>
      <c r="C579" s="282"/>
      <c r="D579" s="283"/>
      <c r="E579" s="284"/>
      <c r="F579" s="284"/>
      <c r="G579" s="285"/>
      <c r="H579" s="283"/>
      <c r="I579" s="283"/>
      <c r="J579" s="283"/>
      <c r="K579" s="283"/>
      <c r="L579" s="288"/>
      <c r="M579" s="288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  <c r="AA579" s="159"/>
    </row>
    <row r="580">
      <c r="A580" s="274"/>
      <c r="B580" s="281"/>
      <c r="C580" s="282"/>
      <c r="D580" s="283"/>
      <c r="E580" s="284"/>
      <c r="F580" s="284"/>
      <c r="G580" s="285"/>
      <c r="H580" s="283"/>
      <c r="I580" s="283"/>
      <c r="J580" s="283"/>
      <c r="K580" s="283"/>
      <c r="L580" s="288"/>
      <c r="M580" s="288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  <c r="AA580" s="159"/>
    </row>
    <row r="581">
      <c r="A581" s="274"/>
      <c r="B581" s="281"/>
      <c r="C581" s="282"/>
      <c r="D581" s="283"/>
      <c r="E581" s="284"/>
      <c r="F581" s="284"/>
      <c r="G581" s="285"/>
      <c r="H581" s="283"/>
      <c r="I581" s="283"/>
      <c r="J581" s="283"/>
      <c r="K581" s="283"/>
      <c r="L581" s="288"/>
      <c r="M581" s="288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  <c r="AA581" s="159"/>
    </row>
    <row r="582">
      <c r="A582" s="274"/>
      <c r="B582" s="281"/>
      <c r="C582" s="282"/>
      <c r="D582" s="283"/>
      <c r="E582" s="284"/>
      <c r="F582" s="284"/>
      <c r="G582" s="285"/>
      <c r="H582" s="283"/>
      <c r="I582" s="283"/>
      <c r="J582" s="283"/>
      <c r="K582" s="283"/>
      <c r="L582" s="288"/>
      <c r="M582" s="288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  <c r="AA582" s="159"/>
    </row>
    <row r="583">
      <c r="A583" s="274"/>
      <c r="B583" s="281"/>
      <c r="C583" s="282"/>
      <c r="D583" s="283"/>
      <c r="E583" s="284"/>
      <c r="F583" s="284"/>
      <c r="G583" s="285"/>
      <c r="H583" s="283"/>
      <c r="I583" s="283"/>
      <c r="J583" s="283"/>
      <c r="K583" s="283"/>
      <c r="L583" s="288"/>
      <c r="M583" s="288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  <c r="AA583" s="159"/>
    </row>
    <row r="584">
      <c r="A584" s="274"/>
      <c r="B584" s="281"/>
      <c r="C584" s="282"/>
      <c r="D584" s="283"/>
      <c r="E584" s="284"/>
      <c r="F584" s="284"/>
      <c r="G584" s="285"/>
      <c r="H584" s="283"/>
      <c r="I584" s="283"/>
      <c r="J584" s="283"/>
      <c r="K584" s="283"/>
      <c r="L584" s="288"/>
      <c r="M584" s="288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  <c r="AA584" s="159"/>
    </row>
    <row r="585">
      <c r="A585" s="274"/>
      <c r="B585" s="281"/>
      <c r="C585" s="282"/>
      <c r="D585" s="283"/>
      <c r="E585" s="284"/>
      <c r="F585" s="284"/>
      <c r="G585" s="285"/>
      <c r="H585" s="283"/>
      <c r="I585" s="283"/>
      <c r="J585" s="283"/>
      <c r="K585" s="283"/>
      <c r="L585" s="288"/>
      <c r="M585" s="288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  <c r="AA585" s="159"/>
    </row>
    <row r="586">
      <c r="A586" s="274"/>
      <c r="B586" s="281"/>
      <c r="C586" s="282"/>
      <c r="D586" s="283"/>
      <c r="E586" s="284"/>
      <c r="F586" s="284"/>
      <c r="G586" s="285"/>
      <c r="H586" s="283"/>
      <c r="I586" s="283"/>
      <c r="J586" s="283"/>
      <c r="K586" s="283"/>
      <c r="L586" s="288"/>
      <c r="M586" s="288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  <c r="AA586" s="159"/>
    </row>
    <row r="587">
      <c r="A587" s="274"/>
      <c r="B587" s="281"/>
      <c r="C587" s="282"/>
      <c r="D587" s="283"/>
      <c r="E587" s="284"/>
      <c r="F587" s="284"/>
      <c r="G587" s="285"/>
      <c r="H587" s="283"/>
      <c r="I587" s="283"/>
      <c r="J587" s="283"/>
      <c r="K587" s="283"/>
      <c r="L587" s="288"/>
      <c r="M587" s="288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  <c r="AA587" s="159"/>
    </row>
    <row r="588">
      <c r="A588" s="274"/>
      <c r="B588" s="281"/>
      <c r="C588" s="282"/>
      <c r="D588" s="283"/>
      <c r="E588" s="284"/>
      <c r="F588" s="284"/>
      <c r="G588" s="285"/>
      <c r="H588" s="283"/>
      <c r="I588" s="283"/>
      <c r="J588" s="283"/>
      <c r="K588" s="283"/>
      <c r="L588" s="288"/>
      <c r="M588" s="288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  <c r="AA588" s="159"/>
    </row>
    <row r="589">
      <c r="A589" s="274"/>
      <c r="B589" s="281"/>
      <c r="C589" s="282"/>
      <c r="D589" s="283"/>
      <c r="E589" s="284"/>
      <c r="F589" s="284"/>
      <c r="G589" s="285"/>
      <c r="H589" s="283"/>
      <c r="I589" s="283"/>
      <c r="J589" s="283"/>
      <c r="K589" s="283"/>
      <c r="L589" s="288"/>
      <c r="M589" s="288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  <c r="AA589" s="159"/>
    </row>
    <row r="590">
      <c r="A590" s="274"/>
      <c r="B590" s="281"/>
      <c r="C590" s="282"/>
      <c r="D590" s="283"/>
      <c r="E590" s="284"/>
      <c r="F590" s="284"/>
      <c r="G590" s="285"/>
      <c r="H590" s="283"/>
      <c r="I590" s="283"/>
      <c r="J590" s="283"/>
      <c r="K590" s="283"/>
      <c r="L590" s="288"/>
      <c r="M590" s="288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  <c r="AA590" s="159"/>
    </row>
    <row r="591">
      <c r="A591" s="274"/>
      <c r="B591" s="281"/>
      <c r="C591" s="282"/>
      <c r="D591" s="283"/>
      <c r="E591" s="284"/>
      <c r="F591" s="284"/>
      <c r="G591" s="285"/>
      <c r="H591" s="283"/>
      <c r="I591" s="283"/>
      <c r="J591" s="283"/>
      <c r="K591" s="283"/>
      <c r="L591" s="288"/>
      <c r="M591" s="288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  <c r="AA591" s="159"/>
    </row>
    <row r="592">
      <c r="A592" s="274"/>
      <c r="B592" s="281"/>
      <c r="C592" s="282"/>
      <c r="D592" s="283"/>
      <c r="E592" s="284"/>
      <c r="F592" s="284"/>
      <c r="G592" s="285"/>
      <c r="H592" s="283"/>
      <c r="I592" s="283"/>
      <c r="J592" s="283"/>
      <c r="K592" s="283"/>
      <c r="L592" s="288"/>
      <c r="M592" s="288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  <c r="AA592" s="159"/>
    </row>
    <row r="593">
      <c r="A593" s="274"/>
      <c r="B593" s="281"/>
      <c r="C593" s="282"/>
      <c r="D593" s="283"/>
      <c r="E593" s="284"/>
      <c r="F593" s="284"/>
      <c r="G593" s="285"/>
      <c r="H593" s="283"/>
      <c r="I593" s="283"/>
      <c r="J593" s="283"/>
      <c r="K593" s="283"/>
      <c r="L593" s="288"/>
      <c r="M593" s="288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  <c r="AA593" s="159"/>
    </row>
    <row r="594">
      <c r="A594" s="274"/>
      <c r="B594" s="281"/>
      <c r="C594" s="282"/>
      <c r="D594" s="283"/>
      <c r="E594" s="284"/>
      <c r="F594" s="284"/>
      <c r="G594" s="285"/>
      <c r="H594" s="283"/>
      <c r="I594" s="283"/>
      <c r="J594" s="283"/>
      <c r="K594" s="283"/>
      <c r="L594" s="288"/>
      <c r="M594" s="288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  <c r="AA594" s="159"/>
    </row>
    <row r="595">
      <c r="A595" s="274"/>
      <c r="B595" s="281"/>
      <c r="C595" s="282"/>
      <c r="D595" s="283"/>
      <c r="E595" s="284"/>
      <c r="F595" s="284"/>
      <c r="G595" s="285"/>
      <c r="H595" s="283"/>
      <c r="I595" s="283"/>
      <c r="J595" s="283"/>
      <c r="K595" s="283"/>
      <c r="L595" s="288"/>
      <c r="M595" s="288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  <c r="AA595" s="159"/>
    </row>
    <row r="596">
      <c r="A596" s="274"/>
      <c r="B596" s="281"/>
      <c r="C596" s="282"/>
      <c r="D596" s="283"/>
      <c r="E596" s="284"/>
      <c r="F596" s="284"/>
      <c r="G596" s="285"/>
      <c r="H596" s="283"/>
      <c r="I596" s="283"/>
      <c r="J596" s="283"/>
      <c r="K596" s="283"/>
      <c r="L596" s="288"/>
      <c r="M596" s="288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  <c r="AA596" s="159"/>
    </row>
    <row r="597">
      <c r="A597" s="274"/>
      <c r="B597" s="281"/>
      <c r="C597" s="282"/>
      <c r="D597" s="283"/>
      <c r="E597" s="284"/>
      <c r="F597" s="284"/>
      <c r="G597" s="285"/>
      <c r="H597" s="283"/>
      <c r="I597" s="283"/>
      <c r="J597" s="283"/>
      <c r="K597" s="283"/>
      <c r="L597" s="288"/>
      <c r="M597" s="288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  <c r="AA597" s="159"/>
    </row>
    <row r="598">
      <c r="A598" s="274"/>
      <c r="B598" s="281"/>
      <c r="C598" s="282"/>
      <c r="D598" s="283"/>
      <c r="E598" s="284"/>
      <c r="F598" s="284"/>
      <c r="G598" s="285"/>
      <c r="H598" s="283"/>
      <c r="I598" s="283"/>
      <c r="J598" s="283"/>
      <c r="K598" s="283"/>
      <c r="L598" s="288"/>
      <c r="M598" s="288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  <c r="AA598" s="159"/>
    </row>
    <row r="599">
      <c r="A599" s="274"/>
      <c r="B599" s="281"/>
      <c r="C599" s="282"/>
      <c r="D599" s="283"/>
      <c r="E599" s="284"/>
      <c r="F599" s="284"/>
      <c r="G599" s="285"/>
      <c r="H599" s="283"/>
      <c r="I599" s="283"/>
      <c r="J599" s="283"/>
      <c r="K599" s="283"/>
      <c r="L599" s="288"/>
      <c r="M599" s="288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  <c r="AA599" s="159"/>
    </row>
    <row r="600">
      <c r="A600" s="274"/>
      <c r="B600" s="281"/>
      <c r="C600" s="282"/>
      <c r="D600" s="283"/>
      <c r="E600" s="284"/>
      <c r="F600" s="284"/>
      <c r="G600" s="285"/>
      <c r="H600" s="283"/>
      <c r="I600" s="283"/>
      <c r="J600" s="283"/>
      <c r="K600" s="283"/>
      <c r="L600" s="288"/>
      <c r="M600" s="288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  <c r="AA600" s="159"/>
    </row>
    <row r="601">
      <c r="A601" s="274"/>
      <c r="B601" s="281"/>
      <c r="C601" s="282"/>
      <c r="D601" s="283"/>
      <c r="E601" s="284"/>
      <c r="F601" s="284"/>
      <c r="G601" s="285"/>
      <c r="H601" s="283"/>
      <c r="I601" s="283"/>
      <c r="J601" s="283"/>
      <c r="K601" s="283"/>
      <c r="L601" s="288"/>
      <c r="M601" s="288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  <c r="AA601" s="159"/>
    </row>
    <row r="602">
      <c r="A602" s="274"/>
      <c r="B602" s="281"/>
      <c r="C602" s="282"/>
      <c r="D602" s="283"/>
      <c r="E602" s="284"/>
      <c r="F602" s="284"/>
      <c r="G602" s="285"/>
      <c r="H602" s="283"/>
      <c r="I602" s="283"/>
      <c r="J602" s="283"/>
      <c r="K602" s="283"/>
      <c r="L602" s="288"/>
      <c r="M602" s="288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  <c r="AA602" s="159"/>
    </row>
    <row r="603">
      <c r="A603" s="274"/>
      <c r="B603" s="281"/>
      <c r="C603" s="282"/>
      <c r="D603" s="283"/>
      <c r="E603" s="284"/>
      <c r="F603" s="284"/>
      <c r="G603" s="285"/>
      <c r="H603" s="283"/>
      <c r="I603" s="283"/>
      <c r="J603" s="283"/>
      <c r="K603" s="283"/>
      <c r="L603" s="288"/>
      <c r="M603" s="288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  <c r="AA603" s="159"/>
    </row>
    <row r="604">
      <c r="A604" s="274"/>
      <c r="B604" s="281"/>
      <c r="C604" s="282"/>
      <c r="D604" s="283"/>
      <c r="E604" s="284"/>
      <c r="F604" s="284"/>
      <c r="G604" s="285"/>
      <c r="H604" s="283"/>
      <c r="I604" s="283"/>
      <c r="J604" s="283"/>
      <c r="K604" s="283"/>
      <c r="L604" s="288"/>
      <c r="M604" s="288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  <c r="AA604" s="159"/>
    </row>
    <row r="605">
      <c r="A605" s="274"/>
      <c r="B605" s="281"/>
      <c r="C605" s="282"/>
      <c r="D605" s="283"/>
      <c r="E605" s="284"/>
      <c r="F605" s="284"/>
      <c r="G605" s="285"/>
      <c r="H605" s="283"/>
      <c r="I605" s="283"/>
      <c r="J605" s="283"/>
      <c r="K605" s="283"/>
      <c r="L605" s="288"/>
      <c r="M605" s="288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  <c r="AA605" s="159"/>
    </row>
    <row r="606">
      <c r="A606" s="274"/>
      <c r="B606" s="281"/>
      <c r="C606" s="282"/>
      <c r="D606" s="283"/>
      <c r="E606" s="284"/>
      <c r="F606" s="284"/>
      <c r="G606" s="285"/>
      <c r="H606" s="283"/>
      <c r="I606" s="283"/>
      <c r="J606" s="283"/>
      <c r="K606" s="283"/>
      <c r="L606" s="288"/>
      <c r="M606" s="288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  <c r="AA606" s="159"/>
    </row>
    <row r="607">
      <c r="A607" s="274"/>
      <c r="B607" s="281"/>
      <c r="C607" s="282"/>
      <c r="D607" s="283"/>
      <c r="E607" s="284"/>
      <c r="F607" s="284"/>
      <c r="G607" s="285"/>
      <c r="H607" s="283"/>
      <c r="I607" s="283"/>
      <c r="J607" s="283"/>
      <c r="K607" s="283"/>
      <c r="L607" s="288"/>
      <c r="M607" s="288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  <c r="AA607" s="159"/>
    </row>
    <row r="608">
      <c r="A608" s="274"/>
      <c r="B608" s="281"/>
      <c r="C608" s="282"/>
      <c r="D608" s="283"/>
      <c r="E608" s="284"/>
      <c r="F608" s="284"/>
      <c r="G608" s="285"/>
      <c r="H608" s="283"/>
      <c r="I608" s="283"/>
      <c r="J608" s="283"/>
      <c r="K608" s="283"/>
      <c r="L608" s="288"/>
      <c r="M608" s="288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  <c r="AA608" s="159"/>
    </row>
    <row r="609">
      <c r="A609" s="274"/>
      <c r="B609" s="281"/>
      <c r="C609" s="282"/>
      <c r="D609" s="283"/>
      <c r="E609" s="284"/>
      <c r="F609" s="284"/>
      <c r="G609" s="285"/>
      <c r="H609" s="283"/>
      <c r="I609" s="283"/>
      <c r="J609" s="283"/>
      <c r="K609" s="283"/>
      <c r="L609" s="288"/>
      <c r="M609" s="288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  <c r="AA609" s="159"/>
    </row>
    <row r="610">
      <c r="A610" s="274"/>
      <c r="B610" s="281"/>
      <c r="C610" s="282"/>
      <c r="D610" s="283"/>
      <c r="E610" s="284"/>
      <c r="F610" s="284"/>
      <c r="G610" s="285"/>
      <c r="H610" s="283"/>
      <c r="I610" s="283"/>
      <c r="J610" s="283"/>
      <c r="K610" s="283"/>
      <c r="L610" s="288"/>
      <c r="M610" s="288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  <c r="AA610" s="159"/>
    </row>
    <row r="611">
      <c r="A611" s="274"/>
      <c r="B611" s="281"/>
      <c r="C611" s="282"/>
      <c r="D611" s="283"/>
      <c r="E611" s="284"/>
      <c r="F611" s="284"/>
      <c r="G611" s="285"/>
      <c r="H611" s="283"/>
      <c r="I611" s="283"/>
      <c r="J611" s="283"/>
      <c r="K611" s="283"/>
      <c r="L611" s="288"/>
      <c r="M611" s="288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  <c r="AA611" s="159"/>
    </row>
    <row r="612">
      <c r="A612" s="274"/>
      <c r="B612" s="281"/>
      <c r="C612" s="282"/>
      <c r="D612" s="283"/>
      <c r="E612" s="284"/>
      <c r="F612" s="284"/>
      <c r="G612" s="285"/>
      <c r="H612" s="283"/>
      <c r="I612" s="283"/>
      <c r="J612" s="283"/>
      <c r="K612" s="283"/>
      <c r="L612" s="288"/>
      <c r="M612" s="288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  <c r="AA612" s="159"/>
    </row>
    <row r="613">
      <c r="A613" s="274"/>
      <c r="B613" s="281"/>
      <c r="C613" s="282"/>
      <c r="D613" s="283"/>
      <c r="E613" s="284"/>
      <c r="F613" s="284"/>
      <c r="G613" s="285"/>
      <c r="H613" s="283"/>
      <c r="I613" s="283"/>
      <c r="J613" s="283"/>
      <c r="K613" s="283"/>
      <c r="L613" s="288"/>
      <c r="M613" s="288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  <c r="AA613" s="159"/>
    </row>
    <row r="614">
      <c r="A614" s="274"/>
      <c r="B614" s="281"/>
      <c r="C614" s="282"/>
      <c r="D614" s="283"/>
      <c r="E614" s="284"/>
      <c r="F614" s="284"/>
      <c r="G614" s="285"/>
      <c r="H614" s="283"/>
      <c r="I614" s="283"/>
      <c r="J614" s="283"/>
      <c r="K614" s="283"/>
      <c r="L614" s="288"/>
      <c r="M614" s="288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  <c r="AA614" s="159"/>
    </row>
    <row r="615">
      <c r="A615" s="274"/>
      <c r="B615" s="281"/>
      <c r="C615" s="282"/>
      <c r="D615" s="283"/>
      <c r="E615" s="284"/>
      <c r="F615" s="284"/>
      <c r="G615" s="285"/>
      <c r="H615" s="283"/>
      <c r="I615" s="283"/>
      <c r="J615" s="283"/>
      <c r="K615" s="283"/>
      <c r="L615" s="288"/>
      <c r="M615" s="288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  <c r="AA615" s="159"/>
    </row>
    <row r="616">
      <c r="A616" s="274"/>
      <c r="B616" s="281"/>
      <c r="C616" s="282"/>
      <c r="D616" s="283"/>
      <c r="E616" s="284"/>
      <c r="F616" s="284"/>
      <c r="G616" s="285"/>
      <c r="H616" s="283"/>
      <c r="I616" s="283"/>
      <c r="J616" s="283"/>
      <c r="K616" s="283"/>
      <c r="L616" s="288"/>
      <c r="M616" s="288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  <c r="AA616" s="159"/>
    </row>
    <row r="617">
      <c r="A617" s="274"/>
      <c r="B617" s="281"/>
      <c r="C617" s="282"/>
      <c r="D617" s="283"/>
      <c r="E617" s="284"/>
      <c r="F617" s="284"/>
      <c r="G617" s="285"/>
      <c r="H617" s="283"/>
      <c r="I617" s="283"/>
      <c r="J617" s="283"/>
      <c r="K617" s="283"/>
      <c r="L617" s="288"/>
      <c r="M617" s="288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  <c r="AA617" s="159"/>
    </row>
    <row r="618">
      <c r="A618" s="274"/>
      <c r="B618" s="281"/>
      <c r="C618" s="282"/>
      <c r="D618" s="283"/>
      <c r="E618" s="284"/>
      <c r="F618" s="284"/>
      <c r="G618" s="285"/>
      <c r="H618" s="283"/>
      <c r="I618" s="283"/>
      <c r="J618" s="283"/>
      <c r="K618" s="283"/>
      <c r="L618" s="288"/>
      <c r="M618" s="288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  <c r="AA618" s="159"/>
    </row>
    <row r="619">
      <c r="A619" s="274"/>
      <c r="B619" s="281"/>
      <c r="C619" s="282"/>
      <c r="D619" s="283"/>
      <c r="E619" s="284"/>
      <c r="F619" s="284"/>
      <c r="G619" s="285"/>
      <c r="H619" s="283"/>
      <c r="I619" s="283"/>
      <c r="J619" s="283"/>
      <c r="K619" s="283"/>
      <c r="L619" s="288"/>
      <c r="M619" s="288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  <c r="AA619" s="159"/>
    </row>
    <row r="620">
      <c r="A620" s="274"/>
      <c r="B620" s="281"/>
      <c r="C620" s="282"/>
      <c r="D620" s="283"/>
      <c r="E620" s="284"/>
      <c r="F620" s="284"/>
      <c r="G620" s="285"/>
      <c r="H620" s="283"/>
      <c r="I620" s="283"/>
      <c r="J620" s="283"/>
      <c r="K620" s="283"/>
      <c r="L620" s="288"/>
      <c r="M620" s="288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  <c r="AA620" s="159"/>
    </row>
    <row r="621">
      <c r="A621" s="274"/>
      <c r="B621" s="281"/>
      <c r="C621" s="282"/>
      <c r="D621" s="283"/>
      <c r="E621" s="284"/>
      <c r="F621" s="284"/>
      <c r="G621" s="285"/>
      <c r="H621" s="283"/>
      <c r="I621" s="283"/>
      <c r="J621" s="283"/>
      <c r="K621" s="283"/>
      <c r="L621" s="288"/>
      <c r="M621" s="288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  <c r="AA621" s="159"/>
    </row>
    <row r="622">
      <c r="A622" s="274"/>
      <c r="B622" s="281"/>
      <c r="C622" s="282"/>
      <c r="D622" s="283"/>
      <c r="E622" s="284"/>
      <c r="F622" s="284"/>
      <c r="G622" s="285"/>
      <c r="H622" s="283"/>
      <c r="I622" s="283"/>
      <c r="J622" s="283"/>
      <c r="K622" s="283"/>
      <c r="L622" s="288"/>
      <c r="M622" s="288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  <c r="AA622" s="159"/>
    </row>
    <row r="623">
      <c r="A623" s="274"/>
      <c r="B623" s="281"/>
      <c r="C623" s="282"/>
      <c r="D623" s="283"/>
      <c r="E623" s="284"/>
      <c r="F623" s="284"/>
      <c r="G623" s="285"/>
      <c r="H623" s="283"/>
      <c r="I623" s="283"/>
      <c r="J623" s="283"/>
      <c r="K623" s="283"/>
      <c r="L623" s="288"/>
      <c r="M623" s="288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  <c r="AA623" s="159"/>
    </row>
    <row r="624">
      <c r="A624" s="274"/>
      <c r="B624" s="281"/>
      <c r="C624" s="282"/>
      <c r="D624" s="283"/>
      <c r="E624" s="284"/>
      <c r="F624" s="284"/>
      <c r="G624" s="285"/>
      <c r="H624" s="283"/>
      <c r="I624" s="283"/>
      <c r="J624" s="283"/>
      <c r="K624" s="283"/>
      <c r="L624" s="288"/>
      <c r="M624" s="288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  <c r="AA624" s="159"/>
    </row>
    <row r="625">
      <c r="A625" s="274"/>
      <c r="B625" s="281"/>
      <c r="C625" s="282"/>
      <c r="D625" s="283"/>
      <c r="E625" s="284"/>
      <c r="F625" s="284"/>
      <c r="G625" s="285"/>
      <c r="H625" s="283"/>
      <c r="I625" s="283"/>
      <c r="J625" s="283"/>
      <c r="K625" s="283"/>
      <c r="L625" s="288"/>
      <c r="M625" s="288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  <c r="AA625" s="159"/>
    </row>
    <row r="626">
      <c r="A626" s="274"/>
      <c r="B626" s="281"/>
      <c r="C626" s="282"/>
      <c r="D626" s="283"/>
      <c r="E626" s="284"/>
      <c r="F626" s="284"/>
      <c r="G626" s="285"/>
      <c r="H626" s="283"/>
      <c r="I626" s="283"/>
      <c r="J626" s="283"/>
      <c r="K626" s="283"/>
      <c r="L626" s="288"/>
      <c r="M626" s="288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  <c r="AA626" s="159"/>
    </row>
    <row r="627">
      <c r="A627" s="274"/>
      <c r="B627" s="281"/>
      <c r="C627" s="282"/>
      <c r="D627" s="283"/>
      <c r="E627" s="284"/>
      <c r="F627" s="284"/>
      <c r="G627" s="285"/>
      <c r="H627" s="283"/>
      <c r="I627" s="283"/>
      <c r="J627" s="283"/>
      <c r="K627" s="283"/>
      <c r="L627" s="288"/>
      <c r="M627" s="288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  <c r="AA627" s="159"/>
    </row>
    <row r="628">
      <c r="A628" s="274"/>
      <c r="B628" s="281"/>
      <c r="C628" s="282"/>
      <c r="D628" s="283"/>
      <c r="E628" s="284"/>
      <c r="F628" s="284"/>
      <c r="G628" s="285"/>
      <c r="H628" s="283"/>
      <c r="I628" s="283"/>
      <c r="J628" s="283"/>
      <c r="K628" s="283"/>
      <c r="L628" s="288"/>
      <c r="M628" s="288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  <c r="AA628" s="159"/>
    </row>
    <row r="629">
      <c r="A629" s="274"/>
      <c r="B629" s="281"/>
      <c r="C629" s="282"/>
      <c r="D629" s="283"/>
      <c r="E629" s="284"/>
      <c r="F629" s="284"/>
      <c r="G629" s="285"/>
      <c r="H629" s="283"/>
      <c r="I629" s="283"/>
      <c r="J629" s="283"/>
      <c r="K629" s="283"/>
      <c r="L629" s="288"/>
      <c r="M629" s="288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  <c r="AA629" s="159"/>
    </row>
    <row r="630">
      <c r="A630" s="274"/>
      <c r="B630" s="281"/>
      <c r="C630" s="282"/>
      <c r="D630" s="283"/>
      <c r="E630" s="284"/>
      <c r="F630" s="284"/>
      <c r="G630" s="285"/>
      <c r="H630" s="283"/>
      <c r="I630" s="283"/>
      <c r="J630" s="283"/>
      <c r="K630" s="283"/>
      <c r="L630" s="288"/>
      <c r="M630" s="288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  <c r="AA630" s="159"/>
    </row>
    <row r="631">
      <c r="A631" s="274"/>
      <c r="B631" s="281"/>
      <c r="C631" s="282"/>
      <c r="D631" s="283"/>
      <c r="E631" s="284"/>
      <c r="F631" s="284"/>
      <c r="G631" s="285"/>
      <c r="H631" s="283"/>
      <c r="I631" s="283"/>
      <c r="J631" s="283"/>
      <c r="K631" s="283"/>
      <c r="L631" s="288"/>
      <c r="M631" s="288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  <c r="AA631" s="159"/>
    </row>
    <row r="632">
      <c r="A632" s="274"/>
      <c r="B632" s="281"/>
      <c r="C632" s="282"/>
      <c r="D632" s="283"/>
      <c r="E632" s="284"/>
      <c r="F632" s="284"/>
      <c r="G632" s="285"/>
      <c r="H632" s="283"/>
      <c r="I632" s="283"/>
      <c r="J632" s="283"/>
      <c r="K632" s="283"/>
      <c r="L632" s="288"/>
      <c r="M632" s="288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  <c r="AA632" s="159"/>
    </row>
    <row r="633">
      <c r="A633" s="274"/>
      <c r="B633" s="281"/>
      <c r="C633" s="282"/>
      <c r="D633" s="283"/>
      <c r="E633" s="284"/>
      <c r="F633" s="284"/>
      <c r="G633" s="285"/>
      <c r="H633" s="283"/>
      <c r="I633" s="283"/>
      <c r="J633" s="283"/>
      <c r="K633" s="283"/>
      <c r="L633" s="288"/>
      <c r="M633" s="288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  <c r="AA633" s="159"/>
    </row>
    <row r="634">
      <c r="A634" s="274"/>
      <c r="B634" s="281"/>
      <c r="C634" s="282"/>
      <c r="D634" s="283"/>
      <c r="E634" s="284"/>
      <c r="F634" s="284"/>
      <c r="G634" s="285"/>
      <c r="H634" s="283"/>
      <c r="I634" s="283"/>
      <c r="J634" s="283"/>
      <c r="K634" s="283"/>
      <c r="L634" s="288"/>
      <c r="M634" s="288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  <c r="AA634" s="159"/>
    </row>
    <row r="635">
      <c r="A635" s="274"/>
      <c r="B635" s="281"/>
      <c r="C635" s="282"/>
      <c r="D635" s="283"/>
      <c r="E635" s="284"/>
      <c r="F635" s="284"/>
      <c r="G635" s="285"/>
      <c r="H635" s="283"/>
      <c r="I635" s="283"/>
      <c r="J635" s="283"/>
      <c r="K635" s="283"/>
      <c r="L635" s="288"/>
      <c r="M635" s="288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  <c r="AA635" s="159"/>
    </row>
    <row r="636">
      <c r="A636" s="274"/>
      <c r="B636" s="281"/>
      <c r="C636" s="282"/>
      <c r="D636" s="283"/>
      <c r="E636" s="284"/>
      <c r="F636" s="284"/>
      <c r="G636" s="285"/>
      <c r="H636" s="283"/>
      <c r="I636" s="283"/>
      <c r="J636" s="283"/>
      <c r="K636" s="283"/>
      <c r="L636" s="288"/>
      <c r="M636" s="288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  <c r="AA636" s="159"/>
    </row>
    <row r="637">
      <c r="A637" s="274"/>
      <c r="B637" s="281"/>
      <c r="C637" s="282"/>
      <c r="D637" s="283"/>
      <c r="E637" s="284"/>
      <c r="F637" s="284"/>
      <c r="G637" s="285"/>
      <c r="H637" s="283"/>
      <c r="I637" s="283"/>
      <c r="J637" s="283"/>
      <c r="K637" s="283"/>
      <c r="L637" s="288"/>
      <c r="M637" s="288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  <c r="AA637" s="159"/>
    </row>
    <row r="638">
      <c r="A638" s="274"/>
      <c r="B638" s="281"/>
      <c r="C638" s="282"/>
      <c r="D638" s="283"/>
      <c r="E638" s="284"/>
      <c r="F638" s="284"/>
      <c r="G638" s="285"/>
      <c r="H638" s="283"/>
      <c r="I638" s="283"/>
      <c r="J638" s="283"/>
      <c r="K638" s="283"/>
      <c r="L638" s="288"/>
      <c r="M638" s="288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  <c r="AA638" s="159"/>
    </row>
    <row r="639">
      <c r="A639" s="274"/>
      <c r="B639" s="281"/>
      <c r="C639" s="282"/>
      <c r="D639" s="283"/>
      <c r="E639" s="284"/>
      <c r="F639" s="284"/>
      <c r="G639" s="285"/>
      <c r="H639" s="283"/>
      <c r="I639" s="283"/>
      <c r="J639" s="283"/>
      <c r="K639" s="283"/>
      <c r="L639" s="288"/>
      <c r="M639" s="288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  <c r="AA639" s="159"/>
    </row>
    <row r="640">
      <c r="A640" s="274"/>
      <c r="B640" s="281"/>
      <c r="C640" s="282"/>
      <c r="D640" s="283"/>
      <c r="E640" s="284"/>
      <c r="F640" s="284"/>
      <c r="G640" s="285"/>
      <c r="H640" s="283"/>
      <c r="I640" s="283"/>
      <c r="J640" s="283"/>
      <c r="K640" s="283"/>
      <c r="L640" s="288"/>
      <c r="M640" s="288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  <c r="AA640" s="159"/>
    </row>
    <row r="641">
      <c r="A641" s="274"/>
      <c r="B641" s="281"/>
      <c r="C641" s="282"/>
      <c r="D641" s="283"/>
      <c r="E641" s="284"/>
      <c r="F641" s="284"/>
      <c r="G641" s="285"/>
      <c r="H641" s="283"/>
      <c r="I641" s="283"/>
      <c r="J641" s="283"/>
      <c r="K641" s="283"/>
      <c r="L641" s="288"/>
      <c r="M641" s="288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  <c r="AA641" s="159"/>
    </row>
    <row r="642">
      <c r="A642" s="274"/>
      <c r="B642" s="281"/>
      <c r="C642" s="282"/>
      <c r="D642" s="283"/>
      <c r="E642" s="284"/>
      <c r="F642" s="284"/>
      <c r="G642" s="285"/>
      <c r="H642" s="283"/>
      <c r="I642" s="283"/>
      <c r="J642" s="283"/>
      <c r="K642" s="283"/>
      <c r="L642" s="288"/>
      <c r="M642" s="288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  <c r="AA642" s="159"/>
    </row>
    <row r="643">
      <c r="A643" s="274"/>
      <c r="B643" s="281"/>
      <c r="C643" s="282"/>
      <c r="D643" s="283"/>
      <c r="E643" s="284"/>
      <c r="F643" s="284"/>
      <c r="G643" s="285"/>
      <c r="H643" s="283"/>
      <c r="I643" s="283"/>
      <c r="J643" s="283"/>
      <c r="K643" s="283"/>
      <c r="L643" s="288"/>
      <c r="M643" s="288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  <c r="AA643" s="159"/>
    </row>
    <row r="644">
      <c r="A644" s="274"/>
      <c r="B644" s="281"/>
      <c r="C644" s="282"/>
      <c r="D644" s="283"/>
      <c r="E644" s="284"/>
      <c r="F644" s="284"/>
      <c r="G644" s="285"/>
      <c r="H644" s="283"/>
      <c r="I644" s="283"/>
      <c r="J644" s="283"/>
      <c r="K644" s="283"/>
      <c r="L644" s="288"/>
      <c r="M644" s="288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  <c r="AA644" s="159"/>
    </row>
    <row r="645">
      <c r="A645" s="274"/>
      <c r="B645" s="281"/>
      <c r="C645" s="282"/>
      <c r="D645" s="283"/>
      <c r="E645" s="284"/>
      <c r="F645" s="284"/>
      <c r="G645" s="285"/>
      <c r="H645" s="283"/>
      <c r="I645" s="283"/>
      <c r="J645" s="283"/>
      <c r="K645" s="283"/>
      <c r="L645" s="288"/>
      <c r="M645" s="288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  <c r="AA645" s="159"/>
    </row>
    <row r="646">
      <c r="A646" s="274"/>
      <c r="B646" s="281"/>
      <c r="C646" s="282"/>
      <c r="D646" s="283"/>
      <c r="E646" s="284"/>
      <c r="F646" s="284"/>
      <c r="G646" s="285"/>
      <c r="H646" s="283"/>
      <c r="I646" s="283"/>
      <c r="J646" s="283"/>
      <c r="K646" s="283"/>
      <c r="L646" s="288"/>
      <c r="M646" s="288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  <c r="AA646" s="159"/>
    </row>
    <row r="647">
      <c r="A647" s="274"/>
      <c r="B647" s="281"/>
      <c r="C647" s="282"/>
      <c r="D647" s="283"/>
      <c r="E647" s="284"/>
      <c r="F647" s="284"/>
      <c r="G647" s="285"/>
      <c r="H647" s="283"/>
      <c r="I647" s="283"/>
      <c r="J647" s="283"/>
      <c r="K647" s="283"/>
      <c r="L647" s="288"/>
      <c r="M647" s="288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  <c r="AA647" s="159"/>
    </row>
    <row r="648">
      <c r="A648" s="274"/>
      <c r="B648" s="281"/>
      <c r="C648" s="282"/>
      <c r="D648" s="283"/>
      <c r="E648" s="284"/>
      <c r="F648" s="284"/>
      <c r="G648" s="285"/>
      <c r="H648" s="283"/>
      <c r="I648" s="283"/>
      <c r="J648" s="283"/>
      <c r="K648" s="283"/>
      <c r="L648" s="288"/>
      <c r="M648" s="288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  <c r="AA648" s="159"/>
    </row>
    <row r="649">
      <c r="A649" s="274"/>
      <c r="B649" s="281"/>
      <c r="C649" s="282"/>
      <c r="D649" s="283"/>
      <c r="E649" s="284"/>
      <c r="F649" s="284"/>
      <c r="G649" s="285"/>
      <c r="H649" s="283"/>
      <c r="I649" s="283"/>
      <c r="J649" s="283"/>
      <c r="K649" s="283"/>
      <c r="L649" s="288"/>
      <c r="M649" s="288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  <c r="AA649" s="159"/>
    </row>
    <row r="650">
      <c r="A650" s="274"/>
      <c r="B650" s="281"/>
      <c r="C650" s="282"/>
      <c r="D650" s="283"/>
      <c r="E650" s="284"/>
      <c r="F650" s="284"/>
      <c r="G650" s="285"/>
      <c r="H650" s="283"/>
      <c r="I650" s="283"/>
      <c r="J650" s="283"/>
      <c r="K650" s="283"/>
      <c r="L650" s="288"/>
      <c r="M650" s="288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  <c r="AA650" s="159"/>
    </row>
    <row r="651">
      <c r="A651" s="274"/>
      <c r="B651" s="281"/>
      <c r="C651" s="282"/>
      <c r="D651" s="283"/>
      <c r="E651" s="284"/>
      <c r="F651" s="284"/>
      <c r="G651" s="285"/>
      <c r="H651" s="283"/>
      <c r="I651" s="283"/>
      <c r="J651" s="283"/>
      <c r="K651" s="283"/>
      <c r="L651" s="288"/>
      <c r="M651" s="288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  <c r="AA651" s="159"/>
    </row>
    <row r="652">
      <c r="A652" s="274"/>
      <c r="B652" s="281"/>
      <c r="C652" s="282"/>
      <c r="D652" s="283"/>
      <c r="E652" s="284"/>
      <c r="F652" s="284"/>
      <c r="G652" s="285"/>
      <c r="H652" s="283"/>
      <c r="I652" s="283"/>
      <c r="J652" s="283"/>
      <c r="K652" s="283"/>
      <c r="L652" s="288"/>
      <c r="M652" s="288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  <c r="AA652" s="159"/>
    </row>
    <row r="653">
      <c r="A653" s="274"/>
      <c r="B653" s="281"/>
      <c r="C653" s="282"/>
      <c r="D653" s="283"/>
      <c r="E653" s="284"/>
      <c r="F653" s="284"/>
      <c r="G653" s="285"/>
      <c r="H653" s="283"/>
      <c r="I653" s="283"/>
      <c r="J653" s="283"/>
      <c r="K653" s="283"/>
      <c r="L653" s="288"/>
      <c r="M653" s="288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  <c r="AA653" s="159"/>
    </row>
    <row r="654">
      <c r="A654" s="274"/>
      <c r="B654" s="281"/>
      <c r="C654" s="282"/>
      <c r="D654" s="283"/>
      <c r="E654" s="284"/>
      <c r="F654" s="284"/>
      <c r="G654" s="285"/>
      <c r="H654" s="283"/>
      <c r="I654" s="283"/>
      <c r="J654" s="283"/>
      <c r="K654" s="283"/>
      <c r="L654" s="288"/>
      <c r="M654" s="288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  <c r="AA654" s="159"/>
    </row>
    <row r="655">
      <c r="A655" s="274"/>
      <c r="B655" s="281"/>
      <c r="C655" s="282"/>
      <c r="D655" s="283"/>
      <c r="E655" s="284"/>
      <c r="F655" s="284"/>
      <c r="G655" s="285"/>
      <c r="H655" s="283"/>
      <c r="I655" s="283"/>
      <c r="J655" s="283"/>
      <c r="K655" s="283"/>
      <c r="L655" s="288"/>
      <c r="M655" s="288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  <c r="AA655" s="159"/>
    </row>
    <row r="656">
      <c r="A656" s="274"/>
      <c r="B656" s="281"/>
      <c r="C656" s="282"/>
      <c r="D656" s="283"/>
      <c r="E656" s="284"/>
      <c r="F656" s="284"/>
      <c r="G656" s="285"/>
      <c r="H656" s="283"/>
      <c r="I656" s="283"/>
      <c r="J656" s="283"/>
      <c r="K656" s="283"/>
      <c r="L656" s="288"/>
      <c r="M656" s="288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  <c r="AA656" s="159"/>
    </row>
    <row r="657">
      <c r="A657" s="274"/>
      <c r="B657" s="281"/>
      <c r="C657" s="282"/>
      <c r="D657" s="283"/>
      <c r="E657" s="284"/>
      <c r="F657" s="284"/>
      <c r="G657" s="285"/>
      <c r="H657" s="283"/>
      <c r="I657" s="283"/>
      <c r="J657" s="283"/>
      <c r="K657" s="283"/>
      <c r="L657" s="288"/>
      <c r="M657" s="288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  <c r="AA657" s="159"/>
    </row>
    <row r="658">
      <c r="A658" s="274"/>
      <c r="B658" s="281"/>
      <c r="C658" s="282"/>
      <c r="D658" s="283"/>
      <c r="E658" s="284"/>
      <c r="F658" s="284"/>
      <c r="G658" s="285"/>
      <c r="H658" s="283"/>
      <c r="I658" s="283"/>
      <c r="J658" s="283"/>
      <c r="K658" s="283"/>
      <c r="L658" s="288"/>
      <c r="M658" s="288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  <c r="AA658" s="159"/>
    </row>
    <row r="659">
      <c r="A659" s="274"/>
      <c r="B659" s="281"/>
      <c r="C659" s="282"/>
      <c r="D659" s="283"/>
      <c r="E659" s="284"/>
      <c r="F659" s="284"/>
      <c r="G659" s="285"/>
      <c r="H659" s="283"/>
      <c r="I659" s="283"/>
      <c r="J659" s="283"/>
      <c r="K659" s="283"/>
      <c r="L659" s="288"/>
      <c r="M659" s="288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  <c r="AA659" s="159"/>
    </row>
    <row r="660">
      <c r="A660" s="274"/>
      <c r="B660" s="281"/>
      <c r="C660" s="282"/>
      <c r="D660" s="283"/>
      <c r="E660" s="284"/>
      <c r="F660" s="284"/>
      <c r="G660" s="285"/>
      <c r="H660" s="283"/>
      <c r="I660" s="283"/>
      <c r="J660" s="283"/>
      <c r="K660" s="283"/>
      <c r="L660" s="288"/>
      <c r="M660" s="288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  <c r="AA660" s="159"/>
    </row>
    <row r="661">
      <c r="A661" s="274"/>
      <c r="B661" s="281"/>
      <c r="C661" s="282"/>
      <c r="D661" s="283"/>
      <c r="E661" s="284"/>
      <c r="F661" s="284"/>
      <c r="G661" s="285"/>
      <c r="H661" s="283"/>
      <c r="I661" s="283"/>
      <c r="J661" s="283"/>
      <c r="K661" s="283"/>
      <c r="L661" s="288"/>
      <c r="M661" s="288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  <c r="AA661" s="159"/>
    </row>
    <row r="662">
      <c r="A662" s="274"/>
      <c r="B662" s="281"/>
      <c r="C662" s="282"/>
      <c r="D662" s="283"/>
      <c r="E662" s="284"/>
      <c r="F662" s="284"/>
      <c r="G662" s="285"/>
      <c r="H662" s="283"/>
      <c r="I662" s="283"/>
      <c r="J662" s="283"/>
      <c r="K662" s="283"/>
      <c r="L662" s="288"/>
      <c r="M662" s="288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  <c r="AA662" s="159"/>
    </row>
    <row r="663">
      <c r="A663" s="274"/>
      <c r="B663" s="281"/>
      <c r="C663" s="282"/>
      <c r="D663" s="283"/>
      <c r="E663" s="284"/>
      <c r="F663" s="284"/>
      <c r="G663" s="285"/>
      <c r="H663" s="283"/>
      <c r="I663" s="283"/>
      <c r="J663" s="283"/>
      <c r="K663" s="283"/>
      <c r="L663" s="288"/>
      <c r="M663" s="288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  <c r="AA663" s="159"/>
    </row>
    <row r="664">
      <c r="A664" s="274"/>
      <c r="B664" s="281"/>
      <c r="C664" s="282"/>
      <c r="D664" s="283"/>
      <c r="E664" s="284"/>
      <c r="F664" s="284"/>
      <c r="G664" s="285"/>
      <c r="H664" s="283"/>
      <c r="I664" s="283"/>
      <c r="J664" s="283"/>
      <c r="K664" s="283"/>
      <c r="L664" s="288"/>
      <c r="M664" s="288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  <c r="AA664" s="159"/>
    </row>
    <row r="665">
      <c r="A665" s="274"/>
      <c r="B665" s="281"/>
      <c r="C665" s="282"/>
      <c r="D665" s="283"/>
      <c r="E665" s="284"/>
      <c r="F665" s="284"/>
      <c r="G665" s="285"/>
      <c r="H665" s="283"/>
      <c r="I665" s="283"/>
      <c r="J665" s="283"/>
      <c r="K665" s="283"/>
      <c r="L665" s="288"/>
      <c r="M665" s="288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  <c r="AA665" s="159"/>
    </row>
    <row r="666">
      <c r="A666" s="274"/>
      <c r="B666" s="281"/>
      <c r="C666" s="282"/>
      <c r="D666" s="283"/>
      <c r="E666" s="284"/>
      <c r="F666" s="284"/>
      <c r="G666" s="285"/>
      <c r="H666" s="283"/>
      <c r="I666" s="283"/>
      <c r="J666" s="283"/>
      <c r="K666" s="283"/>
      <c r="L666" s="288"/>
      <c r="M666" s="288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  <c r="AA666" s="159"/>
    </row>
    <row r="667">
      <c r="A667" s="274"/>
      <c r="B667" s="281"/>
      <c r="C667" s="282"/>
      <c r="D667" s="283"/>
      <c r="E667" s="284"/>
      <c r="F667" s="284"/>
      <c r="G667" s="285"/>
      <c r="H667" s="283"/>
      <c r="I667" s="283"/>
      <c r="J667" s="283"/>
      <c r="K667" s="283"/>
      <c r="L667" s="288"/>
      <c r="M667" s="288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  <c r="AA667" s="159"/>
    </row>
    <row r="668">
      <c r="A668" s="274"/>
      <c r="B668" s="281"/>
      <c r="C668" s="282"/>
      <c r="D668" s="283"/>
      <c r="E668" s="284"/>
      <c r="F668" s="284"/>
      <c r="G668" s="285"/>
      <c r="H668" s="283"/>
      <c r="I668" s="283"/>
      <c r="J668" s="283"/>
      <c r="K668" s="283"/>
      <c r="L668" s="288"/>
      <c r="M668" s="288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  <c r="AA668" s="159"/>
    </row>
    <row r="669">
      <c r="A669" s="274"/>
      <c r="B669" s="281"/>
      <c r="C669" s="282"/>
      <c r="D669" s="283"/>
      <c r="E669" s="284"/>
      <c r="F669" s="284"/>
      <c r="G669" s="285"/>
      <c r="H669" s="283"/>
      <c r="I669" s="283"/>
      <c r="J669" s="283"/>
      <c r="K669" s="283"/>
      <c r="L669" s="288"/>
      <c r="M669" s="288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  <c r="AA669" s="159"/>
    </row>
    <row r="670">
      <c r="A670" s="274"/>
      <c r="B670" s="281"/>
      <c r="C670" s="282"/>
      <c r="D670" s="283"/>
      <c r="E670" s="284"/>
      <c r="F670" s="284"/>
      <c r="G670" s="285"/>
      <c r="H670" s="283"/>
      <c r="I670" s="283"/>
      <c r="J670" s="283"/>
      <c r="K670" s="283"/>
      <c r="L670" s="288"/>
      <c r="M670" s="288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  <c r="AA670" s="159"/>
    </row>
    <row r="671">
      <c r="A671" s="274"/>
      <c r="B671" s="281"/>
      <c r="C671" s="282"/>
      <c r="D671" s="283"/>
      <c r="E671" s="284"/>
      <c r="F671" s="284"/>
      <c r="G671" s="285"/>
      <c r="H671" s="283"/>
      <c r="I671" s="283"/>
      <c r="J671" s="283"/>
      <c r="K671" s="283"/>
      <c r="L671" s="288"/>
      <c r="M671" s="288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  <c r="AA671" s="159"/>
    </row>
    <row r="672">
      <c r="A672" s="274"/>
      <c r="B672" s="281"/>
      <c r="C672" s="282"/>
      <c r="D672" s="283"/>
      <c r="E672" s="284"/>
      <c r="F672" s="284"/>
      <c r="G672" s="285"/>
      <c r="H672" s="283"/>
      <c r="I672" s="283"/>
      <c r="J672" s="283"/>
      <c r="K672" s="283"/>
      <c r="L672" s="288"/>
      <c r="M672" s="288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  <c r="AA672" s="159"/>
    </row>
    <row r="673">
      <c r="A673" s="274"/>
      <c r="B673" s="281"/>
      <c r="C673" s="282"/>
      <c r="D673" s="283"/>
      <c r="E673" s="284"/>
      <c r="F673" s="284"/>
      <c r="G673" s="285"/>
      <c r="H673" s="283"/>
      <c r="I673" s="283"/>
      <c r="J673" s="283"/>
      <c r="K673" s="283"/>
      <c r="L673" s="288"/>
      <c r="M673" s="288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  <c r="AA673" s="159"/>
    </row>
    <row r="674">
      <c r="A674" s="274"/>
      <c r="B674" s="281"/>
      <c r="C674" s="282"/>
      <c r="D674" s="283"/>
      <c r="E674" s="284"/>
      <c r="F674" s="284"/>
      <c r="G674" s="285"/>
      <c r="H674" s="283"/>
      <c r="I674" s="283"/>
      <c r="J674" s="283"/>
      <c r="K674" s="283"/>
      <c r="L674" s="288"/>
      <c r="M674" s="288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  <c r="AA674" s="159"/>
    </row>
    <row r="675">
      <c r="A675" s="274"/>
      <c r="B675" s="281"/>
      <c r="C675" s="282"/>
      <c r="D675" s="283"/>
      <c r="E675" s="284"/>
      <c r="F675" s="284"/>
      <c r="G675" s="285"/>
      <c r="H675" s="283"/>
      <c r="I675" s="283"/>
      <c r="J675" s="283"/>
      <c r="K675" s="283"/>
      <c r="L675" s="288"/>
      <c r="M675" s="288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  <c r="AA675" s="159"/>
    </row>
    <row r="676">
      <c r="A676" s="274"/>
      <c r="B676" s="281"/>
      <c r="C676" s="282"/>
      <c r="D676" s="283"/>
      <c r="E676" s="284"/>
      <c r="F676" s="284"/>
      <c r="G676" s="285"/>
      <c r="H676" s="283"/>
      <c r="I676" s="283"/>
      <c r="J676" s="283"/>
      <c r="K676" s="283"/>
      <c r="L676" s="288"/>
      <c r="M676" s="288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  <c r="AA676" s="159"/>
    </row>
    <row r="677">
      <c r="A677" s="274"/>
      <c r="B677" s="281"/>
      <c r="C677" s="282"/>
      <c r="D677" s="283"/>
      <c r="E677" s="284"/>
      <c r="F677" s="284"/>
      <c r="G677" s="285"/>
      <c r="H677" s="283"/>
      <c r="I677" s="283"/>
      <c r="J677" s="283"/>
      <c r="K677" s="283"/>
      <c r="L677" s="288"/>
      <c r="M677" s="288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  <c r="AA677" s="159"/>
    </row>
    <row r="678">
      <c r="A678" s="274"/>
      <c r="B678" s="281"/>
      <c r="C678" s="282"/>
      <c r="D678" s="283"/>
      <c r="E678" s="284"/>
      <c r="F678" s="284"/>
      <c r="G678" s="285"/>
      <c r="H678" s="283"/>
      <c r="I678" s="283"/>
      <c r="J678" s="283"/>
      <c r="K678" s="283"/>
      <c r="L678" s="288"/>
      <c r="M678" s="288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  <c r="AA678" s="159"/>
    </row>
    <row r="679">
      <c r="A679" s="274"/>
      <c r="B679" s="281"/>
      <c r="C679" s="282"/>
      <c r="D679" s="283"/>
      <c r="E679" s="284"/>
      <c r="F679" s="284"/>
      <c r="G679" s="285"/>
      <c r="H679" s="283"/>
      <c r="I679" s="283"/>
      <c r="J679" s="283"/>
      <c r="K679" s="283"/>
      <c r="L679" s="288"/>
      <c r="M679" s="288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  <c r="AA679" s="159"/>
    </row>
    <row r="680">
      <c r="A680" s="274"/>
      <c r="B680" s="281"/>
      <c r="C680" s="282"/>
      <c r="D680" s="283"/>
      <c r="E680" s="284"/>
      <c r="F680" s="284"/>
      <c r="G680" s="285"/>
      <c r="H680" s="283"/>
      <c r="I680" s="283"/>
      <c r="J680" s="283"/>
      <c r="K680" s="283"/>
      <c r="L680" s="288"/>
      <c r="M680" s="288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  <c r="AA680" s="159"/>
    </row>
    <row r="681">
      <c r="A681" s="274"/>
      <c r="B681" s="281"/>
      <c r="C681" s="282"/>
      <c r="D681" s="283"/>
      <c r="E681" s="284"/>
      <c r="F681" s="284"/>
      <c r="G681" s="285"/>
      <c r="H681" s="283"/>
      <c r="I681" s="283"/>
      <c r="J681" s="283"/>
      <c r="K681" s="283"/>
      <c r="L681" s="288"/>
      <c r="M681" s="288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  <c r="AA681" s="159"/>
    </row>
    <row r="682">
      <c r="A682" s="274"/>
      <c r="B682" s="281"/>
      <c r="C682" s="282"/>
      <c r="D682" s="283"/>
      <c r="E682" s="284"/>
      <c r="F682" s="284"/>
      <c r="G682" s="285"/>
      <c r="H682" s="283"/>
      <c r="I682" s="283"/>
      <c r="J682" s="283"/>
      <c r="K682" s="283"/>
      <c r="L682" s="288"/>
      <c r="M682" s="288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  <c r="AA682" s="159"/>
    </row>
    <row r="683">
      <c r="A683" s="274"/>
      <c r="B683" s="281"/>
      <c r="C683" s="282"/>
      <c r="D683" s="283"/>
      <c r="E683" s="284"/>
      <c r="F683" s="284"/>
      <c r="G683" s="285"/>
      <c r="H683" s="283"/>
      <c r="I683" s="283"/>
      <c r="J683" s="283"/>
      <c r="K683" s="283"/>
      <c r="L683" s="288"/>
      <c r="M683" s="288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  <c r="AA683" s="159"/>
    </row>
    <row r="684">
      <c r="A684" s="274"/>
      <c r="B684" s="281"/>
      <c r="C684" s="282"/>
      <c r="D684" s="283"/>
      <c r="E684" s="284"/>
      <c r="F684" s="284"/>
      <c r="G684" s="285"/>
      <c r="H684" s="283"/>
      <c r="I684" s="283"/>
      <c r="J684" s="283"/>
      <c r="K684" s="283"/>
      <c r="L684" s="288"/>
      <c r="M684" s="288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  <c r="AA684" s="159"/>
    </row>
    <row r="685">
      <c r="A685" s="274"/>
      <c r="B685" s="281"/>
      <c r="C685" s="282"/>
      <c r="D685" s="283"/>
      <c r="E685" s="284"/>
      <c r="F685" s="284"/>
      <c r="G685" s="285"/>
      <c r="H685" s="283"/>
      <c r="I685" s="283"/>
      <c r="J685" s="283"/>
      <c r="K685" s="283"/>
      <c r="L685" s="288"/>
      <c r="M685" s="288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  <c r="AA685" s="159"/>
    </row>
    <row r="686">
      <c r="A686" s="274"/>
      <c r="B686" s="281"/>
      <c r="C686" s="282"/>
      <c r="D686" s="283"/>
      <c r="E686" s="284"/>
      <c r="F686" s="284"/>
      <c r="G686" s="285"/>
      <c r="H686" s="283"/>
      <c r="I686" s="283"/>
      <c r="J686" s="283"/>
      <c r="K686" s="283"/>
      <c r="L686" s="288"/>
      <c r="M686" s="288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  <c r="AA686" s="159"/>
    </row>
    <row r="687">
      <c r="A687" s="274"/>
      <c r="B687" s="281"/>
      <c r="C687" s="282"/>
      <c r="D687" s="283"/>
      <c r="E687" s="284"/>
      <c r="F687" s="284"/>
      <c r="G687" s="285"/>
      <c r="H687" s="283"/>
      <c r="I687" s="283"/>
      <c r="J687" s="283"/>
      <c r="K687" s="283"/>
      <c r="L687" s="288"/>
      <c r="M687" s="288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  <c r="AA687" s="159"/>
    </row>
    <row r="688">
      <c r="A688" s="274"/>
      <c r="B688" s="281"/>
      <c r="C688" s="282"/>
      <c r="D688" s="283"/>
      <c r="E688" s="284"/>
      <c r="F688" s="284"/>
      <c r="G688" s="285"/>
      <c r="H688" s="283"/>
      <c r="I688" s="283"/>
      <c r="J688" s="283"/>
      <c r="K688" s="283"/>
      <c r="L688" s="288"/>
      <c r="M688" s="288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  <c r="AA688" s="159"/>
    </row>
    <row r="689">
      <c r="A689" s="274"/>
      <c r="B689" s="281"/>
      <c r="C689" s="282"/>
      <c r="D689" s="283"/>
      <c r="E689" s="284"/>
      <c r="F689" s="284"/>
      <c r="G689" s="285"/>
      <c r="H689" s="283"/>
      <c r="I689" s="283"/>
      <c r="J689" s="283"/>
      <c r="K689" s="283"/>
      <c r="L689" s="288"/>
      <c r="M689" s="288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  <c r="AA689" s="159"/>
    </row>
    <row r="690">
      <c r="A690" s="274"/>
      <c r="B690" s="281"/>
      <c r="C690" s="282"/>
      <c r="D690" s="283"/>
      <c r="E690" s="284"/>
      <c r="F690" s="284"/>
      <c r="G690" s="285"/>
      <c r="H690" s="283"/>
      <c r="I690" s="283"/>
      <c r="J690" s="283"/>
      <c r="K690" s="283"/>
      <c r="L690" s="288"/>
      <c r="M690" s="288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  <c r="AA690" s="159"/>
    </row>
    <row r="691">
      <c r="A691" s="274"/>
      <c r="B691" s="281"/>
      <c r="C691" s="282"/>
      <c r="D691" s="283"/>
      <c r="E691" s="284"/>
      <c r="F691" s="284"/>
      <c r="G691" s="285"/>
      <c r="H691" s="283"/>
      <c r="I691" s="283"/>
      <c r="J691" s="283"/>
      <c r="K691" s="283"/>
      <c r="L691" s="288"/>
      <c r="M691" s="288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  <c r="AA691" s="159"/>
    </row>
    <row r="692">
      <c r="A692" s="274"/>
      <c r="B692" s="281"/>
      <c r="C692" s="282"/>
      <c r="D692" s="283"/>
      <c r="E692" s="284"/>
      <c r="F692" s="284"/>
      <c r="G692" s="285"/>
      <c r="H692" s="283"/>
      <c r="I692" s="283"/>
      <c r="J692" s="283"/>
      <c r="K692" s="283"/>
      <c r="L692" s="288"/>
      <c r="M692" s="288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  <c r="AA692" s="159"/>
    </row>
    <row r="693">
      <c r="A693" s="274"/>
      <c r="B693" s="281"/>
      <c r="C693" s="282"/>
      <c r="D693" s="283"/>
      <c r="E693" s="284"/>
      <c r="F693" s="284"/>
      <c r="G693" s="285"/>
      <c r="H693" s="283"/>
      <c r="I693" s="283"/>
      <c r="J693" s="283"/>
      <c r="K693" s="283"/>
      <c r="L693" s="288"/>
      <c r="M693" s="288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  <c r="AA693" s="159"/>
    </row>
    <row r="694">
      <c r="A694" s="274"/>
      <c r="B694" s="281"/>
      <c r="C694" s="282"/>
      <c r="D694" s="283"/>
      <c r="E694" s="284"/>
      <c r="F694" s="284"/>
      <c r="G694" s="285"/>
      <c r="H694" s="283"/>
      <c r="I694" s="283"/>
      <c r="J694" s="283"/>
      <c r="K694" s="283"/>
      <c r="L694" s="288"/>
      <c r="M694" s="288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  <c r="AA694" s="159"/>
    </row>
    <row r="695">
      <c r="A695" s="274"/>
      <c r="B695" s="281"/>
      <c r="C695" s="282"/>
      <c r="D695" s="283"/>
      <c r="E695" s="284"/>
      <c r="F695" s="284"/>
      <c r="G695" s="285"/>
      <c r="H695" s="283"/>
      <c r="I695" s="283"/>
      <c r="J695" s="283"/>
      <c r="K695" s="283"/>
      <c r="L695" s="288"/>
      <c r="M695" s="288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  <c r="AA695" s="159"/>
    </row>
    <row r="696">
      <c r="A696" s="274"/>
      <c r="B696" s="281"/>
      <c r="C696" s="282"/>
      <c r="D696" s="283"/>
      <c r="E696" s="284"/>
      <c r="F696" s="284"/>
      <c r="G696" s="285"/>
      <c r="H696" s="283"/>
      <c r="I696" s="283"/>
      <c r="J696" s="283"/>
      <c r="K696" s="283"/>
      <c r="L696" s="288"/>
      <c r="M696" s="288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  <c r="AA696" s="159"/>
    </row>
    <row r="697">
      <c r="A697" s="274"/>
      <c r="B697" s="281"/>
      <c r="C697" s="282"/>
      <c r="D697" s="283"/>
      <c r="E697" s="284"/>
      <c r="F697" s="284"/>
      <c r="G697" s="285"/>
      <c r="H697" s="283"/>
      <c r="I697" s="283"/>
      <c r="J697" s="283"/>
      <c r="K697" s="283"/>
      <c r="L697" s="288"/>
      <c r="M697" s="288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  <c r="AA697" s="159"/>
    </row>
    <row r="698">
      <c r="A698" s="274"/>
      <c r="B698" s="281"/>
      <c r="C698" s="282"/>
      <c r="D698" s="283"/>
      <c r="E698" s="284"/>
      <c r="F698" s="284"/>
      <c r="G698" s="285"/>
      <c r="H698" s="283"/>
      <c r="I698" s="283"/>
      <c r="J698" s="283"/>
      <c r="K698" s="283"/>
      <c r="L698" s="288"/>
      <c r="M698" s="288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  <c r="AA698" s="159"/>
    </row>
    <row r="699">
      <c r="A699" s="274"/>
      <c r="B699" s="281"/>
      <c r="C699" s="282"/>
      <c r="D699" s="283"/>
      <c r="E699" s="284"/>
      <c r="F699" s="284"/>
      <c r="G699" s="285"/>
      <c r="H699" s="283"/>
      <c r="I699" s="283"/>
      <c r="J699" s="283"/>
      <c r="K699" s="283"/>
      <c r="L699" s="288"/>
      <c r="M699" s="288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  <c r="AA699" s="159"/>
    </row>
    <row r="700">
      <c r="A700" s="274"/>
      <c r="B700" s="281"/>
      <c r="C700" s="282"/>
      <c r="D700" s="283"/>
      <c r="E700" s="284"/>
      <c r="F700" s="284"/>
      <c r="G700" s="285"/>
      <c r="H700" s="283"/>
      <c r="I700" s="283"/>
      <c r="J700" s="283"/>
      <c r="K700" s="283"/>
      <c r="L700" s="288"/>
      <c r="M700" s="288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  <c r="AA700" s="159"/>
    </row>
    <row r="701">
      <c r="A701" s="274"/>
      <c r="B701" s="281"/>
      <c r="C701" s="282"/>
      <c r="D701" s="283"/>
      <c r="E701" s="284"/>
      <c r="F701" s="284"/>
      <c r="G701" s="285"/>
      <c r="H701" s="283"/>
      <c r="I701" s="283"/>
      <c r="J701" s="283"/>
      <c r="K701" s="283"/>
      <c r="L701" s="288"/>
      <c r="M701" s="288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  <c r="AA701" s="159"/>
    </row>
    <row r="702">
      <c r="A702" s="274"/>
      <c r="B702" s="281"/>
      <c r="C702" s="282"/>
      <c r="D702" s="283"/>
      <c r="E702" s="284"/>
      <c r="F702" s="284"/>
      <c r="G702" s="285"/>
      <c r="H702" s="283"/>
      <c r="I702" s="283"/>
      <c r="J702" s="283"/>
      <c r="K702" s="283"/>
      <c r="L702" s="288"/>
      <c r="M702" s="288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  <c r="AA702" s="159"/>
    </row>
    <row r="703">
      <c r="A703" s="274"/>
      <c r="B703" s="281"/>
      <c r="C703" s="282"/>
      <c r="D703" s="283"/>
      <c r="E703" s="284"/>
      <c r="F703" s="284"/>
      <c r="G703" s="285"/>
      <c r="H703" s="283"/>
      <c r="I703" s="283"/>
      <c r="J703" s="283"/>
      <c r="K703" s="283"/>
      <c r="L703" s="288"/>
      <c r="M703" s="288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  <c r="AA703" s="159"/>
    </row>
    <row r="704">
      <c r="A704" s="274"/>
      <c r="B704" s="281"/>
      <c r="C704" s="282"/>
      <c r="D704" s="283"/>
      <c r="E704" s="284"/>
      <c r="F704" s="284"/>
      <c r="G704" s="285"/>
      <c r="H704" s="283"/>
      <c r="I704" s="283"/>
      <c r="J704" s="283"/>
      <c r="K704" s="283"/>
      <c r="L704" s="288"/>
      <c r="M704" s="288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  <c r="AA704" s="159"/>
    </row>
    <row r="705">
      <c r="A705" s="274"/>
      <c r="B705" s="281"/>
      <c r="C705" s="282"/>
      <c r="D705" s="283"/>
      <c r="E705" s="284"/>
      <c r="F705" s="284"/>
      <c r="G705" s="285"/>
      <c r="H705" s="283"/>
      <c r="I705" s="283"/>
      <c r="J705" s="283"/>
      <c r="K705" s="283"/>
      <c r="L705" s="288"/>
      <c r="M705" s="288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  <c r="AA705" s="159"/>
    </row>
    <row r="706">
      <c r="A706" s="274"/>
      <c r="B706" s="281"/>
      <c r="C706" s="282"/>
      <c r="D706" s="283"/>
      <c r="E706" s="284"/>
      <c r="F706" s="284"/>
      <c r="G706" s="285"/>
      <c r="H706" s="283"/>
      <c r="I706" s="283"/>
      <c r="J706" s="283"/>
      <c r="K706" s="283"/>
      <c r="L706" s="288"/>
      <c r="M706" s="288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  <c r="AA706" s="159"/>
    </row>
    <row r="707">
      <c r="A707" s="274"/>
      <c r="B707" s="281"/>
      <c r="C707" s="282"/>
      <c r="D707" s="283"/>
      <c r="E707" s="284"/>
      <c r="F707" s="284"/>
      <c r="G707" s="285"/>
      <c r="H707" s="283"/>
      <c r="I707" s="283"/>
      <c r="J707" s="283"/>
      <c r="K707" s="283"/>
      <c r="L707" s="288"/>
      <c r="M707" s="288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  <c r="AA707" s="159"/>
    </row>
    <row r="708">
      <c r="A708" s="274"/>
      <c r="B708" s="281"/>
      <c r="C708" s="282"/>
      <c r="D708" s="283"/>
      <c r="E708" s="284"/>
      <c r="F708" s="284"/>
      <c r="G708" s="285"/>
      <c r="H708" s="283"/>
      <c r="I708" s="283"/>
      <c r="J708" s="283"/>
      <c r="K708" s="283"/>
      <c r="L708" s="288"/>
      <c r="M708" s="288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  <c r="AA708" s="159"/>
    </row>
    <row r="709">
      <c r="A709" s="274"/>
      <c r="B709" s="281"/>
      <c r="C709" s="282"/>
      <c r="D709" s="283"/>
      <c r="E709" s="284"/>
      <c r="F709" s="284"/>
      <c r="G709" s="285"/>
      <c r="H709" s="283"/>
      <c r="I709" s="283"/>
      <c r="J709" s="283"/>
      <c r="K709" s="283"/>
      <c r="L709" s="288"/>
      <c r="M709" s="288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  <c r="AA709" s="159"/>
    </row>
    <row r="710">
      <c r="A710" s="274"/>
      <c r="B710" s="281"/>
      <c r="C710" s="282"/>
      <c r="D710" s="283"/>
      <c r="E710" s="284"/>
      <c r="F710" s="284"/>
      <c r="G710" s="285"/>
      <c r="H710" s="283"/>
      <c r="I710" s="283"/>
      <c r="J710" s="283"/>
      <c r="K710" s="283"/>
      <c r="L710" s="288"/>
      <c r="M710" s="288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  <c r="AA710" s="159"/>
    </row>
    <row r="711">
      <c r="A711" s="274"/>
      <c r="B711" s="281"/>
      <c r="C711" s="282"/>
      <c r="D711" s="283"/>
      <c r="E711" s="284"/>
      <c r="F711" s="284"/>
      <c r="G711" s="285"/>
      <c r="H711" s="283"/>
      <c r="I711" s="283"/>
      <c r="J711" s="283"/>
      <c r="K711" s="283"/>
      <c r="L711" s="288"/>
      <c r="M711" s="288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  <c r="AA711" s="159"/>
    </row>
    <row r="712">
      <c r="A712" s="274"/>
      <c r="B712" s="281"/>
      <c r="C712" s="282"/>
      <c r="D712" s="283"/>
      <c r="E712" s="284"/>
      <c r="F712" s="284"/>
      <c r="G712" s="285"/>
      <c r="H712" s="283"/>
      <c r="I712" s="283"/>
      <c r="J712" s="283"/>
      <c r="K712" s="283"/>
      <c r="L712" s="288"/>
      <c r="M712" s="288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  <c r="AA712" s="159"/>
    </row>
    <row r="713">
      <c r="A713" s="274"/>
      <c r="B713" s="281"/>
      <c r="C713" s="282"/>
      <c r="D713" s="283"/>
      <c r="E713" s="284"/>
      <c r="F713" s="284"/>
      <c r="G713" s="285"/>
      <c r="H713" s="283"/>
      <c r="I713" s="283"/>
      <c r="J713" s="283"/>
      <c r="K713" s="283"/>
      <c r="L713" s="288"/>
      <c r="M713" s="288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  <c r="AA713" s="159"/>
    </row>
    <row r="714">
      <c r="A714" s="274"/>
      <c r="B714" s="281"/>
      <c r="C714" s="282"/>
      <c r="D714" s="283"/>
      <c r="E714" s="284"/>
      <c r="F714" s="284"/>
      <c r="G714" s="285"/>
      <c r="H714" s="283"/>
      <c r="I714" s="283"/>
      <c r="J714" s="283"/>
      <c r="K714" s="283"/>
      <c r="L714" s="288"/>
      <c r="M714" s="288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  <c r="AA714" s="159"/>
    </row>
    <row r="715">
      <c r="A715" s="274"/>
      <c r="B715" s="281"/>
      <c r="C715" s="282"/>
      <c r="D715" s="283"/>
      <c r="E715" s="284"/>
      <c r="F715" s="284"/>
      <c r="G715" s="285"/>
      <c r="H715" s="283"/>
      <c r="I715" s="283"/>
      <c r="J715" s="283"/>
      <c r="K715" s="283"/>
      <c r="L715" s="288"/>
      <c r="M715" s="288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  <c r="AA715" s="159"/>
    </row>
    <row r="716">
      <c r="A716" s="274"/>
      <c r="B716" s="281"/>
      <c r="C716" s="282"/>
      <c r="D716" s="283"/>
      <c r="E716" s="284"/>
      <c r="F716" s="284"/>
      <c r="G716" s="285"/>
      <c r="H716" s="283"/>
      <c r="I716" s="283"/>
      <c r="J716" s="283"/>
      <c r="K716" s="283"/>
      <c r="L716" s="288"/>
      <c r="M716" s="288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  <c r="AA716" s="159"/>
    </row>
    <row r="717">
      <c r="A717" s="274"/>
      <c r="B717" s="281"/>
      <c r="C717" s="282"/>
      <c r="D717" s="283"/>
      <c r="E717" s="284"/>
      <c r="F717" s="284"/>
      <c r="G717" s="285"/>
      <c r="H717" s="283"/>
      <c r="I717" s="283"/>
      <c r="J717" s="283"/>
      <c r="K717" s="283"/>
      <c r="L717" s="288"/>
      <c r="M717" s="288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  <c r="AA717" s="159"/>
    </row>
    <row r="718">
      <c r="A718" s="274"/>
      <c r="B718" s="281"/>
      <c r="C718" s="282"/>
      <c r="D718" s="283"/>
      <c r="E718" s="284"/>
      <c r="F718" s="284"/>
      <c r="G718" s="285"/>
      <c r="H718" s="283"/>
      <c r="I718" s="283"/>
      <c r="J718" s="283"/>
      <c r="K718" s="283"/>
      <c r="L718" s="288"/>
      <c r="M718" s="288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  <c r="AA718" s="159"/>
    </row>
    <row r="719">
      <c r="A719" s="274"/>
      <c r="B719" s="281"/>
      <c r="C719" s="282"/>
      <c r="D719" s="283"/>
      <c r="E719" s="284"/>
      <c r="F719" s="284"/>
      <c r="G719" s="285"/>
      <c r="H719" s="283"/>
      <c r="I719" s="283"/>
      <c r="J719" s="283"/>
      <c r="K719" s="283"/>
      <c r="L719" s="288"/>
      <c r="M719" s="288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  <c r="AA719" s="159"/>
    </row>
    <row r="720">
      <c r="A720" s="274"/>
      <c r="B720" s="281"/>
      <c r="C720" s="282"/>
      <c r="D720" s="283"/>
      <c r="E720" s="284"/>
      <c r="F720" s="284"/>
      <c r="G720" s="285"/>
      <c r="H720" s="283"/>
      <c r="I720" s="283"/>
      <c r="J720" s="283"/>
      <c r="K720" s="283"/>
      <c r="L720" s="288"/>
      <c r="M720" s="288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  <c r="AA720" s="159"/>
    </row>
    <row r="721">
      <c r="A721" s="274"/>
      <c r="B721" s="281"/>
      <c r="C721" s="282"/>
      <c r="D721" s="283"/>
      <c r="E721" s="284"/>
      <c r="F721" s="284"/>
      <c r="G721" s="285"/>
      <c r="H721" s="283"/>
      <c r="I721" s="283"/>
      <c r="J721" s="283"/>
      <c r="K721" s="283"/>
      <c r="L721" s="288"/>
      <c r="M721" s="288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  <c r="AA721" s="159"/>
    </row>
    <row r="722">
      <c r="A722" s="274"/>
      <c r="B722" s="281"/>
      <c r="C722" s="282"/>
      <c r="D722" s="283"/>
      <c r="E722" s="284"/>
      <c r="F722" s="284"/>
      <c r="G722" s="285"/>
      <c r="H722" s="283"/>
      <c r="I722" s="283"/>
      <c r="J722" s="283"/>
      <c r="K722" s="283"/>
      <c r="L722" s="288"/>
      <c r="M722" s="288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  <c r="AA722" s="159"/>
    </row>
    <row r="723">
      <c r="A723" s="274"/>
      <c r="B723" s="281"/>
      <c r="C723" s="282"/>
      <c r="D723" s="283"/>
      <c r="E723" s="284"/>
      <c r="F723" s="284"/>
      <c r="G723" s="285"/>
      <c r="H723" s="283"/>
      <c r="I723" s="283"/>
      <c r="J723" s="283"/>
      <c r="K723" s="283"/>
      <c r="L723" s="288"/>
      <c r="M723" s="288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  <c r="AA723" s="159"/>
    </row>
    <row r="724">
      <c r="A724" s="274"/>
      <c r="B724" s="281"/>
      <c r="C724" s="282"/>
      <c r="D724" s="283"/>
      <c r="E724" s="284"/>
      <c r="F724" s="284"/>
      <c r="G724" s="285"/>
      <c r="H724" s="283"/>
      <c r="I724" s="283"/>
      <c r="J724" s="283"/>
      <c r="K724" s="283"/>
      <c r="L724" s="288"/>
      <c r="M724" s="288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  <c r="AA724" s="159"/>
    </row>
    <row r="725">
      <c r="A725" s="274"/>
      <c r="B725" s="281"/>
      <c r="C725" s="282"/>
      <c r="D725" s="283"/>
      <c r="E725" s="284"/>
      <c r="F725" s="284"/>
      <c r="G725" s="285"/>
      <c r="H725" s="283"/>
      <c r="I725" s="283"/>
      <c r="J725" s="283"/>
      <c r="K725" s="283"/>
      <c r="L725" s="288"/>
      <c r="M725" s="288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  <c r="AA725" s="159"/>
    </row>
    <row r="726">
      <c r="A726" s="274"/>
      <c r="B726" s="281"/>
      <c r="C726" s="282"/>
      <c r="D726" s="283"/>
      <c r="E726" s="284"/>
      <c r="F726" s="284"/>
      <c r="G726" s="285"/>
      <c r="H726" s="283"/>
      <c r="I726" s="283"/>
      <c r="J726" s="283"/>
      <c r="K726" s="283"/>
      <c r="L726" s="288"/>
      <c r="M726" s="288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  <c r="AA726" s="159"/>
    </row>
    <row r="727">
      <c r="A727" s="274"/>
      <c r="B727" s="281"/>
      <c r="C727" s="282"/>
      <c r="D727" s="283"/>
      <c r="E727" s="284"/>
      <c r="F727" s="284"/>
      <c r="G727" s="285"/>
      <c r="H727" s="283"/>
      <c r="I727" s="283"/>
      <c r="J727" s="283"/>
      <c r="K727" s="283"/>
      <c r="L727" s="288"/>
      <c r="M727" s="288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  <c r="AA727" s="159"/>
    </row>
    <row r="728">
      <c r="A728" s="274"/>
      <c r="B728" s="281"/>
      <c r="C728" s="282"/>
      <c r="D728" s="283"/>
      <c r="E728" s="284"/>
      <c r="F728" s="284"/>
      <c r="G728" s="285"/>
      <c r="H728" s="283"/>
      <c r="I728" s="283"/>
      <c r="J728" s="283"/>
      <c r="K728" s="283"/>
      <c r="L728" s="288"/>
      <c r="M728" s="288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  <c r="AA728" s="159"/>
    </row>
    <row r="729">
      <c r="A729" s="274"/>
      <c r="B729" s="281"/>
      <c r="C729" s="282"/>
      <c r="D729" s="283"/>
      <c r="E729" s="284"/>
      <c r="F729" s="284"/>
      <c r="G729" s="285"/>
      <c r="H729" s="283"/>
      <c r="I729" s="283"/>
      <c r="J729" s="283"/>
      <c r="K729" s="283"/>
      <c r="L729" s="288"/>
      <c r="M729" s="288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  <c r="AA729" s="159"/>
    </row>
    <row r="730">
      <c r="A730" s="274"/>
      <c r="B730" s="281"/>
      <c r="C730" s="282"/>
      <c r="D730" s="283"/>
      <c r="E730" s="284"/>
      <c r="F730" s="284"/>
      <c r="G730" s="285"/>
      <c r="H730" s="283"/>
      <c r="I730" s="283"/>
      <c r="J730" s="283"/>
      <c r="K730" s="283"/>
      <c r="L730" s="288"/>
      <c r="M730" s="288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  <c r="AA730" s="159"/>
    </row>
    <row r="731">
      <c r="A731" s="274"/>
      <c r="B731" s="281"/>
      <c r="C731" s="282"/>
      <c r="D731" s="283"/>
      <c r="E731" s="284"/>
      <c r="F731" s="284"/>
      <c r="G731" s="285"/>
      <c r="H731" s="283"/>
      <c r="I731" s="283"/>
      <c r="J731" s="283"/>
      <c r="K731" s="283"/>
      <c r="L731" s="288"/>
      <c r="M731" s="288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  <c r="AA731" s="159"/>
    </row>
    <row r="732">
      <c r="A732" s="274"/>
      <c r="B732" s="281"/>
      <c r="C732" s="282"/>
      <c r="D732" s="283"/>
      <c r="E732" s="284"/>
      <c r="F732" s="284"/>
      <c r="G732" s="285"/>
      <c r="H732" s="283"/>
      <c r="I732" s="283"/>
      <c r="J732" s="283"/>
      <c r="K732" s="283"/>
      <c r="L732" s="288"/>
      <c r="M732" s="288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  <c r="AA732" s="159"/>
    </row>
    <row r="733">
      <c r="A733" s="274"/>
      <c r="B733" s="281"/>
      <c r="C733" s="282"/>
      <c r="D733" s="283"/>
      <c r="E733" s="284"/>
      <c r="F733" s="284"/>
      <c r="G733" s="285"/>
      <c r="H733" s="283"/>
      <c r="I733" s="283"/>
      <c r="J733" s="283"/>
      <c r="K733" s="283"/>
      <c r="L733" s="288"/>
      <c r="M733" s="288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  <c r="AA733" s="159"/>
    </row>
    <row r="734">
      <c r="A734" s="274"/>
      <c r="B734" s="281"/>
      <c r="C734" s="282"/>
      <c r="D734" s="283"/>
      <c r="E734" s="284"/>
      <c r="F734" s="284"/>
      <c r="G734" s="285"/>
      <c r="H734" s="283"/>
      <c r="I734" s="283"/>
      <c r="J734" s="283"/>
      <c r="K734" s="283"/>
      <c r="L734" s="288"/>
      <c r="M734" s="288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  <c r="AA734" s="159"/>
    </row>
    <row r="735">
      <c r="A735" s="274"/>
      <c r="B735" s="281"/>
      <c r="C735" s="282"/>
      <c r="D735" s="283"/>
      <c r="E735" s="284"/>
      <c r="F735" s="284"/>
      <c r="G735" s="285"/>
      <c r="H735" s="283"/>
      <c r="I735" s="283"/>
      <c r="J735" s="283"/>
      <c r="K735" s="283"/>
      <c r="L735" s="288"/>
      <c r="M735" s="288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  <c r="AA735" s="159"/>
    </row>
    <row r="736">
      <c r="A736" s="274"/>
      <c r="B736" s="281"/>
      <c r="C736" s="282"/>
      <c r="D736" s="283"/>
      <c r="E736" s="284"/>
      <c r="F736" s="284"/>
      <c r="G736" s="285"/>
      <c r="H736" s="283"/>
      <c r="I736" s="283"/>
      <c r="J736" s="283"/>
      <c r="K736" s="283"/>
      <c r="L736" s="288"/>
      <c r="M736" s="288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  <c r="AA736" s="159"/>
    </row>
    <row r="737">
      <c r="A737" s="274"/>
      <c r="B737" s="281"/>
      <c r="C737" s="282"/>
      <c r="D737" s="283"/>
      <c r="E737" s="284"/>
      <c r="F737" s="284"/>
      <c r="G737" s="285"/>
      <c r="H737" s="283"/>
      <c r="I737" s="283"/>
      <c r="J737" s="283"/>
      <c r="K737" s="283"/>
      <c r="L737" s="288"/>
      <c r="M737" s="288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  <c r="AA737" s="159"/>
    </row>
    <row r="738">
      <c r="A738" s="274"/>
      <c r="B738" s="281"/>
      <c r="C738" s="282"/>
      <c r="D738" s="283"/>
      <c r="E738" s="284"/>
      <c r="F738" s="284"/>
      <c r="G738" s="285"/>
      <c r="H738" s="283"/>
      <c r="I738" s="283"/>
      <c r="J738" s="283"/>
      <c r="K738" s="283"/>
      <c r="L738" s="288"/>
      <c r="M738" s="288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  <c r="AA738" s="159"/>
    </row>
    <row r="739">
      <c r="A739" s="274"/>
      <c r="B739" s="281"/>
      <c r="C739" s="282"/>
      <c r="D739" s="283"/>
      <c r="E739" s="284"/>
      <c r="F739" s="284"/>
      <c r="G739" s="285"/>
      <c r="H739" s="283"/>
      <c r="I739" s="283"/>
      <c r="J739" s="283"/>
      <c r="K739" s="283"/>
      <c r="L739" s="288"/>
      <c r="M739" s="288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  <c r="AA739" s="159"/>
    </row>
    <row r="740">
      <c r="A740" s="274"/>
      <c r="B740" s="281"/>
      <c r="C740" s="282"/>
      <c r="D740" s="283"/>
      <c r="E740" s="284"/>
      <c r="F740" s="284"/>
      <c r="G740" s="285"/>
      <c r="H740" s="283"/>
      <c r="I740" s="283"/>
      <c r="J740" s="283"/>
      <c r="K740" s="283"/>
      <c r="L740" s="288"/>
      <c r="M740" s="288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  <c r="AA740" s="159"/>
    </row>
    <row r="741">
      <c r="A741" s="274"/>
      <c r="B741" s="281"/>
      <c r="C741" s="282"/>
      <c r="D741" s="283"/>
      <c r="E741" s="284"/>
      <c r="F741" s="284"/>
      <c r="G741" s="285"/>
      <c r="H741" s="283"/>
      <c r="I741" s="283"/>
      <c r="J741" s="283"/>
      <c r="K741" s="283"/>
      <c r="L741" s="288"/>
      <c r="M741" s="288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  <c r="AA741" s="159"/>
    </row>
    <row r="742">
      <c r="A742" s="274"/>
      <c r="B742" s="281"/>
      <c r="C742" s="282"/>
      <c r="D742" s="283"/>
      <c r="E742" s="284"/>
      <c r="F742" s="284"/>
      <c r="G742" s="285"/>
      <c r="H742" s="283"/>
      <c r="I742" s="283"/>
      <c r="J742" s="283"/>
      <c r="K742" s="283"/>
      <c r="L742" s="288"/>
      <c r="M742" s="288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  <c r="AA742" s="159"/>
    </row>
    <row r="743">
      <c r="A743" s="274"/>
      <c r="B743" s="281"/>
      <c r="C743" s="282"/>
      <c r="D743" s="283"/>
      <c r="E743" s="284"/>
      <c r="F743" s="284"/>
      <c r="G743" s="285"/>
      <c r="H743" s="283"/>
      <c r="I743" s="283"/>
      <c r="J743" s="283"/>
      <c r="K743" s="283"/>
      <c r="L743" s="288"/>
      <c r="M743" s="288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  <c r="AA743" s="159"/>
    </row>
    <row r="744">
      <c r="A744" s="274"/>
      <c r="B744" s="281"/>
      <c r="C744" s="282"/>
      <c r="D744" s="283"/>
      <c r="E744" s="284"/>
      <c r="F744" s="284"/>
      <c r="G744" s="285"/>
      <c r="H744" s="283"/>
      <c r="I744" s="283"/>
      <c r="J744" s="283"/>
      <c r="K744" s="283"/>
      <c r="L744" s="288"/>
      <c r="M744" s="288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  <c r="AA744" s="159"/>
    </row>
    <row r="745">
      <c r="A745" s="274"/>
      <c r="B745" s="281"/>
      <c r="C745" s="282"/>
      <c r="D745" s="283"/>
      <c r="E745" s="284"/>
      <c r="F745" s="284"/>
      <c r="G745" s="285"/>
      <c r="H745" s="283"/>
      <c r="I745" s="283"/>
      <c r="J745" s="283"/>
      <c r="K745" s="283"/>
      <c r="L745" s="288"/>
      <c r="M745" s="288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  <c r="AA745" s="159"/>
    </row>
    <row r="746">
      <c r="A746" s="274"/>
      <c r="B746" s="281"/>
      <c r="C746" s="282"/>
      <c r="D746" s="283"/>
      <c r="E746" s="284"/>
      <c r="F746" s="284"/>
      <c r="G746" s="285"/>
      <c r="H746" s="283"/>
      <c r="I746" s="283"/>
      <c r="J746" s="283"/>
      <c r="K746" s="283"/>
      <c r="L746" s="288"/>
      <c r="M746" s="288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  <c r="AA746" s="159"/>
    </row>
    <row r="747">
      <c r="A747" s="274"/>
      <c r="B747" s="281"/>
      <c r="C747" s="282"/>
      <c r="D747" s="283"/>
      <c r="E747" s="284"/>
      <c r="F747" s="284"/>
      <c r="G747" s="285"/>
      <c r="H747" s="283"/>
      <c r="I747" s="283"/>
      <c r="J747" s="283"/>
      <c r="K747" s="283"/>
      <c r="L747" s="288"/>
      <c r="M747" s="288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  <c r="AA747" s="159"/>
    </row>
    <row r="748">
      <c r="A748" s="274"/>
      <c r="B748" s="281"/>
      <c r="C748" s="282"/>
      <c r="D748" s="283"/>
      <c r="E748" s="284"/>
      <c r="F748" s="284"/>
      <c r="G748" s="285"/>
      <c r="H748" s="283"/>
      <c r="I748" s="283"/>
      <c r="J748" s="283"/>
      <c r="K748" s="283"/>
      <c r="L748" s="288"/>
      <c r="M748" s="288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  <c r="AA748" s="159"/>
    </row>
    <row r="749">
      <c r="A749" s="274"/>
      <c r="B749" s="281"/>
      <c r="C749" s="282"/>
      <c r="D749" s="283"/>
      <c r="E749" s="284"/>
      <c r="F749" s="284"/>
      <c r="G749" s="285"/>
      <c r="H749" s="283"/>
      <c r="I749" s="283"/>
      <c r="J749" s="283"/>
      <c r="K749" s="283"/>
      <c r="L749" s="288"/>
      <c r="M749" s="288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  <c r="AA749" s="159"/>
    </row>
    <row r="750">
      <c r="A750" s="274"/>
      <c r="B750" s="281"/>
      <c r="C750" s="282"/>
      <c r="D750" s="283"/>
      <c r="E750" s="284"/>
      <c r="F750" s="284"/>
      <c r="G750" s="285"/>
      <c r="H750" s="283"/>
      <c r="I750" s="283"/>
      <c r="J750" s="283"/>
      <c r="K750" s="283"/>
      <c r="L750" s="288"/>
      <c r="M750" s="288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  <c r="AA750" s="159"/>
    </row>
    <row r="751">
      <c r="A751" s="274"/>
      <c r="B751" s="281"/>
      <c r="C751" s="282"/>
      <c r="D751" s="283"/>
      <c r="E751" s="284"/>
      <c r="F751" s="284"/>
      <c r="G751" s="285"/>
      <c r="H751" s="283"/>
      <c r="I751" s="283"/>
      <c r="J751" s="283"/>
      <c r="K751" s="283"/>
      <c r="L751" s="288"/>
      <c r="M751" s="288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  <c r="AA751" s="159"/>
    </row>
    <row r="752">
      <c r="A752" s="274"/>
      <c r="B752" s="281"/>
      <c r="C752" s="282"/>
      <c r="D752" s="283"/>
      <c r="E752" s="284"/>
      <c r="F752" s="284"/>
      <c r="G752" s="285"/>
      <c r="H752" s="283"/>
      <c r="I752" s="283"/>
      <c r="J752" s="283"/>
      <c r="K752" s="283"/>
      <c r="L752" s="288"/>
      <c r="M752" s="288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  <c r="AA752" s="159"/>
    </row>
    <row r="753">
      <c r="A753" s="274"/>
      <c r="B753" s="281"/>
      <c r="C753" s="282"/>
      <c r="D753" s="283"/>
      <c r="E753" s="284"/>
      <c r="F753" s="284"/>
      <c r="G753" s="285"/>
      <c r="H753" s="283"/>
      <c r="I753" s="283"/>
      <c r="J753" s="283"/>
      <c r="K753" s="283"/>
      <c r="L753" s="288"/>
      <c r="M753" s="288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  <c r="AA753" s="159"/>
    </row>
    <row r="754">
      <c r="A754" s="274"/>
      <c r="B754" s="281"/>
      <c r="C754" s="282"/>
      <c r="D754" s="283"/>
      <c r="E754" s="284"/>
      <c r="F754" s="284"/>
      <c r="G754" s="285"/>
      <c r="H754" s="283"/>
      <c r="I754" s="283"/>
      <c r="J754" s="283"/>
      <c r="K754" s="283"/>
      <c r="L754" s="288"/>
      <c r="M754" s="288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  <c r="AA754" s="159"/>
    </row>
    <row r="755">
      <c r="A755" s="274"/>
      <c r="B755" s="281"/>
      <c r="C755" s="282"/>
      <c r="D755" s="283"/>
      <c r="E755" s="284"/>
      <c r="F755" s="284"/>
      <c r="G755" s="285"/>
      <c r="H755" s="283"/>
      <c r="I755" s="283"/>
      <c r="J755" s="283"/>
      <c r="K755" s="283"/>
      <c r="L755" s="288"/>
      <c r="M755" s="288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  <c r="AA755" s="159"/>
    </row>
    <row r="756">
      <c r="A756" s="274"/>
      <c r="B756" s="281"/>
      <c r="C756" s="282"/>
      <c r="D756" s="283"/>
      <c r="E756" s="284"/>
      <c r="F756" s="284"/>
      <c r="G756" s="285"/>
      <c r="H756" s="283"/>
      <c r="I756" s="283"/>
      <c r="J756" s="283"/>
      <c r="K756" s="283"/>
      <c r="L756" s="288"/>
      <c r="M756" s="288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  <c r="AA756" s="159"/>
    </row>
    <row r="757">
      <c r="A757" s="274"/>
      <c r="B757" s="281"/>
      <c r="C757" s="282"/>
      <c r="D757" s="283"/>
      <c r="E757" s="284"/>
      <c r="F757" s="284"/>
      <c r="G757" s="285"/>
      <c r="H757" s="283"/>
      <c r="I757" s="283"/>
      <c r="J757" s="283"/>
      <c r="K757" s="283"/>
      <c r="L757" s="288"/>
      <c r="M757" s="288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  <c r="AA757" s="159"/>
    </row>
    <row r="758">
      <c r="A758" s="274"/>
      <c r="B758" s="281"/>
      <c r="C758" s="282"/>
      <c r="D758" s="283"/>
      <c r="E758" s="284"/>
      <c r="F758" s="284"/>
      <c r="G758" s="285"/>
      <c r="H758" s="283"/>
      <c r="I758" s="283"/>
      <c r="J758" s="283"/>
      <c r="K758" s="283"/>
      <c r="L758" s="288"/>
      <c r="M758" s="288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  <c r="AA758" s="159"/>
    </row>
    <row r="759">
      <c r="A759" s="274"/>
      <c r="B759" s="281"/>
      <c r="C759" s="282"/>
      <c r="D759" s="283"/>
      <c r="E759" s="284"/>
      <c r="F759" s="284"/>
      <c r="G759" s="285"/>
      <c r="H759" s="283"/>
      <c r="I759" s="283"/>
      <c r="J759" s="283"/>
      <c r="K759" s="283"/>
      <c r="L759" s="288"/>
      <c r="M759" s="288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  <c r="AA759" s="159"/>
    </row>
    <row r="760">
      <c r="A760" s="274"/>
      <c r="B760" s="281"/>
      <c r="C760" s="282"/>
      <c r="D760" s="283"/>
      <c r="E760" s="284"/>
      <c r="F760" s="284"/>
      <c r="G760" s="285"/>
      <c r="H760" s="283"/>
      <c r="I760" s="283"/>
      <c r="J760" s="283"/>
      <c r="K760" s="283"/>
      <c r="L760" s="288"/>
      <c r="M760" s="288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  <c r="AA760" s="159"/>
    </row>
    <row r="761">
      <c r="A761" s="274"/>
      <c r="B761" s="281"/>
      <c r="C761" s="282"/>
      <c r="D761" s="283"/>
      <c r="E761" s="284"/>
      <c r="F761" s="284"/>
      <c r="G761" s="285"/>
      <c r="H761" s="283"/>
      <c r="I761" s="283"/>
      <c r="J761" s="283"/>
      <c r="K761" s="283"/>
      <c r="L761" s="288"/>
      <c r="M761" s="288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  <c r="AA761" s="159"/>
    </row>
    <row r="762">
      <c r="A762" s="274"/>
      <c r="B762" s="281"/>
      <c r="C762" s="282"/>
      <c r="D762" s="283"/>
      <c r="E762" s="284"/>
      <c r="F762" s="284"/>
      <c r="G762" s="285"/>
      <c r="H762" s="283"/>
      <c r="I762" s="283"/>
      <c r="J762" s="283"/>
      <c r="K762" s="283"/>
      <c r="L762" s="288"/>
      <c r="M762" s="288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  <c r="AA762" s="159"/>
    </row>
    <row r="763">
      <c r="A763" s="274"/>
      <c r="B763" s="281"/>
      <c r="C763" s="282"/>
      <c r="D763" s="283"/>
      <c r="E763" s="284"/>
      <c r="F763" s="284"/>
      <c r="G763" s="285"/>
      <c r="H763" s="283"/>
      <c r="I763" s="283"/>
      <c r="J763" s="283"/>
      <c r="K763" s="283"/>
      <c r="L763" s="288"/>
      <c r="M763" s="288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  <c r="AA763" s="159"/>
    </row>
    <row r="764">
      <c r="A764" s="274"/>
      <c r="B764" s="281"/>
      <c r="C764" s="282"/>
      <c r="D764" s="283"/>
      <c r="E764" s="284"/>
      <c r="F764" s="284"/>
      <c r="G764" s="285"/>
      <c r="H764" s="283"/>
      <c r="I764" s="283"/>
      <c r="J764" s="283"/>
      <c r="K764" s="283"/>
      <c r="L764" s="288"/>
      <c r="M764" s="288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  <c r="AA764" s="159"/>
    </row>
    <row r="765">
      <c r="A765" s="274"/>
      <c r="B765" s="281"/>
      <c r="C765" s="282"/>
      <c r="D765" s="283"/>
      <c r="E765" s="284"/>
      <c r="F765" s="284"/>
      <c r="G765" s="285"/>
      <c r="H765" s="283"/>
      <c r="I765" s="283"/>
      <c r="J765" s="283"/>
      <c r="K765" s="283"/>
      <c r="L765" s="288"/>
      <c r="M765" s="288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  <c r="AA765" s="159"/>
    </row>
    <row r="766">
      <c r="A766" s="274"/>
      <c r="B766" s="281"/>
      <c r="C766" s="282"/>
      <c r="D766" s="283"/>
      <c r="E766" s="284"/>
      <c r="F766" s="284"/>
      <c r="G766" s="285"/>
      <c r="H766" s="283"/>
      <c r="I766" s="283"/>
      <c r="J766" s="283"/>
      <c r="K766" s="283"/>
      <c r="L766" s="288"/>
      <c r="M766" s="288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  <c r="AA766" s="159"/>
    </row>
    <row r="767">
      <c r="A767" s="274"/>
      <c r="B767" s="281"/>
      <c r="C767" s="282"/>
      <c r="D767" s="283"/>
      <c r="E767" s="284"/>
      <c r="F767" s="284"/>
      <c r="G767" s="285"/>
      <c r="H767" s="283"/>
      <c r="I767" s="283"/>
      <c r="J767" s="283"/>
      <c r="K767" s="283"/>
      <c r="L767" s="288"/>
      <c r="M767" s="288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  <c r="AA767" s="159"/>
    </row>
    <row r="768">
      <c r="A768" s="274"/>
      <c r="B768" s="281"/>
      <c r="C768" s="282"/>
      <c r="D768" s="283"/>
      <c r="E768" s="284"/>
      <c r="F768" s="284"/>
      <c r="G768" s="285"/>
      <c r="H768" s="283"/>
      <c r="I768" s="283"/>
      <c r="J768" s="283"/>
      <c r="K768" s="283"/>
      <c r="L768" s="288"/>
      <c r="M768" s="288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  <c r="AA768" s="159"/>
    </row>
    <row r="769">
      <c r="A769" s="274"/>
      <c r="B769" s="281"/>
      <c r="C769" s="282"/>
      <c r="D769" s="283"/>
      <c r="E769" s="284"/>
      <c r="F769" s="284"/>
      <c r="G769" s="285"/>
      <c r="H769" s="283"/>
      <c r="I769" s="283"/>
      <c r="J769" s="283"/>
      <c r="K769" s="283"/>
      <c r="L769" s="288"/>
      <c r="M769" s="288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  <c r="AA769" s="159"/>
    </row>
    <row r="770">
      <c r="A770" s="274"/>
      <c r="B770" s="281"/>
      <c r="C770" s="282"/>
      <c r="D770" s="283"/>
      <c r="E770" s="284"/>
      <c r="F770" s="284"/>
      <c r="G770" s="285"/>
      <c r="H770" s="283"/>
      <c r="I770" s="283"/>
      <c r="J770" s="283"/>
      <c r="K770" s="283"/>
      <c r="L770" s="288"/>
      <c r="M770" s="288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  <c r="AA770" s="159"/>
    </row>
    <row r="771">
      <c r="A771" s="274"/>
      <c r="B771" s="281"/>
      <c r="C771" s="282"/>
      <c r="D771" s="283"/>
      <c r="E771" s="284"/>
      <c r="F771" s="284"/>
      <c r="G771" s="285"/>
      <c r="H771" s="283"/>
      <c r="I771" s="283"/>
      <c r="J771" s="283"/>
      <c r="K771" s="283"/>
      <c r="L771" s="288"/>
      <c r="M771" s="288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  <c r="AA771" s="159"/>
    </row>
    <row r="772">
      <c r="A772" s="274"/>
      <c r="B772" s="281"/>
      <c r="C772" s="282"/>
      <c r="D772" s="283"/>
      <c r="E772" s="284"/>
      <c r="F772" s="284"/>
      <c r="G772" s="285"/>
      <c r="H772" s="283"/>
      <c r="I772" s="283"/>
      <c r="J772" s="283"/>
      <c r="K772" s="283"/>
      <c r="L772" s="288"/>
      <c r="M772" s="288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  <c r="AA772" s="159"/>
    </row>
    <row r="773">
      <c r="A773" s="274"/>
      <c r="B773" s="281"/>
      <c r="C773" s="282"/>
      <c r="D773" s="283"/>
      <c r="E773" s="284"/>
      <c r="F773" s="284"/>
      <c r="G773" s="285"/>
      <c r="H773" s="283"/>
      <c r="I773" s="283"/>
      <c r="J773" s="283"/>
      <c r="K773" s="283"/>
      <c r="L773" s="288"/>
      <c r="M773" s="288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  <c r="AA773" s="159"/>
    </row>
    <row r="774">
      <c r="A774" s="274"/>
      <c r="B774" s="281"/>
      <c r="C774" s="282"/>
      <c r="D774" s="283"/>
      <c r="E774" s="284"/>
      <c r="F774" s="284"/>
      <c r="G774" s="285"/>
      <c r="H774" s="283"/>
      <c r="I774" s="283"/>
      <c r="J774" s="283"/>
      <c r="K774" s="283"/>
      <c r="L774" s="288"/>
      <c r="M774" s="288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  <c r="AA774" s="159"/>
    </row>
    <row r="775">
      <c r="A775" s="274"/>
      <c r="B775" s="281"/>
      <c r="C775" s="282"/>
      <c r="D775" s="283"/>
      <c r="E775" s="284"/>
      <c r="F775" s="284"/>
      <c r="G775" s="285"/>
      <c r="H775" s="283"/>
      <c r="I775" s="283"/>
      <c r="J775" s="283"/>
      <c r="K775" s="283"/>
      <c r="L775" s="288"/>
      <c r="M775" s="288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  <c r="AA775" s="159"/>
    </row>
    <row r="776">
      <c r="A776" s="274"/>
      <c r="B776" s="281"/>
      <c r="C776" s="282"/>
      <c r="D776" s="283"/>
      <c r="E776" s="284"/>
      <c r="F776" s="284"/>
      <c r="G776" s="285"/>
      <c r="H776" s="283"/>
      <c r="I776" s="283"/>
      <c r="J776" s="283"/>
      <c r="K776" s="283"/>
      <c r="L776" s="288"/>
      <c r="M776" s="288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  <c r="AA776" s="159"/>
    </row>
    <row r="777">
      <c r="A777" s="274"/>
      <c r="B777" s="281"/>
      <c r="C777" s="282"/>
      <c r="D777" s="283"/>
      <c r="E777" s="284"/>
      <c r="F777" s="284"/>
      <c r="G777" s="285"/>
      <c r="H777" s="283"/>
      <c r="I777" s="283"/>
      <c r="J777" s="283"/>
      <c r="K777" s="283"/>
      <c r="L777" s="288"/>
      <c r="M777" s="288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  <c r="AA777" s="159"/>
    </row>
    <row r="778">
      <c r="A778" s="274"/>
      <c r="B778" s="281"/>
      <c r="C778" s="282"/>
      <c r="D778" s="283"/>
      <c r="E778" s="284"/>
      <c r="F778" s="284"/>
      <c r="G778" s="285"/>
      <c r="H778" s="283"/>
      <c r="I778" s="283"/>
      <c r="J778" s="283"/>
      <c r="K778" s="283"/>
      <c r="L778" s="288"/>
      <c r="M778" s="288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  <c r="AA778" s="159"/>
    </row>
    <row r="779">
      <c r="A779" s="274"/>
      <c r="B779" s="281"/>
      <c r="C779" s="282"/>
      <c r="D779" s="283"/>
      <c r="E779" s="284"/>
      <c r="F779" s="284"/>
      <c r="G779" s="285"/>
      <c r="H779" s="283"/>
      <c r="I779" s="283"/>
      <c r="J779" s="283"/>
      <c r="K779" s="283"/>
      <c r="L779" s="288"/>
      <c r="M779" s="288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  <c r="AA779" s="159"/>
    </row>
    <row r="780">
      <c r="A780" s="274"/>
      <c r="B780" s="281"/>
      <c r="C780" s="282"/>
      <c r="D780" s="283"/>
      <c r="E780" s="284"/>
      <c r="F780" s="284"/>
      <c r="G780" s="285"/>
      <c r="H780" s="283"/>
      <c r="I780" s="283"/>
      <c r="J780" s="283"/>
      <c r="K780" s="283"/>
      <c r="L780" s="288"/>
      <c r="M780" s="288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  <c r="AA780" s="159"/>
    </row>
    <row r="781">
      <c r="A781" s="274"/>
      <c r="B781" s="281"/>
      <c r="C781" s="282"/>
      <c r="D781" s="283"/>
      <c r="E781" s="284"/>
      <c r="F781" s="284"/>
      <c r="G781" s="285"/>
      <c r="H781" s="283"/>
      <c r="I781" s="283"/>
      <c r="J781" s="283"/>
      <c r="K781" s="283"/>
      <c r="L781" s="288"/>
      <c r="M781" s="288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  <c r="AA781" s="159"/>
    </row>
    <row r="782">
      <c r="A782" s="274"/>
      <c r="B782" s="281"/>
      <c r="C782" s="282"/>
      <c r="D782" s="283"/>
      <c r="E782" s="284"/>
      <c r="F782" s="284"/>
      <c r="G782" s="285"/>
      <c r="H782" s="283"/>
      <c r="I782" s="283"/>
      <c r="J782" s="283"/>
      <c r="K782" s="283"/>
      <c r="L782" s="288"/>
      <c r="M782" s="288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  <c r="AA782" s="159"/>
    </row>
    <row r="783">
      <c r="A783" s="274"/>
      <c r="B783" s="281"/>
      <c r="C783" s="282"/>
      <c r="D783" s="283"/>
      <c r="E783" s="284"/>
      <c r="F783" s="284"/>
      <c r="G783" s="285"/>
      <c r="H783" s="283"/>
      <c r="I783" s="283"/>
      <c r="J783" s="283"/>
      <c r="K783" s="283"/>
      <c r="L783" s="288"/>
      <c r="M783" s="288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  <c r="AA783" s="159"/>
    </row>
    <row r="784">
      <c r="A784" s="274"/>
      <c r="B784" s="281"/>
      <c r="C784" s="282"/>
      <c r="D784" s="283"/>
      <c r="E784" s="284"/>
      <c r="F784" s="284"/>
      <c r="G784" s="285"/>
      <c r="H784" s="283"/>
      <c r="I784" s="283"/>
      <c r="J784" s="283"/>
      <c r="K784" s="283"/>
      <c r="L784" s="288"/>
      <c r="M784" s="288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  <c r="AA784" s="159"/>
    </row>
    <row r="785">
      <c r="A785" s="274"/>
      <c r="B785" s="281"/>
      <c r="C785" s="282"/>
      <c r="D785" s="283"/>
      <c r="E785" s="284"/>
      <c r="F785" s="284"/>
      <c r="G785" s="285"/>
      <c r="H785" s="283"/>
      <c r="I785" s="283"/>
      <c r="J785" s="283"/>
      <c r="K785" s="283"/>
      <c r="L785" s="288"/>
      <c r="M785" s="288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  <c r="AA785" s="159"/>
    </row>
    <row r="786">
      <c r="A786" s="274"/>
      <c r="B786" s="281"/>
      <c r="C786" s="282"/>
      <c r="D786" s="283"/>
      <c r="E786" s="284"/>
      <c r="F786" s="284"/>
      <c r="G786" s="285"/>
      <c r="H786" s="283"/>
      <c r="I786" s="283"/>
      <c r="J786" s="283"/>
      <c r="K786" s="283"/>
      <c r="L786" s="288"/>
      <c r="M786" s="288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  <c r="AA786" s="159"/>
    </row>
    <row r="787">
      <c r="A787" s="274"/>
      <c r="B787" s="281"/>
      <c r="C787" s="282"/>
      <c r="D787" s="283"/>
      <c r="E787" s="284"/>
      <c r="F787" s="284"/>
      <c r="G787" s="285"/>
      <c r="H787" s="283"/>
      <c r="I787" s="283"/>
      <c r="J787" s="283"/>
      <c r="K787" s="283"/>
      <c r="L787" s="288"/>
      <c r="M787" s="288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  <c r="AA787" s="159"/>
    </row>
    <row r="788">
      <c r="A788" s="274"/>
      <c r="B788" s="281"/>
      <c r="C788" s="282"/>
      <c r="D788" s="283"/>
      <c r="E788" s="284"/>
      <c r="F788" s="284"/>
      <c r="G788" s="285"/>
      <c r="H788" s="283"/>
      <c r="I788" s="283"/>
      <c r="J788" s="283"/>
      <c r="K788" s="283"/>
      <c r="L788" s="288"/>
      <c r="M788" s="288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  <c r="AA788" s="159"/>
    </row>
    <row r="789">
      <c r="A789" s="274"/>
      <c r="B789" s="281"/>
      <c r="C789" s="282"/>
      <c r="D789" s="283"/>
      <c r="E789" s="284"/>
      <c r="F789" s="284"/>
      <c r="G789" s="285"/>
      <c r="H789" s="283"/>
      <c r="I789" s="283"/>
      <c r="J789" s="283"/>
      <c r="K789" s="283"/>
      <c r="L789" s="288"/>
      <c r="M789" s="288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  <c r="AA789" s="159"/>
    </row>
    <row r="790">
      <c r="A790" s="274"/>
      <c r="B790" s="281"/>
      <c r="C790" s="282"/>
      <c r="D790" s="283"/>
      <c r="E790" s="284"/>
      <c r="F790" s="284"/>
      <c r="G790" s="285"/>
      <c r="H790" s="283"/>
      <c r="I790" s="283"/>
      <c r="J790" s="283"/>
      <c r="K790" s="283"/>
      <c r="L790" s="288"/>
      <c r="M790" s="288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  <c r="AA790" s="159"/>
    </row>
    <row r="791">
      <c r="A791" s="274"/>
      <c r="B791" s="281"/>
      <c r="C791" s="282"/>
      <c r="D791" s="283"/>
      <c r="E791" s="284"/>
      <c r="F791" s="284"/>
      <c r="G791" s="285"/>
      <c r="H791" s="283"/>
      <c r="I791" s="283"/>
      <c r="J791" s="283"/>
      <c r="K791" s="283"/>
      <c r="L791" s="288"/>
      <c r="M791" s="288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  <c r="AA791" s="159"/>
    </row>
    <row r="792">
      <c r="A792" s="274"/>
      <c r="B792" s="281"/>
      <c r="C792" s="282"/>
      <c r="D792" s="283"/>
      <c r="E792" s="284"/>
      <c r="F792" s="284"/>
      <c r="G792" s="285"/>
      <c r="H792" s="283"/>
      <c r="I792" s="283"/>
      <c r="J792" s="283"/>
      <c r="K792" s="283"/>
      <c r="L792" s="288"/>
      <c r="M792" s="288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  <c r="AA792" s="159"/>
    </row>
    <row r="793">
      <c r="A793" s="274"/>
      <c r="B793" s="281"/>
      <c r="C793" s="282"/>
      <c r="D793" s="283"/>
      <c r="E793" s="284"/>
      <c r="F793" s="284"/>
      <c r="G793" s="285"/>
      <c r="H793" s="283"/>
      <c r="I793" s="283"/>
      <c r="J793" s="283"/>
      <c r="K793" s="283"/>
      <c r="L793" s="288"/>
      <c r="M793" s="288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  <c r="AA793" s="159"/>
    </row>
    <row r="794">
      <c r="A794" s="274"/>
      <c r="B794" s="281"/>
      <c r="C794" s="282"/>
      <c r="D794" s="283"/>
      <c r="E794" s="284"/>
      <c r="F794" s="284"/>
      <c r="G794" s="285"/>
      <c r="H794" s="283"/>
      <c r="I794" s="283"/>
      <c r="J794" s="283"/>
      <c r="K794" s="283"/>
      <c r="L794" s="288"/>
      <c r="M794" s="288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  <c r="AA794" s="159"/>
    </row>
    <row r="795">
      <c r="A795" s="274"/>
      <c r="B795" s="281"/>
      <c r="C795" s="282"/>
      <c r="D795" s="283"/>
      <c r="E795" s="284"/>
      <c r="F795" s="284"/>
      <c r="G795" s="285"/>
      <c r="H795" s="283"/>
      <c r="I795" s="283"/>
      <c r="J795" s="283"/>
      <c r="K795" s="283"/>
      <c r="L795" s="288"/>
      <c r="M795" s="288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  <c r="AA795" s="159"/>
    </row>
    <row r="796">
      <c r="A796" s="274"/>
      <c r="B796" s="281"/>
      <c r="C796" s="282"/>
      <c r="D796" s="283"/>
      <c r="E796" s="284"/>
      <c r="F796" s="284"/>
      <c r="G796" s="285"/>
      <c r="H796" s="283"/>
      <c r="I796" s="283"/>
      <c r="J796" s="283"/>
      <c r="K796" s="283"/>
      <c r="L796" s="288"/>
      <c r="M796" s="288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  <c r="AA796" s="159"/>
    </row>
    <row r="797">
      <c r="A797" s="274"/>
      <c r="B797" s="281"/>
      <c r="C797" s="282"/>
      <c r="D797" s="283"/>
      <c r="E797" s="284"/>
      <c r="F797" s="284"/>
      <c r="G797" s="285"/>
      <c r="H797" s="283"/>
      <c r="I797" s="283"/>
      <c r="J797" s="283"/>
      <c r="K797" s="283"/>
      <c r="L797" s="288"/>
      <c r="M797" s="288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  <c r="AA797" s="159"/>
    </row>
    <row r="798">
      <c r="A798" s="274"/>
      <c r="B798" s="281"/>
      <c r="C798" s="282"/>
      <c r="D798" s="283"/>
      <c r="E798" s="284"/>
      <c r="F798" s="284"/>
      <c r="G798" s="285"/>
      <c r="H798" s="283"/>
      <c r="I798" s="283"/>
      <c r="J798" s="283"/>
      <c r="K798" s="283"/>
      <c r="L798" s="288"/>
      <c r="M798" s="288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  <c r="AA798" s="159"/>
    </row>
    <row r="799">
      <c r="A799" s="274"/>
      <c r="B799" s="281"/>
      <c r="C799" s="282"/>
      <c r="D799" s="283"/>
      <c r="E799" s="284"/>
      <c r="F799" s="284"/>
      <c r="G799" s="285"/>
      <c r="H799" s="283"/>
      <c r="I799" s="283"/>
      <c r="J799" s="283"/>
      <c r="K799" s="283"/>
      <c r="L799" s="288"/>
      <c r="M799" s="288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  <c r="AA799" s="159"/>
    </row>
    <row r="800">
      <c r="A800" s="274"/>
      <c r="B800" s="281"/>
      <c r="C800" s="282"/>
      <c r="D800" s="283"/>
      <c r="E800" s="284"/>
      <c r="F800" s="284"/>
      <c r="G800" s="285"/>
      <c r="H800" s="283"/>
      <c r="I800" s="283"/>
      <c r="J800" s="283"/>
      <c r="K800" s="283"/>
      <c r="L800" s="288"/>
      <c r="M800" s="288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  <c r="AA800" s="159"/>
    </row>
    <row r="801">
      <c r="A801" s="274"/>
      <c r="B801" s="281"/>
      <c r="C801" s="282"/>
      <c r="D801" s="283"/>
      <c r="E801" s="284"/>
      <c r="F801" s="284"/>
      <c r="G801" s="285"/>
      <c r="H801" s="283"/>
      <c r="I801" s="283"/>
      <c r="J801" s="283"/>
      <c r="K801" s="283"/>
      <c r="L801" s="288"/>
      <c r="M801" s="288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  <c r="AA801" s="159"/>
    </row>
    <row r="802">
      <c r="A802" s="274"/>
      <c r="B802" s="281"/>
      <c r="C802" s="282"/>
      <c r="D802" s="283"/>
      <c r="E802" s="284"/>
      <c r="F802" s="284"/>
      <c r="G802" s="285"/>
      <c r="H802" s="283"/>
      <c r="I802" s="283"/>
      <c r="J802" s="283"/>
      <c r="K802" s="283"/>
      <c r="L802" s="288"/>
      <c r="M802" s="288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  <c r="AA802" s="159"/>
    </row>
    <row r="803">
      <c r="A803" s="274"/>
      <c r="B803" s="281"/>
      <c r="C803" s="282"/>
      <c r="D803" s="283"/>
      <c r="E803" s="284"/>
      <c r="F803" s="284"/>
      <c r="G803" s="285"/>
      <c r="H803" s="283"/>
      <c r="I803" s="283"/>
      <c r="J803" s="283"/>
      <c r="K803" s="283"/>
      <c r="L803" s="288"/>
      <c r="M803" s="288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  <c r="AA803" s="159"/>
    </row>
    <row r="804">
      <c r="A804" s="274"/>
      <c r="B804" s="281"/>
      <c r="C804" s="282"/>
      <c r="D804" s="283"/>
      <c r="E804" s="284"/>
      <c r="F804" s="284"/>
      <c r="G804" s="285"/>
      <c r="H804" s="283"/>
      <c r="I804" s="283"/>
      <c r="J804" s="283"/>
      <c r="K804" s="283"/>
      <c r="L804" s="288"/>
      <c r="M804" s="288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  <c r="AA804" s="159"/>
    </row>
    <row r="805">
      <c r="A805" s="274"/>
      <c r="B805" s="281"/>
      <c r="C805" s="282"/>
      <c r="D805" s="283"/>
      <c r="E805" s="284"/>
      <c r="F805" s="284"/>
      <c r="G805" s="285"/>
      <c r="H805" s="283"/>
      <c r="I805" s="283"/>
      <c r="J805" s="283"/>
      <c r="K805" s="283"/>
      <c r="L805" s="288"/>
      <c r="M805" s="288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  <c r="AA805" s="159"/>
    </row>
    <row r="806">
      <c r="A806" s="274"/>
      <c r="B806" s="281"/>
      <c r="C806" s="282"/>
      <c r="D806" s="283"/>
      <c r="E806" s="284"/>
      <c r="F806" s="284"/>
      <c r="G806" s="285"/>
      <c r="H806" s="283"/>
      <c r="I806" s="283"/>
      <c r="J806" s="283"/>
      <c r="K806" s="283"/>
      <c r="L806" s="288"/>
      <c r="M806" s="288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  <c r="AA806" s="159"/>
    </row>
    <row r="807">
      <c r="A807" s="274"/>
      <c r="B807" s="281"/>
      <c r="C807" s="282"/>
      <c r="D807" s="283"/>
      <c r="E807" s="284"/>
      <c r="F807" s="284"/>
      <c r="G807" s="285"/>
      <c r="H807" s="283"/>
      <c r="I807" s="283"/>
      <c r="J807" s="283"/>
      <c r="K807" s="283"/>
      <c r="L807" s="288"/>
      <c r="M807" s="288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  <c r="AA807" s="159"/>
    </row>
    <row r="808">
      <c r="A808" s="274"/>
      <c r="B808" s="281"/>
      <c r="C808" s="282"/>
      <c r="D808" s="283"/>
      <c r="E808" s="284"/>
      <c r="F808" s="284"/>
      <c r="G808" s="285"/>
      <c r="H808" s="283"/>
      <c r="I808" s="283"/>
      <c r="J808" s="283"/>
      <c r="K808" s="283"/>
      <c r="L808" s="288"/>
      <c r="M808" s="288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  <c r="AA808" s="159"/>
    </row>
    <row r="809">
      <c r="A809" s="274"/>
      <c r="B809" s="281"/>
      <c r="C809" s="282"/>
      <c r="D809" s="283"/>
      <c r="E809" s="284"/>
      <c r="F809" s="284"/>
      <c r="G809" s="285"/>
      <c r="H809" s="283"/>
      <c r="I809" s="283"/>
      <c r="J809" s="283"/>
      <c r="K809" s="283"/>
      <c r="L809" s="288"/>
      <c r="M809" s="288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  <c r="AA809" s="159"/>
    </row>
    <row r="810">
      <c r="A810" s="274"/>
      <c r="B810" s="281"/>
      <c r="C810" s="282"/>
      <c r="D810" s="283"/>
      <c r="E810" s="284"/>
      <c r="F810" s="284"/>
      <c r="G810" s="285"/>
      <c r="H810" s="283"/>
      <c r="I810" s="283"/>
      <c r="J810" s="283"/>
      <c r="K810" s="283"/>
      <c r="L810" s="288"/>
      <c r="M810" s="288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  <c r="AA810" s="159"/>
    </row>
    <row r="811">
      <c r="A811" s="274"/>
      <c r="B811" s="281"/>
      <c r="C811" s="282"/>
      <c r="D811" s="283"/>
      <c r="E811" s="284"/>
      <c r="F811" s="284"/>
      <c r="G811" s="285"/>
      <c r="H811" s="283"/>
      <c r="I811" s="283"/>
      <c r="J811" s="283"/>
      <c r="K811" s="283"/>
      <c r="L811" s="288"/>
      <c r="M811" s="288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  <c r="AA811" s="159"/>
    </row>
    <row r="812">
      <c r="A812" s="274"/>
      <c r="B812" s="281"/>
      <c r="C812" s="282"/>
      <c r="D812" s="283"/>
      <c r="E812" s="284"/>
      <c r="F812" s="284"/>
      <c r="G812" s="285"/>
      <c r="H812" s="283"/>
      <c r="I812" s="283"/>
      <c r="J812" s="283"/>
      <c r="K812" s="283"/>
      <c r="L812" s="288"/>
      <c r="M812" s="288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  <c r="AA812" s="159"/>
    </row>
    <row r="813">
      <c r="A813" s="274"/>
      <c r="B813" s="281"/>
      <c r="C813" s="282"/>
      <c r="D813" s="283"/>
      <c r="E813" s="284"/>
      <c r="F813" s="284"/>
      <c r="G813" s="285"/>
      <c r="H813" s="283"/>
      <c r="I813" s="283"/>
      <c r="J813" s="283"/>
      <c r="K813" s="283"/>
      <c r="L813" s="288"/>
      <c r="M813" s="288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  <c r="AA813" s="159"/>
    </row>
    <row r="814">
      <c r="A814" s="274"/>
      <c r="B814" s="281"/>
      <c r="C814" s="282"/>
      <c r="D814" s="283"/>
      <c r="E814" s="284"/>
      <c r="F814" s="284"/>
      <c r="G814" s="285"/>
      <c r="H814" s="283"/>
      <c r="I814" s="283"/>
      <c r="J814" s="283"/>
      <c r="K814" s="283"/>
      <c r="L814" s="288"/>
      <c r="M814" s="288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  <c r="AA814" s="159"/>
    </row>
    <row r="815">
      <c r="A815" s="274"/>
      <c r="B815" s="281"/>
      <c r="C815" s="282"/>
      <c r="D815" s="283"/>
      <c r="E815" s="284"/>
      <c r="F815" s="284"/>
      <c r="G815" s="285"/>
      <c r="H815" s="283"/>
      <c r="I815" s="283"/>
      <c r="J815" s="283"/>
      <c r="K815" s="283"/>
      <c r="L815" s="288"/>
      <c r="M815" s="288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  <c r="AA815" s="159"/>
    </row>
    <row r="816">
      <c r="A816" s="274"/>
      <c r="B816" s="281"/>
      <c r="C816" s="282"/>
      <c r="D816" s="283"/>
      <c r="E816" s="284"/>
      <c r="F816" s="284"/>
      <c r="G816" s="285"/>
      <c r="H816" s="283"/>
      <c r="I816" s="283"/>
      <c r="J816" s="283"/>
      <c r="K816" s="283"/>
      <c r="L816" s="288"/>
      <c r="M816" s="288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  <c r="AA816" s="159"/>
    </row>
    <row r="817">
      <c r="A817" s="274"/>
      <c r="B817" s="281"/>
      <c r="C817" s="282"/>
      <c r="D817" s="283"/>
      <c r="E817" s="284"/>
      <c r="F817" s="284"/>
      <c r="G817" s="285"/>
      <c r="H817" s="283"/>
      <c r="I817" s="283"/>
      <c r="J817" s="283"/>
      <c r="K817" s="283"/>
      <c r="L817" s="288"/>
      <c r="M817" s="288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  <c r="AA817" s="159"/>
    </row>
    <row r="818">
      <c r="A818" s="274"/>
      <c r="B818" s="281"/>
      <c r="C818" s="282"/>
      <c r="D818" s="283"/>
      <c r="E818" s="284"/>
      <c r="F818" s="284"/>
      <c r="G818" s="285"/>
      <c r="H818" s="283"/>
      <c r="I818" s="283"/>
      <c r="J818" s="283"/>
      <c r="K818" s="283"/>
      <c r="L818" s="288"/>
      <c r="M818" s="288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  <c r="AA818" s="159"/>
    </row>
    <row r="819">
      <c r="A819" s="274"/>
      <c r="B819" s="281"/>
      <c r="C819" s="282"/>
      <c r="D819" s="283"/>
      <c r="E819" s="284"/>
      <c r="F819" s="284"/>
      <c r="G819" s="285"/>
      <c r="H819" s="283"/>
      <c r="I819" s="283"/>
      <c r="J819" s="283"/>
      <c r="K819" s="283"/>
      <c r="L819" s="288"/>
      <c r="M819" s="288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  <c r="AA819" s="159"/>
    </row>
    <row r="820">
      <c r="A820" s="274"/>
      <c r="B820" s="281"/>
      <c r="C820" s="282"/>
      <c r="D820" s="283"/>
      <c r="E820" s="284"/>
      <c r="F820" s="284"/>
      <c r="G820" s="285"/>
      <c r="H820" s="283"/>
      <c r="I820" s="283"/>
      <c r="J820" s="283"/>
      <c r="K820" s="283"/>
      <c r="L820" s="288"/>
      <c r="M820" s="288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  <c r="AA820" s="159"/>
    </row>
    <row r="821">
      <c r="A821" s="274"/>
      <c r="B821" s="281"/>
      <c r="C821" s="282"/>
      <c r="D821" s="283"/>
      <c r="E821" s="284"/>
      <c r="F821" s="284"/>
      <c r="G821" s="285"/>
      <c r="H821" s="283"/>
      <c r="I821" s="283"/>
      <c r="J821" s="283"/>
      <c r="K821" s="283"/>
      <c r="L821" s="288"/>
      <c r="M821" s="288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  <c r="AA821" s="159"/>
    </row>
    <row r="822">
      <c r="A822" s="274"/>
      <c r="B822" s="281"/>
      <c r="C822" s="282"/>
      <c r="D822" s="283"/>
      <c r="E822" s="284"/>
      <c r="F822" s="284"/>
      <c r="G822" s="285"/>
      <c r="H822" s="283"/>
      <c r="I822" s="283"/>
      <c r="J822" s="283"/>
      <c r="K822" s="283"/>
      <c r="L822" s="288"/>
      <c r="M822" s="288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  <c r="AA822" s="159"/>
    </row>
    <row r="823">
      <c r="A823" s="274"/>
      <c r="B823" s="281"/>
      <c r="C823" s="282"/>
      <c r="D823" s="283"/>
      <c r="E823" s="284"/>
      <c r="F823" s="284"/>
      <c r="G823" s="285"/>
      <c r="H823" s="283"/>
      <c r="I823" s="283"/>
      <c r="J823" s="283"/>
      <c r="K823" s="283"/>
      <c r="L823" s="288"/>
      <c r="M823" s="288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  <c r="AA823" s="159"/>
    </row>
    <row r="824">
      <c r="A824" s="274"/>
      <c r="B824" s="281"/>
      <c r="C824" s="282"/>
      <c r="D824" s="283"/>
      <c r="E824" s="284"/>
      <c r="F824" s="284"/>
      <c r="G824" s="285"/>
      <c r="H824" s="283"/>
      <c r="I824" s="283"/>
      <c r="J824" s="283"/>
      <c r="K824" s="283"/>
      <c r="L824" s="288"/>
      <c r="M824" s="288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  <c r="AA824" s="159"/>
    </row>
    <row r="825">
      <c r="A825" s="274"/>
      <c r="B825" s="281"/>
      <c r="C825" s="282"/>
      <c r="D825" s="283"/>
      <c r="E825" s="284"/>
      <c r="F825" s="284"/>
      <c r="G825" s="285"/>
      <c r="H825" s="283"/>
      <c r="I825" s="283"/>
      <c r="J825" s="283"/>
      <c r="K825" s="283"/>
      <c r="L825" s="288"/>
      <c r="M825" s="288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  <c r="AA825" s="159"/>
    </row>
    <row r="826">
      <c r="A826" s="274"/>
      <c r="B826" s="281"/>
      <c r="C826" s="282"/>
      <c r="D826" s="283"/>
      <c r="E826" s="284"/>
      <c r="F826" s="284"/>
      <c r="G826" s="285"/>
      <c r="H826" s="283"/>
      <c r="I826" s="283"/>
      <c r="J826" s="283"/>
      <c r="K826" s="283"/>
      <c r="L826" s="288"/>
      <c r="M826" s="288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  <c r="AA826" s="159"/>
    </row>
    <row r="827">
      <c r="A827" s="274"/>
      <c r="B827" s="281"/>
      <c r="C827" s="282"/>
      <c r="D827" s="283"/>
      <c r="E827" s="284"/>
      <c r="F827" s="284"/>
      <c r="G827" s="285"/>
      <c r="H827" s="283"/>
      <c r="I827" s="283"/>
      <c r="J827" s="283"/>
      <c r="K827" s="283"/>
      <c r="L827" s="288"/>
      <c r="M827" s="288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  <c r="AA827" s="159"/>
    </row>
    <row r="828">
      <c r="A828" s="274"/>
      <c r="B828" s="281"/>
      <c r="C828" s="282"/>
      <c r="D828" s="283"/>
      <c r="E828" s="284"/>
      <c r="F828" s="284"/>
      <c r="G828" s="285"/>
      <c r="H828" s="283"/>
      <c r="I828" s="283"/>
      <c r="J828" s="283"/>
      <c r="K828" s="283"/>
      <c r="L828" s="288"/>
      <c r="M828" s="288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  <c r="AA828" s="159"/>
    </row>
    <row r="829">
      <c r="A829" s="274"/>
      <c r="B829" s="281"/>
      <c r="C829" s="282"/>
      <c r="D829" s="283"/>
      <c r="E829" s="284"/>
      <c r="F829" s="284"/>
      <c r="G829" s="285"/>
      <c r="H829" s="283"/>
      <c r="I829" s="283"/>
      <c r="J829" s="283"/>
      <c r="K829" s="283"/>
      <c r="L829" s="288"/>
      <c r="M829" s="288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  <c r="AA829" s="159"/>
    </row>
    <row r="830">
      <c r="A830" s="274"/>
      <c r="B830" s="281"/>
      <c r="C830" s="282"/>
      <c r="D830" s="283"/>
      <c r="E830" s="284"/>
      <c r="F830" s="284"/>
      <c r="G830" s="285"/>
      <c r="H830" s="283"/>
      <c r="I830" s="283"/>
      <c r="J830" s="283"/>
      <c r="K830" s="283"/>
      <c r="L830" s="288"/>
      <c r="M830" s="288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  <c r="AA830" s="159"/>
    </row>
    <row r="831">
      <c r="A831" s="274"/>
      <c r="B831" s="281"/>
      <c r="C831" s="282"/>
      <c r="D831" s="283"/>
      <c r="E831" s="284"/>
      <c r="F831" s="284"/>
      <c r="G831" s="285"/>
      <c r="H831" s="283"/>
      <c r="I831" s="283"/>
      <c r="J831" s="283"/>
      <c r="K831" s="283"/>
      <c r="L831" s="288"/>
      <c r="M831" s="288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  <c r="AA831" s="159"/>
    </row>
    <row r="832">
      <c r="A832" s="274"/>
      <c r="B832" s="281"/>
      <c r="C832" s="282"/>
      <c r="D832" s="283"/>
      <c r="E832" s="284"/>
      <c r="F832" s="284"/>
      <c r="G832" s="285"/>
      <c r="H832" s="283"/>
      <c r="I832" s="283"/>
      <c r="J832" s="283"/>
      <c r="K832" s="283"/>
      <c r="L832" s="288"/>
      <c r="M832" s="288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  <c r="AA832" s="159"/>
    </row>
    <row r="833">
      <c r="A833" s="274"/>
      <c r="B833" s="281"/>
      <c r="C833" s="282"/>
      <c r="D833" s="283"/>
      <c r="E833" s="284"/>
      <c r="F833" s="284"/>
      <c r="G833" s="285"/>
      <c r="H833" s="283"/>
      <c r="I833" s="283"/>
      <c r="J833" s="283"/>
      <c r="K833" s="283"/>
      <c r="L833" s="288"/>
      <c r="M833" s="288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  <c r="AA833" s="159"/>
    </row>
    <row r="834">
      <c r="A834" s="274"/>
      <c r="B834" s="281"/>
      <c r="C834" s="282"/>
      <c r="D834" s="283"/>
      <c r="E834" s="284"/>
      <c r="F834" s="284"/>
      <c r="G834" s="285"/>
      <c r="H834" s="283"/>
      <c r="I834" s="283"/>
      <c r="J834" s="283"/>
      <c r="K834" s="283"/>
      <c r="L834" s="288"/>
      <c r="M834" s="288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  <c r="AA834" s="159"/>
    </row>
    <row r="835">
      <c r="A835" s="274"/>
      <c r="B835" s="281"/>
      <c r="C835" s="282"/>
      <c r="D835" s="283"/>
      <c r="E835" s="284"/>
      <c r="F835" s="284"/>
      <c r="G835" s="285"/>
      <c r="H835" s="283"/>
      <c r="I835" s="283"/>
      <c r="J835" s="283"/>
      <c r="K835" s="283"/>
      <c r="L835" s="288"/>
      <c r="M835" s="288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  <c r="AA835" s="159"/>
    </row>
    <row r="836">
      <c r="A836" s="274"/>
      <c r="B836" s="281"/>
      <c r="C836" s="282"/>
      <c r="D836" s="283"/>
      <c r="E836" s="284"/>
      <c r="F836" s="284"/>
      <c r="G836" s="285"/>
      <c r="H836" s="283"/>
      <c r="I836" s="283"/>
      <c r="J836" s="283"/>
      <c r="K836" s="283"/>
      <c r="L836" s="288"/>
      <c r="M836" s="288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  <c r="AA836" s="159"/>
    </row>
    <row r="837">
      <c r="A837" s="274"/>
      <c r="B837" s="281"/>
      <c r="C837" s="282"/>
      <c r="D837" s="283"/>
      <c r="E837" s="284"/>
      <c r="F837" s="284"/>
      <c r="G837" s="285"/>
      <c r="H837" s="283"/>
      <c r="I837" s="283"/>
      <c r="J837" s="283"/>
      <c r="K837" s="283"/>
      <c r="L837" s="288"/>
      <c r="M837" s="288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  <c r="AA837" s="159"/>
    </row>
    <row r="838">
      <c r="A838" s="274"/>
      <c r="B838" s="281"/>
      <c r="C838" s="282"/>
      <c r="D838" s="283"/>
      <c r="E838" s="284"/>
      <c r="F838" s="284"/>
      <c r="G838" s="285"/>
      <c r="H838" s="283"/>
      <c r="I838" s="283"/>
      <c r="J838" s="283"/>
      <c r="K838" s="283"/>
      <c r="L838" s="288"/>
      <c r="M838" s="288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  <c r="AA838" s="159"/>
    </row>
    <row r="839">
      <c r="A839" s="274"/>
      <c r="B839" s="281"/>
      <c r="C839" s="282"/>
      <c r="D839" s="283"/>
      <c r="E839" s="284"/>
      <c r="F839" s="284"/>
      <c r="G839" s="285"/>
      <c r="H839" s="283"/>
      <c r="I839" s="283"/>
      <c r="J839" s="283"/>
      <c r="K839" s="283"/>
      <c r="L839" s="288"/>
      <c r="M839" s="288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  <c r="AA839" s="159"/>
    </row>
    <row r="840">
      <c r="A840" s="274"/>
      <c r="B840" s="281"/>
      <c r="C840" s="282"/>
      <c r="D840" s="283"/>
      <c r="E840" s="284"/>
      <c r="F840" s="284"/>
      <c r="G840" s="285"/>
      <c r="H840" s="283"/>
      <c r="I840" s="283"/>
      <c r="J840" s="283"/>
      <c r="K840" s="283"/>
      <c r="L840" s="288"/>
      <c r="M840" s="288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  <c r="AA840" s="159"/>
    </row>
    <row r="841">
      <c r="A841" s="274"/>
      <c r="B841" s="281"/>
      <c r="C841" s="282"/>
      <c r="D841" s="283"/>
      <c r="E841" s="284"/>
      <c r="F841" s="284"/>
      <c r="G841" s="285"/>
      <c r="H841" s="283"/>
      <c r="I841" s="283"/>
      <c r="J841" s="283"/>
      <c r="K841" s="283"/>
      <c r="L841" s="288"/>
      <c r="M841" s="288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  <c r="AA841" s="159"/>
    </row>
    <row r="842">
      <c r="A842" s="274"/>
      <c r="B842" s="281"/>
      <c r="C842" s="282"/>
      <c r="D842" s="283"/>
      <c r="E842" s="284"/>
      <c r="F842" s="284"/>
      <c r="G842" s="285"/>
      <c r="H842" s="283"/>
      <c r="I842" s="283"/>
      <c r="J842" s="283"/>
      <c r="K842" s="283"/>
      <c r="L842" s="288"/>
      <c r="M842" s="288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  <c r="AA842" s="159"/>
    </row>
    <row r="843">
      <c r="A843" s="274"/>
      <c r="B843" s="281"/>
      <c r="C843" s="282"/>
      <c r="D843" s="283"/>
      <c r="E843" s="284"/>
      <c r="F843" s="284"/>
      <c r="G843" s="285"/>
      <c r="H843" s="283"/>
      <c r="I843" s="283"/>
      <c r="J843" s="283"/>
      <c r="K843" s="283"/>
      <c r="L843" s="288"/>
      <c r="M843" s="288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  <c r="AA843" s="159"/>
    </row>
    <row r="844">
      <c r="A844" s="274"/>
      <c r="B844" s="281"/>
      <c r="C844" s="282"/>
      <c r="D844" s="283"/>
      <c r="E844" s="284"/>
      <c r="F844" s="284"/>
      <c r="G844" s="285"/>
      <c r="H844" s="283"/>
      <c r="I844" s="283"/>
      <c r="J844" s="283"/>
      <c r="K844" s="283"/>
      <c r="L844" s="288"/>
      <c r="M844" s="288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  <c r="AA844" s="159"/>
    </row>
    <row r="845">
      <c r="A845" s="274"/>
      <c r="B845" s="281"/>
      <c r="C845" s="282"/>
      <c r="D845" s="283"/>
      <c r="E845" s="284"/>
      <c r="F845" s="284"/>
      <c r="G845" s="285"/>
      <c r="H845" s="283"/>
      <c r="I845" s="283"/>
      <c r="J845" s="283"/>
      <c r="K845" s="283"/>
      <c r="L845" s="288"/>
      <c r="M845" s="288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  <c r="AA845" s="159"/>
    </row>
    <row r="846">
      <c r="A846" s="274"/>
      <c r="B846" s="281"/>
      <c r="C846" s="282"/>
      <c r="D846" s="283"/>
      <c r="E846" s="284"/>
      <c r="F846" s="284"/>
      <c r="G846" s="285"/>
      <c r="H846" s="283"/>
      <c r="I846" s="283"/>
      <c r="J846" s="283"/>
      <c r="K846" s="283"/>
      <c r="L846" s="288"/>
      <c r="M846" s="288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  <c r="AA846" s="159"/>
    </row>
    <row r="847">
      <c r="A847" s="274"/>
      <c r="B847" s="281"/>
      <c r="C847" s="282"/>
      <c r="D847" s="283"/>
      <c r="E847" s="284"/>
      <c r="F847" s="284"/>
      <c r="G847" s="285"/>
      <c r="H847" s="283"/>
      <c r="I847" s="283"/>
      <c r="J847" s="283"/>
      <c r="K847" s="283"/>
      <c r="L847" s="288"/>
      <c r="M847" s="288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  <c r="AA847" s="159"/>
    </row>
    <row r="848">
      <c r="A848" s="274"/>
      <c r="B848" s="281"/>
      <c r="C848" s="282"/>
      <c r="D848" s="283"/>
      <c r="E848" s="284"/>
      <c r="F848" s="284"/>
      <c r="G848" s="285"/>
      <c r="H848" s="283"/>
      <c r="I848" s="283"/>
      <c r="J848" s="283"/>
      <c r="K848" s="283"/>
      <c r="L848" s="288"/>
      <c r="M848" s="288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  <c r="AA848" s="159"/>
    </row>
    <row r="849">
      <c r="A849" s="274"/>
      <c r="B849" s="281"/>
      <c r="C849" s="282"/>
      <c r="D849" s="283"/>
      <c r="E849" s="284"/>
      <c r="F849" s="284"/>
      <c r="G849" s="285"/>
      <c r="H849" s="283"/>
      <c r="I849" s="283"/>
      <c r="J849" s="283"/>
      <c r="K849" s="283"/>
      <c r="L849" s="288"/>
      <c r="M849" s="288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  <c r="AA849" s="159"/>
    </row>
    <row r="850">
      <c r="A850" s="274"/>
      <c r="B850" s="281"/>
      <c r="C850" s="282"/>
      <c r="D850" s="283"/>
      <c r="E850" s="284"/>
      <c r="F850" s="284"/>
      <c r="G850" s="285"/>
      <c r="H850" s="283"/>
      <c r="I850" s="283"/>
      <c r="J850" s="283"/>
      <c r="K850" s="283"/>
      <c r="L850" s="288"/>
      <c r="M850" s="288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  <c r="AA850" s="159"/>
    </row>
    <row r="851">
      <c r="A851" s="274"/>
      <c r="B851" s="281"/>
      <c r="C851" s="282"/>
      <c r="D851" s="283"/>
      <c r="E851" s="284"/>
      <c r="F851" s="284"/>
      <c r="G851" s="285"/>
      <c r="H851" s="283"/>
      <c r="I851" s="283"/>
      <c r="J851" s="283"/>
      <c r="K851" s="283"/>
      <c r="L851" s="288"/>
      <c r="M851" s="288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  <c r="AA851" s="159"/>
    </row>
    <row r="852">
      <c r="A852" s="274"/>
      <c r="B852" s="281"/>
      <c r="C852" s="282"/>
      <c r="D852" s="283"/>
      <c r="E852" s="284"/>
      <c r="F852" s="284"/>
      <c r="G852" s="285"/>
      <c r="H852" s="283"/>
      <c r="I852" s="283"/>
      <c r="J852" s="283"/>
      <c r="K852" s="283"/>
      <c r="L852" s="288"/>
      <c r="M852" s="288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  <c r="AA852" s="159"/>
    </row>
    <row r="853">
      <c r="A853" s="274"/>
      <c r="B853" s="281"/>
      <c r="C853" s="282"/>
      <c r="D853" s="283"/>
      <c r="E853" s="284"/>
      <c r="F853" s="284"/>
      <c r="G853" s="285"/>
      <c r="H853" s="283"/>
      <c r="I853" s="283"/>
      <c r="J853" s="283"/>
      <c r="K853" s="283"/>
      <c r="L853" s="288"/>
      <c r="M853" s="288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  <c r="AA853" s="159"/>
    </row>
    <row r="854">
      <c r="A854" s="274"/>
      <c r="B854" s="281"/>
      <c r="C854" s="282"/>
      <c r="D854" s="283"/>
      <c r="E854" s="284"/>
      <c r="F854" s="284"/>
      <c r="G854" s="285"/>
      <c r="H854" s="283"/>
      <c r="I854" s="283"/>
      <c r="J854" s="283"/>
      <c r="K854" s="283"/>
      <c r="L854" s="288"/>
      <c r="M854" s="288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  <c r="AA854" s="159"/>
    </row>
    <row r="855">
      <c r="A855" s="274"/>
      <c r="B855" s="281"/>
      <c r="C855" s="282"/>
      <c r="D855" s="283"/>
      <c r="E855" s="284"/>
      <c r="F855" s="284"/>
      <c r="G855" s="285"/>
      <c r="H855" s="283"/>
      <c r="I855" s="283"/>
      <c r="J855" s="283"/>
      <c r="K855" s="283"/>
      <c r="L855" s="288"/>
      <c r="M855" s="288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  <c r="AA855" s="159"/>
    </row>
    <row r="856">
      <c r="A856" s="274"/>
      <c r="B856" s="281"/>
      <c r="C856" s="282"/>
      <c r="D856" s="283"/>
      <c r="E856" s="284"/>
      <c r="F856" s="284"/>
      <c r="G856" s="285"/>
      <c r="H856" s="283"/>
      <c r="I856" s="283"/>
      <c r="J856" s="283"/>
      <c r="K856" s="283"/>
      <c r="L856" s="288"/>
      <c r="M856" s="288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  <c r="AA856" s="159"/>
    </row>
    <row r="857">
      <c r="A857" s="274"/>
      <c r="B857" s="281"/>
      <c r="C857" s="282"/>
      <c r="D857" s="283"/>
      <c r="E857" s="284"/>
      <c r="F857" s="284"/>
      <c r="G857" s="285"/>
      <c r="H857" s="283"/>
      <c r="I857" s="283"/>
      <c r="J857" s="283"/>
      <c r="K857" s="283"/>
      <c r="L857" s="288"/>
      <c r="M857" s="288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  <c r="AA857" s="159"/>
    </row>
    <row r="858">
      <c r="A858" s="274"/>
      <c r="B858" s="281"/>
      <c r="C858" s="282"/>
      <c r="D858" s="283"/>
      <c r="E858" s="284"/>
      <c r="F858" s="284"/>
      <c r="G858" s="285"/>
      <c r="H858" s="283"/>
      <c r="I858" s="283"/>
      <c r="J858" s="283"/>
      <c r="K858" s="283"/>
      <c r="L858" s="288"/>
      <c r="M858" s="288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  <c r="AA858" s="159"/>
    </row>
    <row r="859">
      <c r="A859" s="274"/>
      <c r="B859" s="281"/>
      <c r="C859" s="282"/>
      <c r="D859" s="283"/>
      <c r="E859" s="284"/>
      <c r="F859" s="284"/>
      <c r="G859" s="285"/>
      <c r="H859" s="283"/>
      <c r="I859" s="283"/>
      <c r="J859" s="283"/>
      <c r="K859" s="283"/>
      <c r="L859" s="288"/>
      <c r="M859" s="288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  <c r="AA859" s="159"/>
    </row>
    <row r="860">
      <c r="A860" s="274"/>
      <c r="B860" s="281"/>
      <c r="C860" s="282"/>
      <c r="D860" s="283"/>
      <c r="E860" s="284"/>
      <c r="F860" s="284"/>
      <c r="G860" s="285"/>
      <c r="H860" s="283"/>
      <c r="I860" s="283"/>
      <c r="J860" s="283"/>
      <c r="K860" s="283"/>
      <c r="L860" s="288"/>
      <c r="M860" s="288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  <c r="AA860" s="159"/>
    </row>
    <row r="861">
      <c r="A861" s="274"/>
      <c r="B861" s="281"/>
      <c r="C861" s="282"/>
      <c r="D861" s="283"/>
      <c r="E861" s="284"/>
      <c r="F861" s="284"/>
      <c r="G861" s="285"/>
      <c r="H861" s="283"/>
      <c r="I861" s="283"/>
      <c r="J861" s="283"/>
      <c r="K861" s="283"/>
      <c r="L861" s="288"/>
      <c r="M861" s="288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  <c r="AA861" s="159"/>
    </row>
    <row r="862">
      <c r="A862" s="274"/>
      <c r="B862" s="281"/>
      <c r="C862" s="282"/>
      <c r="D862" s="283"/>
      <c r="E862" s="284"/>
      <c r="F862" s="284"/>
      <c r="G862" s="285"/>
      <c r="H862" s="283"/>
      <c r="I862" s="283"/>
      <c r="J862" s="283"/>
      <c r="K862" s="283"/>
      <c r="L862" s="288"/>
      <c r="M862" s="288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  <c r="AA862" s="159"/>
    </row>
    <row r="863">
      <c r="A863" s="274"/>
      <c r="B863" s="281"/>
      <c r="C863" s="282"/>
      <c r="D863" s="283"/>
      <c r="E863" s="284"/>
      <c r="F863" s="284"/>
      <c r="G863" s="285"/>
      <c r="H863" s="283"/>
      <c r="I863" s="283"/>
      <c r="J863" s="283"/>
      <c r="K863" s="283"/>
      <c r="L863" s="288"/>
      <c r="M863" s="288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  <c r="AA863" s="159"/>
    </row>
    <row r="864">
      <c r="A864" s="274"/>
      <c r="B864" s="281"/>
      <c r="C864" s="282"/>
      <c r="D864" s="283"/>
      <c r="E864" s="284"/>
      <c r="F864" s="284"/>
      <c r="G864" s="285"/>
      <c r="H864" s="283"/>
      <c r="I864" s="283"/>
      <c r="J864" s="283"/>
      <c r="K864" s="283"/>
      <c r="L864" s="288"/>
      <c r="M864" s="288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  <c r="AA864" s="159"/>
    </row>
    <row r="865">
      <c r="A865" s="274"/>
      <c r="B865" s="281"/>
      <c r="C865" s="282"/>
      <c r="D865" s="283"/>
      <c r="E865" s="284"/>
      <c r="F865" s="284"/>
      <c r="G865" s="285"/>
      <c r="H865" s="283"/>
      <c r="I865" s="283"/>
      <c r="J865" s="283"/>
      <c r="K865" s="283"/>
      <c r="L865" s="288"/>
      <c r="M865" s="288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  <c r="AA865" s="159"/>
    </row>
    <row r="866">
      <c r="A866" s="274"/>
      <c r="B866" s="281"/>
      <c r="C866" s="282"/>
      <c r="D866" s="283"/>
      <c r="E866" s="284"/>
      <c r="F866" s="284"/>
      <c r="G866" s="285"/>
      <c r="H866" s="283"/>
      <c r="I866" s="283"/>
      <c r="J866" s="283"/>
      <c r="K866" s="283"/>
      <c r="L866" s="288"/>
      <c r="M866" s="288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  <c r="AA866" s="159"/>
    </row>
    <row r="867">
      <c r="A867" s="274"/>
      <c r="B867" s="281"/>
      <c r="C867" s="282"/>
      <c r="D867" s="283"/>
      <c r="E867" s="284"/>
      <c r="F867" s="284"/>
      <c r="G867" s="285"/>
      <c r="H867" s="283"/>
      <c r="I867" s="283"/>
      <c r="J867" s="283"/>
      <c r="K867" s="283"/>
      <c r="L867" s="288"/>
      <c r="M867" s="288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  <c r="AA867" s="159"/>
    </row>
    <row r="868">
      <c r="A868" s="274"/>
      <c r="B868" s="281"/>
      <c r="C868" s="282"/>
      <c r="D868" s="283"/>
      <c r="E868" s="284"/>
      <c r="F868" s="284"/>
      <c r="G868" s="285"/>
      <c r="H868" s="283"/>
      <c r="I868" s="283"/>
      <c r="J868" s="283"/>
      <c r="K868" s="283"/>
      <c r="L868" s="288"/>
      <c r="M868" s="288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  <c r="AA868" s="159"/>
    </row>
    <row r="869">
      <c r="A869" s="274"/>
      <c r="B869" s="281"/>
      <c r="C869" s="282"/>
      <c r="D869" s="283"/>
      <c r="E869" s="284"/>
      <c r="F869" s="284"/>
      <c r="G869" s="285"/>
      <c r="H869" s="283"/>
      <c r="I869" s="283"/>
      <c r="J869" s="283"/>
      <c r="K869" s="283"/>
      <c r="L869" s="288"/>
      <c r="M869" s="288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  <c r="AA869" s="159"/>
    </row>
    <row r="870">
      <c r="A870" s="274"/>
      <c r="B870" s="281"/>
      <c r="C870" s="282"/>
      <c r="D870" s="283"/>
      <c r="E870" s="284"/>
      <c r="F870" s="284"/>
      <c r="G870" s="285"/>
      <c r="H870" s="283"/>
      <c r="I870" s="283"/>
      <c r="J870" s="283"/>
      <c r="K870" s="283"/>
      <c r="L870" s="288"/>
      <c r="M870" s="288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  <c r="AA870" s="159"/>
    </row>
    <row r="871">
      <c r="A871" s="274"/>
      <c r="B871" s="281"/>
      <c r="C871" s="282"/>
      <c r="D871" s="283"/>
      <c r="E871" s="284"/>
      <c r="F871" s="284"/>
      <c r="G871" s="285"/>
      <c r="H871" s="283"/>
      <c r="I871" s="283"/>
      <c r="J871" s="283"/>
      <c r="K871" s="283"/>
      <c r="L871" s="288"/>
      <c r="M871" s="288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  <c r="AA871" s="159"/>
    </row>
    <row r="872">
      <c r="A872" s="274"/>
      <c r="B872" s="281"/>
      <c r="C872" s="282"/>
      <c r="D872" s="283"/>
      <c r="E872" s="284"/>
      <c r="F872" s="284"/>
      <c r="G872" s="285"/>
      <c r="H872" s="283"/>
      <c r="I872" s="283"/>
      <c r="J872" s="283"/>
      <c r="K872" s="283"/>
      <c r="L872" s="288"/>
      <c r="M872" s="288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  <c r="AA872" s="159"/>
    </row>
    <row r="873">
      <c r="A873" s="274"/>
      <c r="B873" s="281"/>
      <c r="C873" s="282"/>
      <c r="D873" s="283"/>
      <c r="E873" s="284"/>
      <c r="F873" s="284"/>
      <c r="G873" s="285"/>
      <c r="H873" s="283"/>
      <c r="I873" s="283"/>
      <c r="J873" s="283"/>
      <c r="K873" s="283"/>
      <c r="L873" s="288"/>
      <c r="M873" s="288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  <c r="AA873" s="159"/>
    </row>
    <row r="874">
      <c r="A874" s="274"/>
      <c r="B874" s="281"/>
      <c r="C874" s="282"/>
      <c r="D874" s="283"/>
      <c r="E874" s="284"/>
      <c r="F874" s="284"/>
      <c r="G874" s="285"/>
      <c r="H874" s="283"/>
      <c r="I874" s="283"/>
      <c r="J874" s="283"/>
      <c r="K874" s="283"/>
      <c r="L874" s="288"/>
      <c r="M874" s="288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  <c r="AA874" s="159"/>
    </row>
    <row r="875">
      <c r="A875" s="274"/>
      <c r="B875" s="281"/>
      <c r="C875" s="282"/>
      <c r="D875" s="283"/>
      <c r="E875" s="284"/>
      <c r="F875" s="284"/>
      <c r="G875" s="285"/>
      <c r="H875" s="283"/>
      <c r="I875" s="283"/>
      <c r="J875" s="283"/>
      <c r="K875" s="283"/>
      <c r="L875" s="288"/>
      <c r="M875" s="288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  <c r="AA875" s="159"/>
    </row>
    <row r="876">
      <c r="A876" s="274"/>
      <c r="B876" s="281"/>
      <c r="C876" s="282"/>
      <c r="D876" s="283"/>
      <c r="E876" s="284"/>
      <c r="F876" s="284"/>
      <c r="G876" s="285"/>
      <c r="H876" s="283"/>
      <c r="I876" s="283"/>
      <c r="J876" s="283"/>
      <c r="K876" s="283"/>
      <c r="L876" s="288"/>
      <c r="M876" s="288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  <c r="AA876" s="159"/>
    </row>
    <row r="877">
      <c r="A877" s="274"/>
      <c r="B877" s="281"/>
      <c r="C877" s="282"/>
      <c r="D877" s="283"/>
      <c r="E877" s="284"/>
      <c r="F877" s="284"/>
      <c r="G877" s="285"/>
      <c r="H877" s="283"/>
      <c r="I877" s="283"/>
      <c r="J877" s="283"/>
      <c r="K877" s="283"/>
      <c r="L877" s="288"/>
      <c r="M877" s="288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  <c r="AA877" s="159"/>
    </row>
    <row r="878">
      <c r="A878" s="274"/>
      <c r="B878" s="281"/>
      <c r="C878" s="282"/>
      <c r="D878" s="283"/>
      <c r="E878" s="284"/>
      <c r="F878" s="284"/>
      <c r="G878" s="285"/>
      <c r="H878" s="283"/>
      <c r="I878" s="283"/>
      <c r="J878" s="283"/>
      <c r="K878" s="283"/>
      <c r="L878" s="288"/>
      <c r="M878" s="288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  <c r="AA878" s="159"/>
    </row>
    <row r="879">
      <c r="A879" s="274"/>
      <c r="B879" s="281"/>
      <c r="C879" s="282"/>
      <c r="D879" s="283"/>
      <c r="E879" s="284"/>
      <c r="F879" s="284"/>
      <c r="G879" s="285"/>
      <c r="H879" s="283"/>
      <c r="I879" s="283"/>
      <c r="J879" s="283"/>
      <c r="K879" s="283"/>
      <c r="L879" s="288"/>
      <c r="M879" s="288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  <c r="AA879" s="159"/>
    </row>
    <row r="880">
      <c r="A880" s="274"/>
      <c r="B880" s="281"/>
      <c r="C880" s="282"/>
      <c r="D880" s="283"/>
      <c r="E880" s="284"/>
      <c r="F880" s="284"/>
      <c r="G880" s="285"/>
      <c r="H880" s="283"/>
      <c r="I880" s="283"/>
      <c r="J880" s="283"/>
      <c r="K880" s="283"/>
      <c r="L880" s="288"/>
      <c r="M880" s="288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  <c r="AA880" s="159"/>
    </row>
    <row r="881">
      <c r="A881" s="274"/>
      <c r="B881" s="281"/>
      <c r="C881" s="282"/>
      <c r="D881" s="283"/>
      <c r="E881" s="284"/>
      <c r="F881" s="284"/>
      <c r="G881" s="285"/>
      <c r="H881" s="283"/>
      <c r="I881" s="283"/>
      <c r="J881" s="283"/>
      <c r="K881" s="283"/>
      <c r="L881" s="288"/>
      <c r="M881" s="288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  <c r="AA881" s="159"/>
    </row>
    <row r="882">
      <c r="A882" s="274"/>
      <c r="B882" s="281"/>
      <c r="C882" s="282"/>
      <c r="D882" s="283"/>
      <c r="E882" s="284"/>
      <c r="F882" s="284"/>
      <c r="G882" s="285"/>
      <c r="H882" s="283"/>
      <c r="I882" s="283"/>
      <c r="J882" s="283"/>
      <c r="K882" s="283"/>
      <c r="L882" s="288"/>
      <c r="M882" s="288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  <c r="AA882" s="159"/>
    </row>
    <row r="883">
      <c r="A883" s="274"/>
      <c r="B883" s="281"/>
      <c r="C883" s="282"/>
      <c r="D883" s="283"/>
      <c r="E883" s="284"/>
      <c r="F883" s="284"/>
      <c r="G883" s="285"/>
      <c r="H883" s="283"/>
      <c r="I883" s="283"/>
      <c r="J883" s="283"/>
      <c r="K883" s="283"/>
      <c r="L883" s="288"/>
      <c r="M883" s="288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  <c r="AA883" s="159"/>
    </row>
    <row r="884">
      <c r="A884" s="274"/>
      <c r="B884" s="281"/>
      <c r="C884" s="282"/>
      <c r="D884" s="283"/>
      <c r="E884" s="284"/>
      <c r="F884" s="284"/>
      <c r="G884" s="285"/>
      <c r="H884" s="283"/>
      <c r="I884" s="283"/>
      <c r="J884" s="283"/>
      <c r="K884" s="283"/>
      <c r="L884" s="288"/>
      <c r="M884" s="288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  <c r="AA884" s="159"/>
    </row>
    <row r="885">
      <c r="A885" s="274"/>
      <c r="B885" s="281"/>
      <c r="C885" s="282"/>
      <c r="D885" s="283"/>
      <c r="E885" s="284"/>
      <c r="F885" s="284"/>
      <c r="G885" s="285"/>
      <c r="H885" s="283"/>
      <c r="I885" s="283"/>
      <c r="J885" s="283"/>
      <c r="K885" s="283"/>
      <c r="L885" s="288"/>
      <c r="M885" s="288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  <c r="AA885" s="159"/>
    </row>
    <row r="886">
      <c r="A886" s="274"/>
      <c r="B886" s="281"/>
      <c r="C886" s="282"/>
      <c r="D886" s="283"/>
      <c r="E886" s="284"/>
      <c r="F886" s="284"/>
      <c r="G886" s="285"/>
      <c r="H886" s="283"/>
      <c r="I886" s="283"/>
      <c r="J886" s="283"/>
      <c r="K886" s="283"/>
      <c r="L886" s="288"/>
      <c r="M886" s="288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  <c r="AA886" s="159"/>
    </row>
    <row r="887">
      <c r="A887" s="274"/>
      <c r="B887" s="281"/>
      <c r="C887" s="282"/>
      <c r="D887" s="283"/>
      <c r="E887" s="284"/>
      <c r="F887" s="284"/>
      <c r="G887" s="285"/>
      <c r="H887" s="283"/>
      <c r="I887" s="283"/>
      <c r="J887" s="283"/>
      <c r="K887" s="283"/>
      <c r="L887" s="288"/>
      <c r="M887" s="288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  <c r="AA887" s="159"/>
    </row>
    <row r="888">
      <c r="A888" s="274"/>
      <c r="B888" s="281"/>
      <c r="C888" s="282"/>
      <c r="D888" s="283"/>
      <c r="E888" s="284"/>
      <c r="F888" s="284"/>
      <c r="G888" s="285"/>
      <c r="H888" s="283"/>
      <c r="I888" s="283"/>
      <c r="J888" s="283"/>
      <c r="K888" s="283"/>
      <c r="L888" s="288"/>
      <c r="M888" s="288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  <c r="AA888" s="159"/>
    </row>
    <row r="889">
      <c r="A889" s="274"/>
      <c r="B889" s="281"/>
      <c r="C889" s="282"/>
      <c r="D889" s="283"/>
      <c r="E889" s="284"/>
      <c r="F889" s="284"/>
      <c r="G889" s="285"/>
      <c r="H889" s="283"/>
      <c r="I889" s="283"/>
      <c r="J889" s="283"/>
      <c r="K889" s="283"/>
      <c r="L889" s="288"/>
      <c r="M889" s="288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  <c r="AA889" s="159"/>
    </row>
    <row r="890">
      <c r="A890" s="274"/>
      <c r="B890" s="281"/>
      <c r="C890" s="282"/>
      <c r="D890" s="283"/>
      <c r="E890" s="284"/>
      <c r="F890" s="284"/>
      <c r="G890" s="285"/>
      <c r="H890" s="283"/>
      <c r="I890" s="283"/>
      <c r="J890" s="283"/>
      <c r="K890" s="283"/>
      <c r="L890" s="288"/>
      <c r="M890" s="288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  <c r="AA890" s="159"/>
    </row>
    <row r="891">
      <c r="A891" s="274"/>
      <c r="B891" s="281"/>
      <c r="C891" s="282"/>
      <c r="D891" s="283"/>
      <c r="E891" s="284"/>
      <c r="F891" s="284"/>
      <c r="G891" s="285"/>
      <c r="H891" s="283"/>
      <c r="I891" s="283"/>
      <c r="J891" s="283"/>
      <c r="K891" s="283"/>
      <c r="L891" s="288"/>
      <c r="M891" s="288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  <c r="AA891" s="159"/>
    </row>
    <row r="892">
      <c r="A892" s="274"/>
      <c r="B892" s="281"/>
      <c r="C892" s="282"/>
      <c r="D892" s="283"/>
      <c r="E892" s="284"/>
      <c r="F892" s="284"/>
      <c r="G892" s="285"/>
      <c r="H892" s="283"/>
      <c r="I892" s="283"/>
      <c r="J892" s="283"/>
      <c r="K892" s="283"/>
      <c r="L892" s="288"/>
      <c r="M892" s="288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  <c r="AA892" s="159"/>
    </row>
    <row r="893">
      <c r="A893" s="274"/>
      <c r="B893" s="281"/>
      <c r="C893" s="282"/>
      <c r="D893" s="283"/>
      <c r="E893" s="284"/>
      <c r="F893" s="284"/>
      <c r="G893" s="285"/>
      <c r="H893" s="283"/>
      <c r="I893" s="283"/>
      <c r="J893" s="283"/>
      <c r="K893" s="283"/>
      <c r="L893" s="288"/>
      <c r="M893" s="288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  <c r="AA893" s="159"/>
    </row>
    <row r="894">
      <c r="A894" s="274"/>
      <c r="B894" s="281"/>
      <c r="C894" s="282"/>
      <c r="D894" s="283"/>
      <c r="E894" s="284"/>
      <c r="F894" s="284"/>
      <c r="G894" s="285"/>
      <c r="H894" s="283"/>
      <c r="I894" s="283"/>
      <c r="J894" s="283"/>
      <c r="K894" s="283"/>
      <c r="L894" s="288"/>
      <c r="M894" s="288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  <c r="AA894" s="159"/>
    </row>
    <row r="895">
      <c r="A895" s="274"/>
      <c r="B895" s="281"/>
      <c r="C895" s="282"/>
      <c r="D895" s="283"/>
      <c r="E895" s="284"/>
      <c r="F895" s="284"/>
      <c r="G895" s="285"/>
      <c r="H895" s="283"/>
      <c r="I895" s="283"/>
      <c r="J895" s="283"/>
      <c r="K895" s="283"/>
      <c r="L895" s="288"/>
      <c r="M895" s="288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  <c r="AA895" s="159"/>
    </row>
    <row r="896">
      <c r="A896" s="274"/>
      <c r="B896" s="281"/>
      <c r="C896" s="282"/>
      <c r="D896" s="283"/>
      <c r="E896" s="284"/>
      <c r="F896" s="284"/>
      <c r="G896" s="285"/>
      <c r="H896" s="283"/>
      <c r="I896" s="283"/>
      <c r="J896" s="283"/>
      <c r="K896" s="283"/>
      <c r="L896" s="288"/>
      <c r="M896" s="288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  <c r="AA896" s="159"/>
    </row>
    <row r="897">
      <c r="A897" s="274"/>
      <c r="B897" s="281"/>
      <c r="C897" s="282"/>
      <c r="D897" s="283"/>
      <c r="E897" s="284"/>
      <c r="F897" s="284"/>
      <c r="G897" s="285"/>
      <c r="H897" s="283"/>
      <c r="I897" s="283"/>
      <c r="J897" s="283"/>
      <c r="K897" s="283"/>
      <c r="L897" s="288"/>
      <c r="M897" s="288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  <c r="AA897" s="159"/>
    </row>
    <row r="898">
      <c r="A898" s="274"/>
      <c r="B898" s="281"/>
      <c r="C898" s="282"/>
      <c r="D898" s="283"/>
      <c r="E898" s="284"/>
      <c r="F898" s="284"/>
      <c r="G898" s="285"/>
      <c r="H898" s="283"/>
      <c r="I898" s="283"/>
      <c r="J898" s="283"/>
      <c r="K898" s="283"/>
      <c r="L898" s="288"/>
      <c r="M898" s="288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  <c r="AA898" s="159"/>
    </row>
    <row r="899">
      <c r="A899" s="274"/>
      <c r="B899" s="281"/>
      <c r="C899" s="282"/>
      <c r="D899" s="283"/>
      <c r="E899" s="284"/>
      <c r="F899" s="284"/>
      <c r="G899" s="285"/>
      <c r="H899" s="283"/>
      <c r="I899" s="283"/>
      <c r="J899" s="283"/>
      <c r="K899" s="283"/>
      <c r="L899" s="288"/>
      <c r="M899" s="288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  <c r="AA899" s="159"/>
    </row>
    <row r="900">
      <c r="A900" s="274"/>
      <c r="B900" s="281"/>
      <c r="C900" s="282"/>
      <c r="D900" s="283"/>
      <c r="E900" s="284"/>
      <c r="F900" s="284"/>
      <c r="G900" s="285"/>
      <c r="H900" s="283"/>
      <c r="I900" s="283"/>
      <c r="J900" s="283"/>
      <c r="K900" s="283"/>
      <c r="L900" s="288"/>
      <c r="M900" s="288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  <c r="AA900" s="159"/>
    </row>
    <row r="901">
      <c r="A901" s="274"/>
      <c r="B901" s="281"/>
      <c r="C901" s="282"/>
      <c r="D901" s="283"/>
      <c r="E901" s="284"/>
      <c r="F901" s="284"/>
      <c r="G901" s="285"/>
      <c r="H901" s="283"/>
      <c r="I901" s="283"/>
      <c r="J901" s="283"/>
      <c r="K901" s="283"/>
      <c r="L901" s="288"/>
      <c r="M901" s="288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  <c r="AA901" s="159"/>
    </row>
    <row r="902">
      <c r="A902" s="274"/>
      <c r="B902" s="281"/>
      <c r="C902" s="282"/>
      <c r="D902" s="283"/>
      <c r="E902" s="284"/>
      <c r="F902" s="284"/>
      <c r="G902" s="285"/>
      <c r="H902" s="283"/>
      <c r="I902" s="283"/>
      <c r="J902" s="283"/>
      <c r="K902" s="283"/>
      <c r="L902" s="288"/>
      <c r="M902" s="288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  <c r="AA902" s="159"/>
    </row>
    <row r="903">
      <c r="A903" s="274"/>
      <c r="B903" s="281"/>
      <c r="C903" s="282"/>
      <c r="D903" s="283"/>
      <c r="E903" s="284"/>
      <c r="F903" s="284"/>
      <c r="G903" s="285"/>
      <c r="H903" s="283"/>
      <c r="I903" s="283"/>
      <c r="J903" s="283"/>
      <c r="K903" s="283"/>
      <c r="L903" s="288"/>
      <c r="M903" s="288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  <c r="AA903" s="159"/>
    </row>
    <row r="904">
      <c r="A904" s="274"/>
      <c r="B904" s="281"/>
      <c r="C904" s="282"/>
      <c r="D904" s="283"/>
      <c r="E904" s="284"/>
      <c r="F904" s="284"/>
      <c r="G904" s="285"/>
      <c r="H904" s="283"/>
      <c r="I904" s="283"/>
      <c r="J904" s="283"/>
      <c r="K904" s="283"/>
      <c r="L904" s="288"/>
      <c r="M904" s="288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  <c r="AA904" s="159"/>
    </row>
    <row r="905">
      <c r="A905" s="274"/>
      <c r="B905" s="281"/>
      <c r="C905" s="282"/>
      <c r="D905" s="283"/>
      <c r="E905" s="284"/>
      <c r="F905" s="284"/>
      <c r="G905" s="285"/>
      <c r="H905" s="283"/>
      <c r="I905" s="283"/>
      <c r="J905" s="283"/>
      <c r="K905" s="283"/>
      <c r="L905" s="288"/>
      <c r="M905" s="288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  <c r="AA905" s="159"/>
    </row>
    <row r="906">
      <c r="A906" s="274"/>
      <c r="B906" s="281"/>
      <c r="C906" s="282"/>
      <c r="D906" s="283"/>
      <c r="E906" s="284"/>
      <c r="F906" s="284"/>
      <c r="G906" s="285"/>
      <c r="H906" s="283"/>
      <c r="I906" s="283"/>
      <c r="J906" s="283"/>
      <c r="K906" s="283"/>
      <c r="L906" s="288"/>
      <c r="M906" s="288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  <c r="AA906" s="159"/>
    </row>
    <row r="907">
      <c r="A907" s="274"/>
      <c r="B907" s="281"/>
      <c r="C907" s="282"/>
      <c r="D907" s="283"/>
      <c r="E907" s="284"/>
      <c r="F907" s="284"/>
      <c r="G907" s="285"/>
      <c r="H907" s="283"/>
      <c r="I907" s="283"/>
      <c r="J907" s="283"/>
      <c r="K907" s="283"/>
      <c r="L907" s="288"/>
      <c r="M907" s="288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  <c r="AA907" s="159"/>
    </row>
    <row r="908">
      <c r="A908" s="274"/>
      <c r="B908" s="281"/>
      <c r="C908" s="282"/>
      <c r="D908" s="283"/>
      <c r="E908" s="284"/>
      <c r="F908" s="284"/>
      <c r="G908" s="285"/>
      <c r="H908" s="283"/>
      <c r="I908" s="283"/>
      <c r="J908" s="283"/>
      <c r="K908" s="283"/>
      <c r="L908" s="288"/>
      <c r="M908" s="288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  <c r="AA908" s="159"/>
    </row>
    <row r="909">
      <c r="A909" s="274"/>
      <c r="B909" s="281"/>
      <c r="C909" s="282"/>
      <c r="D909" s="283"/>
      <c r="E909" s="284"/>
      <c r="F909" s="284"/>
      <c r="G909" s="285"/>
      <c r="H909" s="283"/>
      <c r="I909" s="283"/>
      <c r="J909" s="283"/>
      <c r="K909" s="283"/>
      <c r="L909" s="288"/>
      <c r="M909" s="288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  <c r="AA909" s="159"/>
    </row>
    <row r="910">
      <c r="A910" s="274"/>
      <c r="B910" s="281"/>
      <c r="C910" s="282"/>
      <c r="D910" s="283"/>
      <c r="E910" s="284"/>
      <c r="F910" s="284"/>
      <c r="G910" s="285"/>
      <c r="H910" s="283"/>
      <c r="I910" s="283"/>
      <c r="J910" s="283"/>
      <c r="K910" s="283"/>
      <c r="L910" s="288"/>
      <c r="M910" s="288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  <c r="AA910" s="159"/>
    </row>
    <row r="911">
      <c r="A911" s="274"/>
      <c r="B911" s="281"/>
      <c r="C911" s="282"/>
      <c r="D911" s="283"/>
      <c r="E911" s="284"/>
      <c r="F911" s="284"/>
      <c r="G911" s="285"/>
      <c r="H911" s="283"/>
      <c r="I911" s="283"/>
      <c r="J911" s="283"/>
      <c r="K911" s="283"/>
      <c r="L911" s="288"/>
      <c r="M911" s="288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  <c r="AA911" s="159"/>
    </row>
    <row r="912">
      <c r="A912" s="274"/>
      <c r="B912" s="281"/>
      <c r="C912" s="282"/>
      <c r="D912" s="283"/>
      <c r="E912" s="284"/>
      <c r="F912" s="284"/>
      <c r="G912" s="285"/>
      <c r="H912" s="283"/>
      <c r="I912" s="283"/>
      <c r="J912" s="283"/>
      <c r="K912" s="283"/>
      <c r="L912" s="288"/>
      <c r="M912" s="288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  <c r="AA912" s="159"/>
    </row>
    <row r="913">
      <c r="A913" s="274"/>
      <c r="B913" s="281"/>
      <c r="C913" s="282"/>
      <c r="D913" s="283"/>
      <c r="E913" s="284"/>
      <c r="F913" s="284"/>
      <c r="G913" s="285"/>
      <c r="H913" s="283"/>
      <c r="I913" s="283"/>
      <c r="J913" s="283"/>
      <c r="K913" s="283"/>
      <c r="L913" s="288"/>
      <c r="M913" s="288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  <c r="AA913" s="159"/>
    </row>
    <row r="914">
      <c r="A914" s="274"/>
      <c r="B914" s="281"/>
      <c r="C914" s="282"/>
      <c r="D914" s="283"/>
      <c r="E914" s="284"/>
      <c r="F914" s="284"/>
      <c r="G914" s="285"/>
      <c r="H914" s="283"/>
      <c r="I914" s="283"/>
      <c r="J914" s="283"/>
      <c r="K914" s="283"/>
      <c r="L914" s="288"/>
      <c r="M914" s="288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  <c r="AA914" s="159"/>
    </row>
    <row r="915">
      <c r="A915" s="274"/>
      <c r="B915" s="281"/>
      <c r="C915" s="282"/>
      <c r="D915" s="283"/>
      <c r="E915" s="284"/>
      <c r="F915" s="284"/>
      <c r="G915" s="285"/>
      <c r="H915" s="283"/>
      <c r="I915" s="283"/>
      <c r="J915" s="283"/>
      <c r="K915" s="283"/>
      <c r="L915" s="288"/>
      <c r="M915" s="288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  <c r="AA915" s="159"/>
    </row>
    <row r="916">
      <c r="A916" s="274"/>
      <c r="B916" s="281"/>
      <c r="C916" s="282"/>
      <c r="D916" s="283"/>
      <c r="E916" s="284"/>
      <c r="F916" s="284"/>
      <c r="G916" s="285"/>
      <c r="H916" s="283"/>
      <c r="I916" s="283"/>
      <c r="J916" s="283"/>
      <c r="K916" s="283"/>
      <c r="L916" s="288"/>
      <c r="M916" s="288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  <c r="AA916" s="159"/>
    </row>
    <row r="917">
      <c r="A917" s="274"/>
      <c r="B917" s="281"/>
      <c r="C917" s="282"/>
      <c r="D917" s="283"/>
      <c r="E917" s="284"/>
      <c r="F917" s="284"/>
      <c r="G917" s="285"/>
      <c r="H917" s="283"/>
      <c r="I917" s="283"/>
      <c r="J917" s="283"/>
      <c r="K917" s="283"/>
      <c r="L917" s="288"/>
      <c r="M917" s="288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  <c r="AA917" s="159"/>
    </row>
    <row r="918">
      <c r="A918" s="274"/>
      <c r="B918" s="281"/>
      <c r="C918" s="282"/>
      <c r="D918" s="283"/>
      <c r="E918" s="284"/>
      <c r="F918" s="284"/>
      <c r="G918" s="285"/>
      <c r="H918" s="283"/>
      <c r="I918" s="283"/>
      <c r="J918" s="283"/>
      <c r="K918" s="283"/>
      <c r="L918" s="288"/>
      <c r="M918" s="288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  <c r="AA918" s="159"/>
    </row>
    <row r="919">
      <c r="A919" s="274"/>
      <c r="B919" s="281"/>
      <c r="C919" s="282"/>
      <c r="D919" s="283"/>
      <c r="E919" s="284"/>
      <c r="F919" s="284"/>
      <c r="G919" s="285"/>
      <c r="H919" s="283"/>
      <c r="I919" s="283"/>
      <c r="J919" s="283"/>
      <c r="K919" s="283"/>
      <c r="L919" s="288"/>
      <c r="M919" s="288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  <c r="AA919" s="159"/>
    </row>
    <row r="920">
      <c r="A920" s="274"/>
      <c r="B920" s="281"/>
      <c r="C920" s="282"/>
      <c r="D920" s="283"/>
      <c r="E920" s="284"/>
      <c r="F920" s="284"/>
      <c r="G920" s="285"/>
      <c r="H920" s="283"/>
      <c r="I920" s="283"/>
      <c r="J920" s="283"/>
      <c r="K920" s="283"/>
      <c r="L920" s="288"/>
      <c r="M920" s="288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  <c r="AA920" s="159"/>
    </row>
    <row r="921">
      <c r="A921" s="274"/>
      <c r="B921" s="281"/>
      <c r="C921" s="282"/>
      <c r="D921" s="283"/>
      <c r="E921" s="284"/>
      <c r="F921" s="284"/>
      <c r="G921" s="285"/>
      <c r="H921" s="283"/>
      <c r="I921" s="283"/>
      <c r="J921" s="283"/>
      <c r="K921" s="283"/>
      <c r="L921" s="288"/>
      <c r="M921" s="288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  <c r="AA921" s="159"/>
    </row>
    <row r="922">
      <c r="A922" s="274"/>
      <c r="B922" s="281"/>
      <c r="C922" s="282"/>
      <c r="D922" s="283"/>
      <c r="E922" s="284"/>
      <c r="F922" s="284"/>
      <c r="G922" s="285"/>
      <c r="H922" s="283"/>
      <c r="I922" s="283"/>
      <c r="J922" s="283"/>
      <c r="K922" s="283"/>
      <c r="L922" s="288"/>
      <c r="M922" s="288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  <c r="AA922" s="159"/>
    </row>
    <row r="923">
      <c r="A923" s="274"/>
      <c r="B923" s="281"/>
      <c r="C923" s="282"/>
      <c r="D923" s="283"/>
      <c r="E923" s="284"/>
      <c r="F923" s="284"/>
      <c r="G923" s="285"/>
      <c r="H923" s="283"/>
      <c r="I923" s="283"/>
      <c r="J923" s="283"/>
      <c r="K923" s="283"/>
      <c r="L923" s="288"/>
      <c r="M923" s="288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  <c r="AA923" s="159"/>
    </row>
    <row r="924">
      <c r="A924" s="274"/>
      <c r="B924" s="281"/>
      <c r="C924" s="282"/>
      <c r="D924" s="283"/>
      <c r="E924" s="284"/>
      <c r="F924" s="284"/>
      <c r="G924" s="285"/>
      <c r="H924" s="283"/>
      <c r="I924" s="283"/>
      <c r="J924" s="283"/>
      <c r="K924" s="283"/>
      <c r="L924" s="288"/>
      <c r="M924" s="288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  <c r="AA924" s="159"/>
    </row>
    <row r="925">
      <c r="A925" s="274"/>
      <c r="B925" s="281"/>
      <c r="C925" s="282"/>
      <c r="D925" s="283"/>
      <c r="E925" s="284"/>
      <c r="F925" s="284"/>
      <c r="G925" s="285"/>
      <c r="H925" s="283"/>
      <c r="I925" s="283"/>
      <c r="J925" s="283"/>
      <c r="K925" s="283"/>
      <c r="L925" s="288"/>
      <c r="M925" s="288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  <c r="AA925" s="159"/>
    </row>
    <row r="926">
      <c r="A926" s="274"/>
      <c r="B926" s="281"/>
      <c r="C926" s="282"/>
      <c r="D926" s="283"/>
      <c r="E926" s="284"/>
      <c r="F926" s="284"/>
      <c r="G926" s="285"/>
      <c r="H926" s="283"/>
      <c r="I926" s="283"/>
      <c r="J926" s="283"/>
      <c r="K926" s="283"/>
      <c r="L926" s="288"/>
      <c r="M926" s="288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  <c r="AA926" s="159"/>
    </row>
    <row r="927">
      <c r="A927" s="274"/>
      <c r="B927" s="281"/>
      <c r="C927" s="282"/>
      <c r="D927" s="283"/>
      <c r="E927" s="284"/>
      <c r="F927" s="284"/>
      <c r="G927" s="285"/>
      <c r="H927" s="283"/>
      <c r="I927" s="283"/>
      <c r="J927" s="283"/>
      <c r="K927" s="283"/>
      <c r="L927" s="288"/>
      <c r="M927" s="288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  <c r="AA927" s="159"/>
    </row>
    <row r="928">
      <c r="A928" s="274"/>
      <c r="B928" s="281"/>
      <c r="C928" s="282"/>
      <c r="D928" s="283"/>
      <c r="E928" s="284"/>
      <c r="F928" s="284"/>
      <c r="G928" s="285"/>
      <c r="H928" s="283"/>
      <c r="I928" s="283"/>
      <c r="J928" s="283"/>
      <c r="K928" s="283"/>
      <c r="L928" s="288"/>
      <c r="M928" s="288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  <c r="AA928" s="159"/>
    </row>
    <row r="929">
      <c r="A929" s="274"/>
      <c r="B929" s="281"/>
      <c r="C929" s="282"/>
      <c r="D929" s="283"/>
      <c r="E929" s="284"/>
      <c r="F929" s="284"/>
      <c r="G929" s="285"/>
      <c r="H929" s="283"/>
      <c r="I929" s="283"/>
      <c r="J929" s="283"/>
      <c r="K929" s="283"/>
      <c r="L929" s="288"/>
      <c r="M929" s="288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  <c r="AA929" s="159"/>
    </row>
    <row r="930">
      <c r="A930" s="274"/>
      <c r="B930" s="281"/>
      <c r="C930" s="282"/>
      <c r="D930" s="283"/>
      <c r="E930" s="284"/>
      <c r="F930" s="284"/>
      <c r="G930" s="285"/>
      <c r="H930" s="283"/>
      <c r="I930" s="283"/>
      <c r="J930" s="283"/>
      <c r="K930" s="283"/>
      <c r="L930" s="288"/>
      <c r="M930" s="288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  <c r="AA930" s="159"/>
    </row>
    <row r="931">
      <c r="A931" s="274"/>
      <c r="B931" s="281"/>
      <c r="C931" s="282"/>
      <c r="D931" s="283"/>
      <c r="E931" s="284"/>
      <c r="F931" s="284"/>
      <c r="G931" s="285"/>
      <c r="H931" s="283"/>
      <c r="I931" s="283"/>
      <c r="J931" s="283"/>
      <c r="K931" s="283"/>
      <c r="L931" s="288"/>
      <c r="M931" s="288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  <c r="AA931" s="159"/>
    </row>
    <row r="932">
      <c r="A932" s="274"/>
      <c r="B932" s="281"/>
      <c r="C932" s="282"/>
      <c r="D932" s="283"/>
      <c r="E932" s="284"/>
      <c r="F932" s="284"/>
      <c r="G932" s="285"/>
      <c r="H932" s="283"/>
      <c r="I932" s="283"/>
      <c r="J932" s="283"/>
      <c r="K932" s="283"/>
      <c r="L932" s="288"/>
      <c r="M932" s="288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  <c r="AA932" s="159"/>
    </row>
    <row r="933">
      <c r="A933" s="274"/>
      <c r="B933" s="281"/>
      <c r="C933" s="282"/>
      <c r="D933" s="283"/>
      <c r="E933" s="284"/>
      <c r="F933" s="284"/>
      <c r="G933" s="285"/>
      <c r="H933" s="283"/>
      <c r="I933" s="283"/>
      <c r="J933" s="283"/>
      <c r="K933" s="283"/>
      <c r="L933" s="288"/>
      <c r="M933" s="288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  <c r="AA933" s="159"/>
    </row>
    <row r="934">
      <c r="A934" s="274"/>
      <c r="B934" s="281"/>
      <c r="C934" s="282"/>
      <c r="D934" s="283"/>
      <c r="E934" s="284"/>
      <c r="F934" s="284"/>
      <c r="G934" s="285"/>
      <c r="H934" s="283"/>
      <c r="I934" s="283"/>
      <c r="J934" s="283"/>
      <c r="K934" s="283"/>
      <c r="L934" s="288"/>
      <c r="M934" s="288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  <c r="AA934" s="159"/>
    </row>
    <row r="935">
      <c r="A935" s="274"/>
      <c r="B935" s="281"/>
      <c r="C935" s="282"/>
      <c r="D935" s="283"/>
      <c r="E935" s="284"/>
      <c r="F935" s="284"/>
      <c r="G935" s="285"/>
      <c r="H935" s="283"/>
      <c r="I935" s="283"/>
      <c r="J935" s="283"/>
      <c r="K935" s="283"/>
      <c r="L935" s="288"/>
      <c r="M935" s="288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  <c r="AA935" s="159"/>
    </row>
    <row r="936">
      <c r="A936" s="274"/>
      <c r="B936" s="281"/>
      <c r="C936" s="282"/>
      <c r="D936" s="283"/>
      <c r="E936" s="284"/>
      <c r="F936" s="284"/>
      <c r="G936" s="285"/>
      <c r="H936" s="283"/>
      <c r="I936" s="283"/>
      <c r="J936" s="283"/>
      <c r="K936" s="283"/>
      <c r="L936" s="288"/>
      <c r="M936" s="288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  <c r="AA936" s="159"/>
    </row>
    <row r="937">
      <c r="A937" s="274"/>
      <c r="B937" s="281"/>
      <c r="C937" s="282"/>
      <c r="D937" s="283"/>
      <c r="E937" s="284"/>
      <c r="F937" s="284"/>
      <c r="G937" s="285"/>
      <c r="H937" s="283"/>
      <c r="I937" s="283"/>
      <c r="J937" s="283"/>
      <c r="K937" s="283"/>
      <c r="L937" s="288"/>
      <c r="M937" s="288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  <c r="AA937" s="159"/>
    </row>
    <row r="938">
      <c r="A938" s="274"/>
      <c r="B938" s="281"/>
      <c r="C938" s="282"/>
      <c r="D938" s="283"/>
      <c r="E938" s="284"/>
      <c r="F938" s="284"/>
      <c r="G938" s="285"/>
      <c r="H938" s="283"/>
      <c r="I938" s="283"/>
      <c r="J938" s="283"/>
      <c r="K938" s="283"/>
      <c r="L938" s="288"/>
      <c r="M938" s="288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  <c r="AA938" s="159"/>
    </row>
    <row r="939">
      <c r="A939" s="274"/>
      <c r="B939" s="281"/>
      <c r="C939" s="282"/>
      <c r="D939" s="283"/>
      <c r="E939" s="284"/>
      <c r="F939" s="284"/>
      <c r="G939" s="285"/>
      <c r="H939" s="283"/>
      <c r="I939" s="283"/>
      <c r="J939" s="283"/>
      <c r="K939" s="283"/>
      <c r="L939" s="288"/>
      <c r="M939" s="288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  <c r="AA939" s="159"/>
    </row>
    <row r="940">
      <c r="A940" s="274"/>
      <c r="B940" s="281"/>
      <c r="C940" s="282"/>
      <c r="D940" s="283"/>
      <c r="E940" s="284"/>
      <c r="F940" s="284"/>
      <c r="G940" s="285"/>
      <c r="H940" s="283"/>
      <c r="I940" s="283"/>
      <c r="J940" s="283"/>
      <c r="K940" s="283"/>
      <c r="L940" s="288"/>
      <c r="M940" s="288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  <c r="AA940" s="159"/>
    </row>
    <row r="941">
      <c r="A941" s="274"/>
      <c r="B941" s="281"/>
      <c r="C941" s="282"/>
      <c r="D941" s="283"/>
      <c r="E941" s="284"/>
      <c r="F941" s="284"/>
      <c r="G941" s="285"/>
      <c r="H941" s="283"/>
      <c r="I941" s="283"/>
      <c r="J941" s="283"/>
      <c r="K941" s="283"/>
      <c r="L941" s="288"/>
      <c r="M941" s="288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  <c r="AA941" s="159"/>
    </row>
    <row r="942">
      <c r="A942" s="274"/>
      <c r="B942" s="281"/>
      <c r="C942" s="282"/>
      <c r="D942" s="283"/>
      <c r="E942" s="284"/>
      <c r="F942" s="284"/>
      <c r="G942" s="285"/>
      <c r="H942" s="283"/>
      <c r="I942" s="283"/>
      <c r="J942" s="283"/>
      <c r="K942" s="283"/>
      <c r="L942" s="288"/>
      <c r="M942" s="288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  <c r="AA942" s="159"/>
    </row>
    <row r="943">
      <c r="A943" s="274"/>
      <c r="B943" s="281"/>
      <c r="C943" s="282"/>
      <c r="D943" s="283"/>
      <c r="E943" s="284"/>
      <c r="F943" s="284"/>
      <c r="G943" s="285"/>
      <c r="H943" s="283"/>
      <c r="I943" s="283"/>
      <c r="J943" s="283"/>
      <c r="K943" s="283"/>
      <c r="L943" s="288"/>
      <c r="M943" s="288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  <c r="AA943" s="159"/>
    </row>
    <row r="944">
      <c r="A944" s="274"/>
      <c r="B944" s="281"/>
      <c r="C944" s="282"/>
      <c r="D944" s="283"/>
      <c r="E944" s="284"/>
      <c r="F944" s="284"/>
      <c r="G944" s="285"/>
      <c r="H944" s="283"/>
      <c r="I944" s="283"/>
      <c r="J944" s="283"/>
      <c r="K944" s="283"/>
      <c r="L944" s="288"/>
      <c r="M944" s="288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  <c r="AA944" s="159"/>
    </row>
    <row r="945">
      <c r="A945" s="274"/>
      <c r="B945" s="281"/>
      <c r="C945" s="282"/>
      <c r="D945" s="283"/>
      <c r="E945" s="284"/>
      <c r="F945" s="284"/>
      <c r="G945" s="285"/>
      <c r="H945" s="283"/>
      <c r="I945" s="283"/>
      <c r="J945" s="283"/>
      <c r="K945" s="283"/>
      <c r="L945" s="288"/>
      <c r="M945" s="288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  <c r="AA945" s="159"/>
    </row>
    <row r="946">
      <c r="A946" s="274"/>
      <c r="B946" s="281"/>
      <c r="C946" s="282"/>
      <c r="D946" s="283"/>
      <c r="E946" s="284"/>
      <c r="F946" s="284"/>
      <c r="G946" s="285"/>
      <c r="H946" s="283"/>
      <c r="I946" s="283"/>
      <c r="J946" s="283"/>
      <c r="K946" s="283"/>
      <c r="L946" s="288"/>
      <c r="M946" s="288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  <c r="AA946" s="159"/>
    </row>
    <row r="947">
      <c r="A947" s="274"/>
      <c r="B947" s="281"/>
      <c r="C947" s="282"/>
      <c r="D947" s="283"/>
      <c r="E947" s="284"/>
      <c r="F947" s="284"/>
      <c r="G947" s="285"/>
      <c r="H947" s="283"/>
      <c r="I947" s="283"/>
      <c r="J947" s="283"/>
      <c r="K947" s="283"/>
      <c r="L947" s="288"/>
      <c r="M947" s="288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  <c r="AA947" s="159"/>
    </row>
    <row r="948">
      <c r="A948" s="274"/>
      <c r="B948" s="281"/>
      <c r="C948" s="282"/>
      <c r="D948" s="283"/>
      <c r="E948" s="284"/>
      <c r="F948" s="284"/>
      <c r="G948" s="285"/>
      <c r="H948" s="283"/>
      <c r="I948" s="283"/>
      <c r="J948" s="283"/>
      <c r="K948" s="283"/>
      <c r="L948" s="288"/>
      <c r="M948" s="288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  <c r="AA948" s="159"/>
    </row>
    <row r="949">
      <c r="A949" s="274"/>
      <c r="B949" s="281"/>
      <c r="C949" s="282"/>
      <c r="D949" s="283"/>
      <c r="E949" s="284"/>
      <c r="F949" s="284"/>
      <c r="G949" s="285"/>
      <c r="H949" s="283"/>
      <c r="I949" s="283"/>
      <c r="J949" s="283"/>
      <c r="K949" s="283"/>
      <c r="L949" s="288"/>
      <c r="M949" s="288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  <c r="AA949" s="159"/>
    </row>
    <row r="950">
      <c r="A950" s="274"/>
      <c r="B950" s="281"/>
      <c r="C950" s="282"/>
      <c r="D950" s="283"/>
      <c r="E950" s="284"/>
      <c r="F950" s="284"/>
      <c r="G950" s="285"/>
      <c r="H950" s="283"/>
      <c r="I950" s="283"/>
      <c r="J950" s="283"/>
      <c r="K950" s="283"/>
      <c r="L950" s="288"/>
      <c r="M950" s="288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  <c r="AA950" s="159"/>
    </row>
    <row r="951">
      <c r="A951" s="274"/>
      <c r="B951" s="281"/>
      <c r="C951" s="282"/>
      <c r="D951" s="283"/>
      <c r="E951" s="284"/>
      <c r="F951" s="284"/>
      <c r="G951" s="285"/>
      <c r="H951" s="283"/>
      <c r="I951" s="283"/>
      <c r="J951" s="283"/>
      <c r="K951" s="283"/>
      <c r="L951" s="288"/>
      <c r="M951" s="288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  <c r="AA951" s="159"/>
    </row>
    <row r="952">
      <c r="A952" s="274"/>
      <c r="B952" s="281"/>
      <c r="C952" s="282"/>
      <c r="D952" s="283"/>
      <c r="E952" s="284"/>
      <c r="F952" s="284"/>
      <c r="G952" s="285"/>
      <c r="H952" s="283"/>
      <c r="I952" s="283"/>
      <c r="J952" s="283"/>
      <c r="K952" s="283"/>
      <c r="L952" s="288"/>
      <c r="M952" s="288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  <c r="AA952" s="159"/>
    </row>
    <row r="953">
      <c r="A953" s="274"/>
      <c r="B953" s="281"/>
      <c r="C953" s="282"/>
      <c r="D953" s="283"/>
      <c r="E953" s="284"/>
      <c r="F953" s="284"/>
      <c r="G953" s="285"/>
      <c r="H953" s="283"/>
      <c r="I953" s="283"/>
      <c r="J953" s="283"/>
      <c r="K953" s="283"/>
      <c r="L953" s="288"/>
      <c r="M953" s="288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  <c r="AA953" s="159"/>
    </row>
    <row r="954">
      <c r="A954" s="274"/>
      <c r="B954" s="281"/>
      <c r="C954" s="282"/>
      <c r="D954" s="283"/>
      <c r="E954" s="284"/>
      <c r="F954" s="284"/>
      <c r="G954" s="285"/>
      <c r="H954" s="283"/>
      <c r="I954" s="283"/>
      <c r="J954" s="283"/>
      <c r="K954" s="283"/>
      <c r="L954" s="288"/>
      <c r="M954" s="288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  <c r="AA954" s="159"/>
    </row>
    <row r="955">
      <c r="A955" s="274"/>
      <c r="B955" s="281"/>
      <c r="C955" s="282"/>
      <c r="D955" s="283"/>
      <c r="E955" s="284"/>
      <c r="F955" s="284"/>
      <c r="G955" s="285"/>
      <c r="H955" s="283"/>
      <c r="I955" s="283"/>
      <c r="J955" s="283"/>
      <c r="K955" s="283"/>
      <c r="L955" s="288"/>
      <c r="M955" s="288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  <c r="AA955" s="159"/>
    </row>
    <row r="956">
      <c r="A956" s="274"/>
      <c r="B956" s="281"/>
      <c r="C956" s="282"/>
      <c r="D956" s="283"/>
      <c r="E956" s="284"/>
      <c r="F956" s="284"/>
      <c r="G956" s="285"/>
      <c r="H956" s="283"/>
      <c r="I956" s="283"/>
      <c r="J956" s="283"/>
      <c r="K956" s="283"/>
      <c r="L956" s="288"/>
      <c r="M956" s="288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  <c r="AA956" s="159"/>
    </row>
    <row r="957">
      <c r="A957" s="274"/>
      <c r="B957" s="281"/>
      <c r="C957" s="282"/>
      <c r="D957" s="283"/>
      <c r="E957" s="284"/>
      <c r="F957" s="284"/>
      <c r="G957" s="285"/>
      <c r="H957" s="283"/>
      <c r="I957" s="283"/>
      <c r="J957" s="283"/>
      <c r="K957" s="283"/>
      <c r="L957" s="288"/>
      <c r="M957" s="288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  <c r="AA957" s="159"/>
    </row>
    <row r="958">
      <c r="A958" s="274"/>
      <c r="B958" s="281"/>
      <c r="C958" s="282"/>
      <c r="D958" s="283"/>
      <c r="E958" s="284"/>
      <c r="F958" s="284"/>
      <c r="G958" s="285"/>
      <c r="H958" s="283"/>
      <c r="I958" s="283"/>
      <c r="J958" s="283"/>
      <c r="K958" s="283"/>
      <c r="L958" s="288"/>
      <c r="M958" s="288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  <c r="AA958" s="159"/>
    </row>
    <row r="959">
      <c r="A959" s="274"/>
      <c r="B959" s="281"/>
      <c r="C959" s="282"/>
      <c r="D959" s="283"/>
      <c r="E959" s="284"/>
      <c r="F959" s="284"/>
      <c r="G959" s="285"/>
      <c r="H959" s="283"/>
      <c r="I959" s="283"/>
      <c r="J959" s="283"/>
      <c r="K959" s="283"/>
      <c r="L959" s="288"/>
      <c r="M959" s="288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  <c r="AA959" s="159"/>
    </row>
    <row r="960">
      <c r="A960" s="274"/>
      <c r="B960" s="281"/>
      <c r="C960" s="282"/>
      <c r="D960" s="283"/>
      <c r="E960" s="284"/>
      <c r="F960" s="284"/>
      <c r="G960" s="285"/>
      <c r="H960" s="283"/>
      <c r="I960" s="283"/>
      <c r="J960" s="283"/>
      <c r="K960" s="283"/>
      <c r="L960" s="288"/>
      <c r="M960" s="288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  <c r="AA960" s="159"/>
    </row>
    <row r="961">
      <c r="A961" s="274"/>
      <c r="B961" s="281"/>
      <c r="C961" s="282"/>
      <c r="D961" s="283"/>
      <c r="E961" s="284"/>
      <c r="F961" s="284"/>
      <c r="G961" s="285"/>
      <c r="H961" s="283"/>
      <c r="I961" s="283"/>
      <c r="J961" s="283"/>
      <c r="K961" s="283"/>
      <c r="L961" s="288"/>
      <c r="M961" s="288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  <c r="AA961" s="159"/>
    </row>
    <row r="962">
      <c r="A962" s="274"/>
      <c r="B962" s="281"/>
      <c r="C962" s="282"/>
      <c r="D962" s="283"/>
      <c r="E962" s="284"/>
      <c r="F962" s="284"/>
      <c r="G962" s="285"/>
      <c r="H962" s="283"/>
      <c r="I962" s="283"/>
      <c r="J962" s="283"/>
      <c r="K962" s="283"/>
      <c r="L962" s="288"/>
      <c r="M962" s="288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  <c r="AA962" s="159"/>
    </row>
    <row r="963">
      <c r="A963" s="274"/>
      <c r="B963" s="281"/>
      <c r="C963" s="282"/>
      <c r="D963" s="283"/>
      <c r="E963" s="284"/>
      <c r="F963" s="284"/>
      <c r="G963" s="285"/>
      <c r="H963" s="283"/>
      <c r="I963" s="283"/>
      <c r="J963" s="283"/>
      <c r="K963" s="283"/>
      <c r="L963" s="288"/>
      <c r="M963" s="288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  <c r="AA963" s="159"/>
    </row>
    <row r="964">
      <c r="A964" s="274"/>
      <c r="B964" s="281"/>
      <c r="C964" s="282"/>
      <c r="D964" s="283"/>
      <c r="E964" s="284"/>
      <c r="F964" s="284"/>
      <c r="G964" s="285"/>
      <c r="H964" s="283"/>
      <c r="I964" s="283"/>
      <c r="J964" s="283"/>
      <c r="K964" s="283"/>
      <c r="L964" s="288"/>
      <c r="M964" s="288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  <c r="AA964" s="159"/>
    </row>
    <row r="965">
      <c r="A965" s="274"/>
      <c r="B965" s="281"/>
      <c r="C965" s="282"/>
      <c r="D965" s="283"/>
      <c r="E965" s="284"/>
      <c r="F965" s="284"/>
      <c r="G965" s="285"/>
      <c r="H965" s="283"/>
      <c r="I965" s="283"/>
      <c r="J965" s="283"/>
      <c r="K965" s="283"/>
      <c r="L965" s="288"/>
      <c r="M965" s="288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  <c r="AA965" s="159"/>
    </row>
    <row r="966">
      <c r="A966" s="274"/>
      <c r="B966" s="281"/>
      <c r="C966" s="282"/>
      <c r="D966" s="283"/>
      <c r="E966" s="284"/>
      <c r="F966" s="284"/>
      <c r="G966" s="285"/>
      <c r="H966" s="283"/>
      <c r="I966" s="283"/>
      <c r="J966" s="283"/>
      <c r="K966" s="283"/>
      <c r="L966" s="288"/>
      <c r="M966" s="288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  <c r="AA966" s="159"/>
    </row>
    <row r="967">
      <c r="A967" s="274"/>
      <c r="B967" s="281"/>
      <c r="C967" s="282"/>
      <c r="D967" s="283"/>
      <c r="E967" s="284"/>
      <c r="F967" s="284"/>
      <c r="G967" s="285"/>
      <c r="H967" s="283"/>
      <c r="I967" s="283"/>
      <c r="J967" s="283"/>
      <c r="K967" s="283"/>
      <c r="L967" s="288"/>
      <c r="M967" s="288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  <c r="AA967" s="159"/>
    </row>
    <row r="968">
      <c r="A968" s="274"/>
      <c r="B968" s="281"/>
      <c r="C968" s="282"/>
      <c r="D968" s="283"/>
      <c r="E968" s="284"/>
      <c r="F968" s="284"/>
      <c r="G968" s="285"/>
      <c r="H968" s="283"/>
      <c r="I968" s="283"/>
      <c r="J968" s="283"/>
      <c r="K968" s="283"/>
      <c r="L968" s="288"/>
      <c r="M968" s="288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  <c r="AA968" s="159"/>
    </row>
    <row r="969">
      <c r="A969" s="274"/>
      <c r="B969" s="281"/>
      <c r="C969" s="282"/>
      <c r="D969" s="283"/>
      <c r="E969" s="284"/>
      <c r="F969" s="284"/>
      <c r="G969" s="285"/>
      <c r="H969" s="283"/>
      <c r="I969" s="283"/>
      <c r="J969" s="283"/>
      <c r="K969" s="283"/>
      <c r="L969" s="288"/>
      <c r="M969" s="288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  <c r="AA969" s="159"/>
    </row>
    <row r="970">
      <c r="A970" s="274"/>
      <c r="B970" s="281"/>
      <c r="C970" s="282"/>
      <c r="D970" s="283"/>
      <c r="E970" s="284"/>
      <c r="F970" s="284"/>
      <c r="G970" s="285"/>
      <c r="H970" s="283"/>
      <c r="I970" s="283"/>
      <c r="J970" s="283"/>
      <c r="K970" s="283"/>
      <c r="L970" s="288"/>
      <c r="M970" s="288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  <c r="AA970" s="159"/>
    </row>
    <row r="971">
      <c r="A971" s="274"/>
      <c r="B971" s="281"/>
      <c r="C971" s="282"/>
      <c r="D971" s="283"/>
      <c r="E971" s="284"/>
      <c r="F971" s="284"/>
      <c r="G971" s="285"/>
      <c r="H971" s="283"/>
      <c r="I971" s="283"/>
      <c r="J971" s="283"/>
      <c r="K971" s="283"/>
      <c r="L971" s="288"/>
      <c r="M971" s="288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  <c r="AA971" s="159"/>
    </row>
    <row r="972">
      <c r="A972" s="274"/>
      <c r="B972" s="281"/>
      <c r="C972" s="282"/>
      <c r="D972" s="283"/>
      <c r="E972" s="284"/>
      <c r="F972" s="284"/>
      <c r="G972" s="285"/>
      <c r="H972" s="283"/>
      <c r="I972" s="283"/>
      <c r="J972" s="283"/>
      <c r="K972" s="283"/>
      <c r="L972" s="288"/>
      <c r="M972" s="288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  <c r="AA972" s="159"/>
    </row>
    <row r="973">
      <c r="A973" s="274"/>
      <c r="B973" s="281"/>
      <c r="C973" s="282"/>
      <c r="D973" s="283"/>
      <c r="E973" s="284"/>
      <c r="F973" s="284"/>
      <c r="G973" s="285"/>
      <c r="H973" s="283"/>
      <c r="I973" s="283"/>
      <c r="J973" s="283"/>
      <c r="K973" s="283"/>
      <c r="L973" s="288"/>
      <c r="M973" s="288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  <c r="AA973" s="159"/>
    </row>
    <row r="974">
      <c r="A974" s="274"/>
      <c r="B974" s="281"/>
      <c r="C974" s="282"/>
      <c r="D974" s="283"/>
      <c r="E974" s="284"/>
      <c r="F974" s="284"/>
      <c r="G974" s="285"/>
      <c r="H974" s="283"/>
      <c r="I974" s="283"/>
      <c r="J974" s="283"/>
      <c r="K974" s="283"/>
      <c r="L974" s="288"/>
      <c r="M974" s="288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  <c r="AA974" s="159"/>
    </row>
    <row r="975">
      <c r="A975" s="274"/>
      <c r="B975" s="281"/>
      <c r="C975" s="282"/>
      <c r="D975" s="283"/>
      <c r="E975" s="284"/>
      <c r="F975" s="284"/>
      <c r="G975" s="285"/>
      <c r="H975" s="283"/>
      <c r="I975" s="283"/>
      <c r="J975" s="283"/>
      <c r="K975" s="283"/>
      <c r="L975" s="288"/>
      <c r="M975" s="288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  <c r="AA975" s="159"/>
    </row>
    <row r="976">
      <c r="A976" s="274"/>
      <c r="B976" s="281"/>
      <c r="C976" s="282"/>
      <c r="D976" s="283"/>
      <c r="E976" s="284"/>
      <c r="F976" s="284"/>
      <c r="G976" s="285"/>
      <c r="H976" s="283"/>
      <c r="I976" s="283"/>
      <c r="J976" s="283"/>
      <c r="K976" s="283"/>
      <c r="L976" s="288"/>
      <c r="M976" s="288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  <c r="AA976" s="159"/>
    </row>
    <row r="977">
      <c r="A977" s="274"/>
      <c r="B977" s="281"/>
      <c r="C977" s="282"/>
      <c r="D977" s="283"/>
      <c r="E977" s="284"/>
      <c r="F977" s="284"/>
      <c r="G977" s="285"/>
      <c r="H977" s="283"/>
      <c r="I977" s="283"/>
      <c r="J977" s="283"/>
      <c r="K977" s="283"/>
      <c r="L977" s="288"/>
      <c r="M977" s="288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  <c r="AA977" s="159"/>
    </row>
    <row r="978">
      <c r="A978" s="274"/>
      <c r="B978" s="281"/>
      <c r="C978" s="282"/>
      <c r="D978" s="283"/>
      <c r="E978" s="284"/>
      <c r="F978" s="284"/>
      <c r="G978" s="285"/>
      <c r="H978" s="283"/>
      <c r="I978" s="283"/>
      <c r="J978" s="283"/>
      <c r="K978" s="283"/>
      <c r="L978" s="288"/>
      <c r="M978" s="288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  <c r="AA978" s="159"/>
    </row>
    <row r="979">
      <c r="A979" s="274"/>
      <c r="B979" s="281"/>
      <c r="C979" s="282"/>
      <c r="D979" s="283"/>
      <c r="E979" s="284"/>
      <c r="F979" s="284"/>
      <c r="G979" s="285"/>
      <c r="H979" s="283"/>
      <c r="I979" s="283"/>
      <c r="J979" s="283"/>
      <c r="K979" s="283"/>
      <c r="L979" s="288"/>
      <c r="M979" s="288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  <c r="AA979" s="159"/>
    </row>
    <row r="980">
      <c r="A980" s="274"/>
      <c r="B980" s="281"/>
      <c r="C980" s="282"/>
      <c r="D980" s="283"/>
      <c r="E980" s="284"/>
      <c r="F980" s="284"/>
      <c r="G980" s="285"/>
      <c r="H980" s="283"/>
      <c r="I980" s="283"/>
      <c r="J980" s="283"/>
      <c r="K980" s="283"/>
      <c r="L980" s="288"/>
      <c r="M980" s="288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  <c r="AA980" s="159"/>
    </row>
    <row r="981">
      <c r="A981" s="274"/>
      <c r="B981" s="281"/>
      <c r="C981" s="282"/>
      <c r="D981" s="283"/>
      <c r="E981" s="284"/>
      <c r="F981" s="284"/>
      <c r="G981" s="285"/>
      <c r="H981" s="283"/>
      <c r="I981" s="283"/>
      <c r="J981" s="283"/>
      <c r="K981" s="283"/>
      <c r="L981" s="288"/>
      <c r="M981" s="288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  <c r="AA981" s="159"/>
    </row>
    <row r="982">
      <c r="A982" s="274"/>
      <c r="B982" s="281"/>
      <c r="C982" s="282"/>
      <c r="D982" s="283"/>
      <c r="E982" s="284"/>
      <c r="F982" s="284"/>
      <c r="G982" s="285"/>
      <c r="H982" s="283"/>
      <c r="I982" s="283"/>
      <c r="J982" s="283"/>
      <c r="K982" s="283"/>
      <c r="L982" s="288"/>
      <c r="M982" s="288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  <c r="AA982" s="159"/>
    </row>
    <row r="983">
      <c r="A983" s="274"/>
      <c r="B983" s="281"/>
      <c r="C983" s="282"/>
      <c r="D983" s="283"/>
      <c r="E983" s="284"/>
      <c r="F983" s="284"/>
      <c r="G983" s="285"/>
      <c r="H983" s="283"/>
      <c r="I983" s="283"/>
      <c r="J983" s="283"/>
      <c r="K983" s="283"/>
      <c r="L983" s="288"/>
      <c r="M983" s="288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  <c r="AA983" s="159"/>
    </row>
    <row r="984">
      <c r="A984" s="274"/>
      <c r="B984" s="281"/>
      <c r="C984" s="282"/>
      <c r="D984" s="283"/>
      <c r="E984" s="284"/>
      <c r="F984" s="284"/>
      <c r="G984" s="285"/>
      <c r="H984" s="283"/>
      <c r="I984" s="283"/>
      <c r="J984" s="283"/>
      <c r="K984" s="283"/>
      <c r="L984" s="288"/>
      <c r="M984" s="288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  <c r="AA984" s="159"/>
    </row>
    <row r="985">
      <c r="A985" s="274"/>
      <c r="B985" s="281"/>
      <c r="C985" s="282"/>
      <c r="D985" s="283"/>
      <c r="E985" s="284"/>
      <c r="F985" s="284"/>
      <c r="G985" s="285"/>
      <c r="H985" s="283"/>
      <c r="I985" s="283"/>
      <c r="J985" s="283"/>
      <c r="K985" s="283"/>
      <c r="L985" s="288"/>
      <c r="M985" s="288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  <c r="AA985" s="159"/>
    </row>
    <row r="986">
      <c r="A986" s="274"/>
      <c r="B986" s="281"/>
      <c r="C986" s="282"/>
      <c r="D986" s="283"/>
      <c r="E986" s="284"/>
      <c r="F986" s="284"/>
      <c r="G986" s="285"/>
      <c r="H986" s="283"/>
      <c r="I986" s="283"/>
      <c r="J986" s="283"/>
      <c r="K986" s="283"/>
      <c r="L986" s="288"/>
      <c r="M986" s="288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  <c r="AA986" s="159"/>
    </row>
    <row r="987">
      <c r="A987" s="274"/>
      <c r="B987" s="281"/>
      <c r="C987" s="282"/>
      <c r="D987" s="283"/>
      <c r="E987" s="284"/>
      <c r="F987" s="284"/>
      <c r="G987" s="285"/>
      <c r="H987" s="283"/>
      <c r="I987" s="283"/>
      <c r="J987" s="283"/>
      <c r="K987" s="283"/>
      <c r="L987" s="288"/>
      <c r="M987" s="288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  <c r="AA987" s="159"/>
    </row>
    <row r="988">
      <c r="A988" s="274"/>
      <c r="B988" s="281"/>
      <c r="C988" s="282"/>
      <c r="D988" s="283"/>
      <c r="E988" s="284"/>
      <c r="F988" s="284"/>
      <c r="G988" s="285"/>
      <c r="H988" s="283"/>
      <c r="I988" s="283"/>
      <c r="J988" s="283"/>
      <c r="K988" s="283"/>
      <c r="L988" s="288"/>
      <c r="M988" s="288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  <c r="AA988" s="159"/>
    </row>
    <row r="989">
      <c r="A989" s="274"/>
      <c r="B989" s="281"/>
      <c r="C989" s="282"/>
      <c r="D989" s="283"/>
      <c r="E989" s="284"/>
      <c r="F989" s="284"/>
      <c r="G989" s="285"/>
      <c r="H989" s="283"/>
      <c r="I989" s="283"/>
      <c r="J989" s="283"/>
      <c r="K989" s="283"/>
      <c r="L989" s="288"/>
      <c r="M989" s="288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  <c r="AA989" s="159"/>
    </row>
    <row r="990">
      <c r="A990" s="274"/>
      <c r="B990" s="281"/>
      <c r="C990" s="282"/>
      <c r="D990" s="283"/>
      <c r="E990" s="284"/>
      <c r="F990" s="284"/>
      <c r="G990" s="285"/>
      <c r="H990" s="283"/>
      <c r="I990" s="283"/>
      <c r="J990" s="283"/>
      <c r="K990" s="283"/>
      <c r="L990" s="288"/>
      <c r="M990" s="288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  <c r="AA990" s="159"/>
    </row>
    <row r="991">
      <c r="A991" s="274"/>
      <c r="B991" s="281"/>
      <c r="C991" s="282"/>
      <c r="D991" s="283"/>
      <c r="E991" s="284"/>
      <c r="F991" s="284"/>
      <c r="G991" s="285"/>
      <c r="H991" s="283"/>
      <c r="I991" s="283"/>
      <c r="J991" s="283"/>
      <c r="K991" s="283"/>
      <c r="L991" s="288"/>
      <c r="M991" s="288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  <c r="AA991" s="159"/>
    </row>
    <row r="992">
      <c r="A992" s="274"/>
      <c r="B992" s="281"/>
      <c r="C992" s="282"/>
      <c r="D992" s="283"/>
      <c r="E992" s="284"/>
      <c r="F992" s="284"/>
      <c r="G992" s="285"/>
      <c r="H992" s="283"/>
      <c r="I992" s="283"/>
      <c r="J992" s="283"/>
      <c r="K992" s="283"/>
      <c r="L992" s="288"/>
      <c r="M992" s="288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  <c r="AA992" s="159"/>
    </row>
    <row r="993">
      <c r="A993" s="274"/>
      <c r="B993" s="281"/>
      <c r="C993" s="282"/>
      <c r="D993" s="283"/>
      <c r="E993" s="284"/>
      <c r="F993" s="284"/>
      <c r="G993" s="285"/>
      <c r="H993" s="283"/>
      <c r="I993" s="283"/>
      <c r="J993" s="283"/>
      <c r="K993" s="283"/>
      <c r="L993" s="288"/>
      <c r="M993" s="288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  <c r="AA993" s="159"/>
    </row>
    <row r="994">
      <c r="A994" s="274"/>
      <c r="B994" s="281"/>
      <c r="C994" s="282"/>
      <c r="D994" s="283"/>
      <c r="E994" s="284"/>
      <c r="F994" s="284"/>
      <c r="G994" s="285"/>
      <c r="H994" s="283"/>
      <c r="I994" s="283"/>
      <c r="J994" s="283"/>
      <c r="K994" s="283"/>
      <c r="L994" s="288"/>
      <c r="M994" s="288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  <c r="AA994" s="159"/>
    </row>
    <row r="995">
      <c r="A995" s="274"/>
      <c r="B995" s="281"/>
      <c r="C995" s="282"/>
      <c r="D995" s="283"/>
      <c r="E995" s="284"/>
      <c r="F995" s="284"/>
      <c r="G995" s="285"/>
      <c r="H995" s="283"/>
      <c r="I995" s="283"/>
      <c r="J995" s="283"/>
      <c r="K995" s="283"/>
      <c r="L995" s="288"/>
      <c r="M995" s="288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  <c r="AA995" s="159"/>
    </row>
    <row r="996">
      <c r="A996" s="274"/>
      <c r="B996" s="281"/>
      <c r="C996" s="282"/>
      <c r="D996" s="283"/>
      <c r="E996" s="284"/>
      <c r="F996" s="284"/>
      <c r="G996" s="285"/>
      <c r="H996" s="283"/>
      <c r="I996" s="283"/>
      <c r="J996" s="283"/>
      <c r="K996" s="283"/>
      <c r="L996" s="288"/>
      <c r="M996" s="288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  <c r="AA996" s="159"/>
    </row>
    <row r="997">
      <c r="A997" s="274"/>
      <c r="B997" s="281"/>
      <c r="C997" s="282"/>
      <c r="D997" s="283"/>
      <c r="E997" s="284"/>
      <c r="F997" s="284"/>
      <c r="G997" s="285"/>
      <c r="H997" s="283"/>
      <c r="I997" s="283"/>
      <c r="J997" s="283"/>
      <c r="K997" s="283"/>
      <c r="L997" s="288"/>
      <c r="M997" s="288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  <c r="AA997" s="159"/>
    </row>
    <row r="998">
      <c r="A998" s="274"/>
      <c r="B998" s="281"/>
      <c r="C998" s="282"/>
      <c r="D998" s="283"/>
      <c r="E998" s="284"/>
      <c r="F998" s="284"/>
      <c r="G998" s="285"/>
      <c r="H998" s="283"/>
      <c r="I998" s="283"/>
      <c r="J998" s="283"/>
      <c r="K998" s="283"/>
      <c r="L998" s="288"/>
      <c r="M998" s="288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  <c r="AA998" s="159"/>
    </row>
    <row r="999">
      <c r="A999" s="274"/>
      <c r="B999" s="281"/>
      <c r="C999" s="282"/>
      <c r="D999" s="283"/>
      <c r="E999" s="284"/>
      <c r="F999" s="284"/>
      <c r="G999" s="285"/>
      <c r="H999" s="283"/>
      <c r="I999" s="283"/>
      <c r="J999" s="283"/>
      <c r="K999" s="283"/>
      <c r="L999" s="288"/>
      <c r="M999" s="288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  <c r="AA999" s="159"/>
    </row>
    <row r="1000">
      <c r="A1000" s="274"/>
      <c r="B1000" s="281"/>
      <c r="C1000" s="282"/>
      <c r="D1000" s="283"/>
      <c r="E1000" s="284"/>
      <c r="F1000" s="284"/>
      <c r="G1000" s="285"/>
      <c r="H1000" s="283"/>
      <c r="I1000" s="283"/>
      <c r="J1000" s="283"/>
      <c r="K1000" s="283"/>
      <c r="L1000" s="288"/>
      <c r="M1000" s="288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  <c r="AA1000" s="159"/>
    </row>
    <row r="1001">
      <c r="A1001" s="274"/>
      <c r="B1001" s="281"/>
      <c r="C1001" s="282"/>
      <c r="D1001" s="283"/>
      <c r="E1001" s="284"/>
      <c r="F1001" s="284"/>
      <c r="G1001" s="285"/>
      <c r="H1001" s="283"/>
      <c r="I1001" s="283"/>
      <c r="J1001" s="283"/>
      <c r="K1001" s="283"/>
      <c r="L1001" s="288"/>
      <c r="M1001" s="288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  <c r="AA1001" s="159"/>
    </row>
  </sheetData>
  <mergeCells count="2">
    <mergeCell ref="A1:L1"/>
    <mergeCell ref="A2:L2"/>
  </mergeCells>
  <conditionalFormatting sqref="H4:H36">
    <cfRule type="expression" dxfId="16" priority="1">
      <formula>$H4="Finalizada OK"</formula>
    </cfRule>
  </conditionalFormatting>
  <conditionalFormatting sqref="H4:H36">
    <cfRule type="expression" dxfId="17" priority="2">
      <formula>$H4="Irreparable"</formula>
    </cfRule>
  </conditionalFormatting>
  <conditionalFormatting sqref="H4:H36">
    <cfRule type="expression" dxfId="18" priority="3">
      <formula>$H4="En Diagnóstico"</formula>
    </cfRule>
  </conditionalFormatting>
  <conditionalFormatting sqref="H4:H36">
    <cfRule type="expression" dxfId="19" priority="4">
      <formula>$H4="En Instalación SO"</formula>
    </cfRule>
  </conditionalFormatting>
  <conditionalFormatting sqref="I1:I1001">
    <cfRule type="cellIs" dxfId="5" priority="5" operator="equal">
      <formula>"Finalizada OK"</formula>
    </cfRule>
  </conditionalFormatting>
  <conditionalFormatting sqref="I1:I1001">
    <cfRule type="cellIs" dxfId="6" priority="6" operator="equal">
      <formula>"Pendiente"</formula>
    </cfRule>
  </conditionalFormatting>
  <conditionalFormatting sqref="I1:I1001">
    <cfRule type="cellIs" dxfId="8" priority="7" operator="equal">
      <formula>"Diagnosticando"</formula>
    </cfRule>
  </conditionalFormatting>
  <conditionalFormatting sqref="I1:I1001">
    <cfRule type="cellIs" dxfId="9" priority="8" operator="equal">
      <formula>"Desbloqueada"</formula>
    </cfRule>
  </conditionalFormatting>
  <conditionalFormatting sqref="I1:I1001">
    <cfRule type="cellIs" dxfId="7" priority="9" operator="equal">
      <formula>"Instalando SO"</formula>
    </cfRule>
  </conditionalFormatting>
  <conditionalFormatting sqref="I1:I1001">
    <cfRule type="cellIs" dxfId="10" priority="10" operator="equal">
      <formula>"Configurando"</formula>
    </cfRule>
  </conditionalFormatting>
  <conditionalFormatting sqref="I1:I1001">
    <cfRule type="cellIs" dxfId="11" priority="11" operator="equal">
      <formula>"Probando"</formula>
    </cfRule>
  </conditionalFormatting>
  <conditionalFormatting sqref="I1:I1001">
    <cfRule type="cellIs" dxfId="12" priority="12" operator="equal">
      <formula>"Derivada"</formula>
    </cfRule>
  </conditionalFormatting>
  <dataValidations>
    <dataValidation type="list" allowBlank="1" showErrorMessage="1" sqref="F4:F150">
      <formula1>"EDUNEC,EXO,NOVATECH,BGH,NOBLEX,CX,CORADIR,BANGHÓ,NEWSAN,PCBOX,LENOVO,HAITECH,HAIER"</formula1>
    </dataValidation>
    <dataValidation type="list" allowBlank="1" sqref="D4:D150">
      <formula1>"---,G1,G2,G3,G4,G5,G6,G7,G8,G9"</formula1>
    </dataValidation>
    <dataValidation type="list" allowBlank="1" sqref="H4:H150">
      <formula1>"Recibida,Bloqueada,Desbloqueada,Diagnosticada,SO Instalado,En Pruebas,No Enciende"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4.14"/>
    <col customWidth="1" min="2" max="2" width="16.86"/>
    <col customWidth="1" min="3" max="3" width="12.0"/>
    <col customWidth="1" min="4" max="4" width="15.0"/>
    <col customWidth="1" min="5" max="5" width="17.14"/>
    <col customWidth="1" min="6" max="7" width="16.86"/>
    <col customWidth="1" min="8" max="8" width="17.0"/>
    <col customWidth="1" min="9" max="9" width="23.43"/>
    <col customWidth="1" min="10" max="26" width="21.29"/>
  </cols>
  <sheetData>
    <row r="1" ht="33.75" customHeight="1">
      <c r="A1" s="5" t="s">
        <v>491</v>
      </c>
      <c r="B1" s="2"/>
      <c r="C1" s="2"/>
      <c r="D1" s="2"/>
      <c r="E1" s="2"/>
      <c r="F1" s="2"/>
      <c r="G1" s="2"/>
      <c r="H1" s="3"/>
      <c r="I1" s="170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ht="18.0" customHeight="1">
      <c r="A2" s="23" t="s">
        <v>492</v>
      </c>
      <c r="B2" s="2"/>
      <c r="C2" s="2"/>
      <c r="D2" s="2"/>
      <c r="E2" s="2"/>
      <c r="F2" s="2"/>
      <c r="G2" s="2"/>
      <c r="H2" s="3"/>
      <c r="I2" s="170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33.75" customHeight="1">
      <c r="A3" s="82"/>
      <c r="B3" s="171" t="s">
        <v>493</v>
      </c>
      <c r="C3" s="172" t="s">
        <v>497</v>
      </c>
      <c r="D3" s="173" t="s">
        <v>498</v>
      </c>
      <c r="E3" s="174" t="s">
        <v>499</v>
      </c>
      <c r="F3" s="175" t="s">
        <v>500</v>
      </c>
      <c r="G3" s="176" t="s">
        <v>501</v>
      </c>
      <c r="H3" s="177" t="s">
        <v>502</v>
      </c>
      <c r="I3" s="178" t="s">
        <v>503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21.75" customHeight="1">
      <c r="A4" s="179" t="s">
        <v>504</v>
      </c>
      <c r="B4" s="180">
        <f t="shared" ref="B4:I4" si="1">COUNTA(B5:B1024)</f>
        <v>9</v>
      </c>
      <c r="C4" s="181">
        <f t="shared" si="1"/>
        <v>0</v>
      </c>
      <c r="D4" s="182">
        <f t="shared" si="1"/>
        <v>0</v>
      </c>
      <c r="E4" s="183">
        <f t="shared" si="1"/>
        <v>1</v>
      </c>
      <c r="F4" s="184">
        <f t="shared" si="1"/>
        <v>1</v>
      </c>
      <c r="G4" s="185">
        <f t="shared" si="1"/>
        <v>4</v>
      </c>
      <c r="H4" s="186">
        <f t="shared" si="1"/>
        <v>107</v>
      </c>
      <c r="I4" s="187">
        <f t="shared" si="1"/>
        <v>14</v>
      </c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82"/>
      <c r="B5" s="188" t="s">
        <v>144</v>
      </c>
      <c r="C5" s="189"/>
      <c r="D5" s="190"/>
      <c r="E5" s="191" t="s">
        <v>443</v>
      </c>
      <c r="F5" s="192" t="s">
        <v>168</v>
      </c>
      <c r="G5" s="193" t="s">
        <v>307</v>
      </c>
      <c r="H5" s="194" t="s">
        <v>73</v>
      </c>
      <c r="I5" s="195" t="s">
        <v>114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82"/>
      <c r="B6" s="188" t="s">
        <v>171</v>
      </c>
      <c r="C6" s="189"/>
      <c r="D6" s="190"/>
      <c r="E6" s="191"/>
      <c r="F6" s="192"/>
      <c r="G6" s="193" t="s">
        <v>348</v>
      </c>
      <c r="H6" s="194" t="s">
        <v>96</v>
      </c>
      <c r="I6" s="195" t="s">
        <v>186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82"/>
      <c r="B7" s="188" t="s">
        <v>193</v>
      </c>
      <c r="C7" s="189"/>
      <c r="D7" s="190"/>
      <c r="E7" s="191"/>
      <c r="F7" s="192"/>
      <c r="G7" s="193" t="s">
        <v>346</v>
      </c>
      <c r="H7" s="194" t="s">
        <v>103</v>
      </c>
      <c r="I7" s="195" t="s">
        <v>181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82"/>
      <c r="B8" s="188" t="s">
        <v>235</v>
      </c>
      <c r="C8" s="196"/>
      <c r="D8" s="190"/>
      <c r="E8" s="191"/>
      <c r="F8" s="197"/>
      <c r="G8" s="193" t="s">
        <v>354</v>
      </c>
      <c r="H8" s="194" t="s">
        <v>118</v>
      </c>
      <c r="I8" s="195" t="s">
        <v>174</v>
      </c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B9" s="188" t="s">
        <v>445</v>
      </c>
      <c r="C9" s="189"/>
      <c r="D9" s="190"/>
      <c r="E9" s="191"/>
      <c r="F9" s="197"/>
      <c r="G9" s="198"/>
      <c r="H9" s="194" t="s">
        <v>123</v>
      </c>
      <c r="I9" s="195" t="s">
        <v>176</v>
      </c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82"/>
      <c r="B10" s="188" t="s">
        <v>370</v>
      </c>
      <c r="C10" s="189"/>
      <c r="D10" s="190"/>
      <c r="E10" s="191"/>
      <c r="F10" s="197"/>
      <c r="G10" s="198"/>
      <c r="H10" s="194" t="s">
        <v>127</v>
      </c>
      <c r="I10" s="195" t="s">
        <v>232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82"/>
      <c r="B11" s="188" t="s">
        <v>378</v>
      </c>
      <c r="C11" s="196"/>
      <c r="D11" s="199"/>
      <c r="E11" s="191"/>
      <c r="F11" s="197"/>
      <c r="G11" s="198"/>
      <c r="H11" s="194" t="s">
        <v>133</v>
      </c>
      <c r="I11" s="195" t="s">
        <v>223</v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82"/>
      <c r="B12" s="188" t="s">
        <v>362</v>
      </c>
      <c r="C12" s="196"/>
      <c r="D12" s="199"/>
      <c r="E12" s="191"/>
      <c r="F12" s="197"/>
      <c r="G12" s="198"/>
      <c r="H12" s="194" t="s">
        <v>138</v>
      </c>
      <c r="I12" s="195" t="s">
        <v>260</v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82"/>
      <c r="B13" s="188" t="s">
        <v>384</v>
      </c>
      <c r="C13" s="196"/>
      <c r="D13" s="190"/>
      <c r="E13" s="191"/>
      <c r="F13" s="197"/>
      <c r="G13" s="198"/>
      <c r="H13" s="194" t="s">
        <v>141</v>
      </c>
      <c r="I13" s="195" t="s">
        <v>263</v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82"/>
      <c r="B14" s="188"/>
      <c r="C14" s="196"/>
      <c r="D14" s="190"/>
      <c r="E14" s="191"/>
      <c r="F14" s="197"/>
      <c r="G14" s="198"/>
      <c r="H14" s="194" t="s">
        <v>150</v>
      </c>
      <c r="I14" s="195" t="s">
        <v>421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82"/>
      <c r="B15" s="188"/>
      <c r="C15" s="196"/>
      <c r="D15" s="199"/>
      <c r="E15" s="191"/>
      <c r="F15" s="197"/>
      <c r="G15" s="198"/>
      <c r="H15" s="194" t="s">
        <v>153</v>
      </c>
      <c r="I15" s="195" t="s">
        <v>430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82"/>
      <c r="B16" s="188"/>
      <c r="C16" s="189"/>
      <c r="D16" s="199"/>
      <c r="E16" s="191"/>
      <c r="F16" s="197"/>
      <c r="G16" s="198"/>
      <c r="H16" s="194" t="s">
        <v>155</v>
      </c>
      <c r="I16" s="195" t="s">
        <v>440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82"/>
      <c r="B17" s="188"/>
      <c r="C17" s="189"/>
      <c r="D17" s="199"/>
      <c r="E17" s="191"/>
      <c r="F17" s="197"/>
      <c r="G17" s="198"/>
      <c r="H17" s="194" t="s">
        <v>160</v>
      </c>
      <c r="I17" s="195" t="s">
        <v>442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82"/>
      <c r="B18" s="200"/>
      <c r="C18" s="196"/>
      <c r="D18" s="190"/>
      <c r="E18" s="191"/>
      <c r="F18" s="197"/>
      <c r="G18" s="198"/>
      <c r="H18" s="194" t="s">
        <v>163</v>
      </c>
      <c r="I18" s="195" t="s">
        <v>447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82"/>
      <c r="B19" s="200"/>
      <c r="C19" s="196"/>
      <c r="D19" s="190"/>
      <c r="E19" s="191"/>
      <c r="F19" s="197"/>
      <c r="G19" s="198"/>
      <c r="H19" s="194" t="s">
        <v>190</v>
      </c>
      <c r="I19" s="201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82"/>
      <c r="B20" s="200"/>
      <c r="C20" s="196"/>
      <c r="D20" s="199"/>
      <c r="E20" s="191"/>
      <c r="F20" s="197"/>
      <c r="G20" s="198"/>
      <c r="H20" s="194" t="s">
        <v>183</v>
      </c>
      <c r="I20" s="201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82"/>
      <c r="B21" s="200"/>
      <c r="C21" s="196"/>
      <c r="D21" s="190"/>
      <c r="E21" s="191"/>
      <c r="F21" s="197"/>
      <c r="G21" s="198"/>
      <c r="H21" s="194" t="s">
        <v>199</v>
      </c>
      <c r="I21" s="201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82"/>
      <c r="B22" s="188"/>
      <c r="C22" s="196"/>
      <c r="D22" s="199"/>
      <c r="E22" s="191"/>
      <c r="F22" s="197"/>
      <c r="G22" s="198"/>
      <c r="H22" s="202" t="s">
        <v>196</v>
      </c>
      <c r="I22" s="195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82"/>
      <c r="B23" s="203"/>
      <c r="C23" s="204"/>
      <c r="D23" s="205"/>
      <c r="E23" s="206"/>
      <c r="F23" s="207"/>
      <c r="G23" s="208"/>
      <c r="H23" s="209" t="s">
        <v>212</v>
      </c>
      <c r="I23" s="210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82"/>
      <c r="B24" s="211"/>
      <c r="C24" s="212"/>
      <c r="D24" s="213"/>
      <c r="E24" s="214"/>
      <c r="F24" s="215"/>
      <c r="G24" s="216"/>
      <c r="H24" s="209" t="s">
        <v>202</v>
      </c>
      <c r="I24" s="217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82"/>
      <c r="B25" s="211"/>
      <c r="C25" s="212"/>
      <c r="D25" s="213"/>
      <c r="E25" s="214"/>
      <c r="F25" s="215"/>
      <c r="G25" s="216"/>
      <c r="H25" s="209" t="s">
        <v>375</v>
      </c>
      <c r="I25" s="217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82"/>
      <c r="B26" s="211"/>
      <c r="C26" s="212"/>
      <c r="D26" s="213"/>
      <c r="E26" s="214"/>
      <c r="F26" s="215"/>
      <c r="G26" s="216"/>
      <c r="H26" s="209" t="s">
        <v>208</v>
      </c>
      <c r="I26" s="217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82"/>
      <c r="B27" s="211"/>
      <c r="C27" s="212"/>
      <c r="D27" s="213"/>
      <c r="E27" s="214"/>
      <c r="F27" s="215"/>
      <c r="G27" s="216"/>
      <c r="H27" s="209" t="s">
        <v>221</v>
      </c>
      <c r="I27" s="217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82"/>
      <c r="B28" s="211"/>
      <c r="C28" s="212"/>
      <c r="D28" s="213"/>
      <c r="E28" s="214"/>
      <c r="F28" s="215"/>
      <c r="G28" s="216"/>
      <c r="H28" s="209" t="s">
        <v>216</v>
      </c>
      <c r="I28" s="21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82"/>
      <c r="B29" s="211"/>
      <c r="C29" s="212"/>
      <c r="D29" s="213"/>
      <c r="E29" s="214"/>
      <c r="F29" s="215"/>
      <c r="G29" s="216"/>
      <c r="H29" s="209" t="s">
        <v>226</v>
      </c>
      <c r="I29" s="217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82"/>
      <c r="B30" s="211"/>
      <c r="C30" s="212"/>
      <c r="D30" s="213"/>
      <c r="E30" s="214"/>
      <c r="F30" s="215"/>
      <c r="G30" s="216"/>
      <c r="H30" s="209" t="s">
        <v>218</v>
      </c>
      <c r="I30" s="217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82"/>
      <c r="B31" s="211"/>
      <c r="C31" s="212"/>
      <c r="D31" s="213"/>
      <c r="E31" s="214"/>
      <c r="F31" s="215"/>
      <c r="G31" s="216"/>
      <c r="H31" s="209" t="s">
        <v>229</v>
      </c>
      <c r="I31" s="217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82"/>
      <c r="B32" s="211"/>
      <c r="C32" s="212"/>
      <c r="D32" s="213"/>
      <c r="E32" s="214"/>
      <c r="F32" s="215"/>
      <c r="G32" s="216"/>
      <c r="H32" s="209" t="s">
        <v>240</v>
      </c>
      <c r="I32" s="217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82"/>
      <c r="B33" s="211"/>
      <c r="C33" s="212"/>
      <c r="D33" s="213"/>
      <c r="E33" s="214"/>
      <c r="F33" s="215"/>
      <c r="G33" s="216"/>
      <c r="H33" s="209" t="s">
        <v>245</v>
      </c>
      <c r="I33" s="217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82"/>
      <c r="B34" s="211"/>
      <c r="C34" s="212"/>
      <c r="D34" s="213"/>
      <c r="E34" s="214"/>
      <c r="F34" s="215"/>
      <c r="G34" s="216"/>
      <c r="H34" s="209" t="s">
        <v>248</v>
      </c>
      <c r="I34" s="217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82"/>
      <c r="B35" s="211"/>
      <c r="C35" s="212"/>
      <c r="D35" s="213"/>
      <c r="E35" s="214"/>
      <c r="F35" s="215"/>
      <c r="G35" s="216"/>
      <c r="H35" s="209" t="s">
        <v>246</v>
      </c>
      <c r="I35" s="217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82"/>
      <c r="B36" s="211"/>
      <c r="C36" s="212"/>
      <c r="D36" s="213"/>
      <c r="E36" s="214"/>
      <c r="F36" s="215"/>
      <c r="G36" s="216"/>
      <c r="H36" s="209" t="s">
        <v>251</v>
      </c>
      <c r="I36" s="217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82"/>
      <c r="B37" s="211"/>
      <c r="C37" s="212"/>
      <c r="D37" s="213"/>
      <c r="E37" s="214"/>
      <c r="F37" s="215"/>
      <c r="G37" s="216"/>
      <c r="H37" s="209" t="s">
        <v>254</v>
      </c>
      <c r="I37" s="217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82"/>
      <c r="B38" s="211"/>
      <c r="C38" s="212"/>
      <c r="D38" s="213"/>
      <c r="E38" s="214"/>
      <c r="F38" s="215"/>
      <c r="G38" s="216"/>
      <c r="H38" s="209" t="s">
        <v>264</v>
      </c>
      <c r="I38" s="217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82"/>
      <c r="B39" s="211"/>
      <c r="C39" s="212"/>
      <c r="D39" s="213"/>
      <c r="E39" s="214"/>
      <c r="F39" s="215"/>
      <c r="G39" s="216"/>
      <c r="H39" s="209" t="s">
        <v>257</v>
      </c>
      <c r="I39" s="217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82"/>
      <c r="B40" s="211"/>
      <c r="C40" s="212"/>
      <c r="D40" s="213"/>
      <c r="E40" s="214"/>
      <c r="F40" s="215"/>
      <c r="G40" s="216"/>
      <c r="H40" s="209" t="s">
        <v>267</v>
      </c>
      <c r="I40" s="217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82"/>
      <c r="B41" s="211"/>
      <c r="C41" s="212"/>
      <c r="D41" s="213"/>
      <c r="E41" s="214"/>
      <c r="F41" s="215"/>
      <c r="G41" s="216"/>
      <c r="H41" s="209" t="s">
        <v>273</v>
      </c>
      <c r="I41" s="217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82"/>
      <c r="B42" s="211"/>
      <c r="C42" s="212"/>
      <c r="D42" s="213"/>
      <c r="E42" s="214"/>
      <c r="F42" s="215"/>
      <c r="G42" s="216"/>
      <c r="H42" s="209" t="s">
        <v>271</v>
      </c>
      <c r="I42" s="217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82"/>
      <c r="B43" s="211"/>
      <c r="C43" s="212"/>
      <c r="D43" s="213"/>
      <c r="E43" s="214"/>
      <c r="F43" s="215"/>
      <c r="G43" s="216"/>
      <c r="H43" s="209" t="s">
        <v>274</v>
      </c>
      <c r="I43" s="217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82"/>
      <c r="B44" s="211"/>
      <c r="C44" s="212"/>
      <c r="D44" s="213"/>
      <c r="E44" s="214"/>
      <c r="F44" s="215"/>
      <c r="G44" s="216"/>
      <c r="H44" s="209" t="s">
        <v>276</v>
      </c>
      <c r="I44" s="217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82"/>
      <c r="B45" s="211"/>
      <c r="C45" s="212"/>
      <c r="D45" s="213"/>
      <c r="E45" s="214"/>
      <c r="F45" s="215"/>
      <c r="G45" s="216"/>
      <c r="H45" s="209" t="s">
        <v>281</v>
      </c>
      <c r="I45" s="217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82"/>
      <c r="B46" s="211"/>
      <c r="C46" s="212"/>
      <c r="D46" s="213"/>
      <c r="E46" s="214"/>
      <c r="F46" s="215"/>
      <c r="G46" s="216"/>
      <c r="H46" s="209" t="s">
        <v>279</v>
      </c>
      <c r="I46" s="218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82"/>
      <c r="B47" s="211"/>
      <c r="C47" s="212"/>
      <c r="D47" s="213"/>
      <c r="E47" s="214"/>
      <c r="F47" s="215"/>
      <c r="G47" s="216"/>
      <c r="H47" s="209" t="s">
        <v>286</v>
      </c>
      <c r="I47" s="217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82"/>
      <c r="B48" s="211"/>
      <c r="C48" s="212"/>
      <c r="D48" s="213"/>
      <c r="E48" s="214"/>
      <c r="F48" s="215"/>
      <c r="G48" s="216"/>
      <c r="H48" s="209" t="s">
        <v>301</v>
      </c>
      <c r="I48" s="217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82"/>
      <c r="B49" s="211"/>
      <c r="C49" s="212"/>
      <c r="D49" s="213"/>
      <c r="E49" s="214"/>
      <c r="F49" s="215"/>
      <c r="G49" s="216"/>
      <c r="H49" s="209" t="s">
        <v>282</v>
      </c>
      <c r="I49" s="217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82"/>
      <c r="B50" s="211"/>
      <c r="C50" s="212"/>
      <c r="D50" s="213"/>
      <c r="E50" s="214"/>
      <c r="F50" s="215"/>
      <c r="G50" s="216"/>
      <c r="H50" s="209" t="s">
        <v>295</v>
      </c>
      <c r="I50" s="217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82"/>
      <c r="B51" s="211"/>
      <c r="C51" s="212"/>
      <c r="D51" s="213"/>
      <c r="E51" s="214"/>
      <c r="F51" s="215"/>
      <c r="G51" s="216"/>
      <c r="H51" s="209" t="s">
        <v>288</v>
      </c>
      <c r="I51" s="217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82"/>
      <c r="B52" s="211"/>
      <c r="C52" s="212"/>
      <c r="D52" s="213"/>
      <c r="E52" s="214"/>
      <c r="F52" s="215"/>
      <c r="G52" s="216"/>
      <c r="H52" s="209" t="s">
        <v>293</v>
      </c>
      <c r="I52" s="217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82"/>
      <c r="B53" s="211"/>
      <c r="C53" s="212"/>
      <c r="D53" s="213"/>
      <c r="E53" s="214"/>
      <c r="F53" s="215"/>
      <c r="G53" s="216"/>
      <c r="H53" s="209" t="s">
        <v>305</v>
      </c>
      <c r="I53" s="217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82"/>
      <c r="B54" s="211"/>
      <c r="C54" s="212"/>
      <c r="D54" s="213"/>
      <c r="E54" s="214"/>
      <c r="F54" s="215"/>
      <c r="G54" s="216"/>
      <c r="H54" s="209" t="s">
        <v>284</v>
      </c>
      <c r="I54" s="217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211"/>
      <c r="C55" s="212"/>
      <c r="D55" s="213"/>
      <c r="E55" s="214"/>
      <c r="F55" s="215"/>
      <c r="G55" s="216"/>
      <c r="H55" s="209" t="s">
        <v>321</v>
      </c>
      <c r="I55" s="217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211"/>
      <c r="C56" s="212"/>
      <c r="D56" s="213"/>
      <c r="E56" s="214"/>
      <c r="F56" s="215"/>
      <c r="G56" s="216"/>
      <c r="H56" s="209" t="s">
        <v>320</v>
      </c>
      <c r="I56" s="217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211"/>
      <c r="C57" s="212"/>
      <c r="D57" s="213"/>
      <c r="E57" s="214"/>
      <c r="F57" s="215"/>
      <c r="G57" s="216"/>
      <c r="H57" s="209" t="s">
        <v>316</v>
      </c>
      <c r="I57" s="217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211"/>
      <c r="C58" s="212"/>
      <c r="D58" s="213"/>
      <c r="E58" s="214"/>
      <c r="F58" s="215"/>
      <c r="G58" s="216"/>
      <c r="H58" s="209" t="s">
        <v>322</v>
      </c>
      <c r="I58" s="217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211"/>
      <c r="C59" s="212"/>
      <c r="D59" s="213"/>
      <c r="E59" s="214"/>
      <c r="F59" s="215"/>
      <c r="G59" s="216"/>
      <c r="H59" s="209" t="s">
        <v>303</v>
      </c>
      <c r="I59" s="217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211"/>
      <c r="C60" s="212"/>
      <c r="D60" s="213"/>
      <c r="E60" s="214"/>
      <c r="F60" s="215"/>
      <c r="G60" s="216"/>
      <c r="H60" s="209" t="s">
        <v>298</v>
      </c>
      <c r="I60" s="217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211"/>
      <c r="C61" s="212"/>
      <c r="D61" s="213"/>
      <c r="E61" s="214"/>
      <c r="F61" s="215"/>
      <c r="G61" s="216"/>
      <c r="H61" s="209" t="s">
        <v>290</v>
      </c>
      <c r="I61" s="217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211"/>
      <c r="C62" s="212"/>
      <c r="D62" s="213"/>
      <c r="E62" s="214"/>
      <c r="F62" s="215"/>
      <c r="G62" s="216"/>
      <c r="H62" s="209" t="s">
        <v>296</v>
      </c>
      <c r="I62" s="217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211"/>
      <c r="C63" s="212"/>
      <c r="D63" s="213"/>
      <c r="E63" s="214"/>
      <c r="F63" s="215"/>
      <c r="G63" s="216"/>
      <c r="H63" s="209" t="s">
        <v>311</v>
      </c>
      <c r="I63" s="217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211"/>
      <c r="C64" s="212"/>
      <c r="D64" s="213"/>
      <c r="E64" s="214"/>
      <c r="F64" s="215"/>
      <c r="G64" s="216"/>
      <c r="H64" s="209" t="s">
        <v>314</v>
      </c>
      <c r="I64" s="217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211"/>
      <c r="C65" s="212"/>
      <c r="D65" s="213"/>
      <c r="E65" s="214"/>
      <c r="F65" s="215"/>
      <c r="G65" s="216"/>
      <c r="H65" s="209" t="s">
        <v>328</v>
      </c>
      <c r="I65" s="217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211"/>
      <c r="C66" s="212"/>
      <c r="D66" s="213"/>
      <c r="E66" s="214"/>
      <c r="F66" s="215"/>
      <c r="G66" s="216"/>
      <c r="H66" s="209" t="s">
        <v>300</v>
      </c>
      <c r="I66" s="217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211"/>
      <c r="C67" s="212"/>
      <c r="D67" s="213"/>
      <c r="E67" s="214"/>
      <c r="F67" s="215"/>
      <c r="G67" s="216"/>
      <c r="H67" s="209" t="s">
        <v>304</v>
      </c>
      <c r="I67" s="217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211"/>
      <c r="C68" s="212"/>
      <c r="D68" s="213"/>
      <c r="E68" s="214"/>
      <c r="F68" s="215"/>
      <c r="G68" s="216"/>
      <c r="H68" s="209" t="s">
        <v>323</v>
      </c>
      <c r="I68" s="217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211"/>
      <c r="C69" s="212"/>
      <c r="D69" s="213"/>
      <c r="E69" s="214"/>
      <c r="F69" s="215"/>
      <c r="G69" s="216"/>
      <c r="H69" s="209" t="s">
        <v>325</v>
      </c>
      <c r="I69" s="217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15.75" customHeight="1">
      <c r="A70" s="14"/>
      <c r="B70" s="211"/>
      <c r="C70" s="212"/>
      <c r="D70" s="213"/>
      <c r="E70" s="214"/>
      <c r="F70" s="215"/>
      <c r="G70" s="216"/>
      <c r="H70" s="209" t="s">
        <v>238</v>
      </c>
      <c r="I70" s="217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15.75" customHeight="1">
      <c r="A71" s="14"/>
      <c r="B71" s="211"/>
      <c r="C71" s="212"/>
      <c r="D71" s="213"/>
      <c r="E71" s="214"/>
      <c r="F71" s="215"/>
      <c r="G71" s="216"/>
      <c r="H71" s="209" t="s">
        <v>331</v>
      </c>
      <c r="I71" s="217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15.75" customHeight="1">
      <c r="A72" s="14"/>
      <c r="B72" s="211"/>
      <c r="C72" s="212"/>
      <c r="D72" s="213"/>
      <c r="E72" s="214"/>
      <c r="F72" s="215"/>
      <c r="G72" s="216"/>
      <c r="H72" s="209" t="s">
        <v>335</v>
      </c>
      <c r="I72" s="217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15.75" customHeight="1">
      <c r="A73" s="14"/>
      <c r="B73" s="211"/>
      <c r="C73" s="212"/>
      <c r="D73" s="213"/>
      <c r="E73" s="214"/>
      <c r="F73" s="215"/>
      <c r="G73" s="216"/>
      <c r="H73" s="209" t="s">
        <v>338</v>
      </c>
      <c r="I73" s="217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15.75" customHeight="1">
      <c r="A74" s="14"/>
      <c r="B74" s="211"/>
      <c r="C74" s="212"/>
      <c r="D74" s="213"/>
      <c r="E74" s="214"/>
      <c r="F74" s="215"/>
      <c r="G74" s="216"/>
      <c r="H74" s="209" t="s">
        <v>340</v>
      </c>
      <c r="I74" s="217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15.75" customHeight="1">
      <c r="A75" s="14"/>
      <c r="B75" s="211"/>
      <c r="C75" s="212"/>
      <c r="D75" s="213"/>
      <c r="E75" s="214"/>
      <c r="F75" s="215"/>
      <c r="G75" s="216"/>
      <c r="H75" s="209" t="s">
        <v>343</v>
      </c>
      <c r="I75" s="217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15.75" customHeight="1">
      <c r="A76" s="14"/>
      <c r="B76" s="211"/>
      <c r="C76" s="212"/>
      <c r="D76" s="213"/>
      <c r="E76" s="214"/>
      <c r="F76" s="215"/>
      <c r="G76" s="216"/>
      <c r="H76" s="209" t="s">
        <v>351</v>
      </c>
      <c r="I76" s="217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75" customHeight="1">
      <c r="A77" s="14"/>
      <c r="B77" s="211"/>
      <c r="C77" s="212"/>
      <c r="D77" s="213"/>
      <c r="E77" s="214"/>
      <c r="F77" s="215"/>
      <c r="G77" s="216"/>
      <c r="H77" s="209" t="s">
        <v>356</v>
      </c>
      <c r="I77" s="217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15.75" customHeight="1">
      <c r="A78" s="14"/>
      <c r="B78" s="211"/>
      <c r="C78" s="212"/>
      <c r="D78" s="213"/>
      <c r="E78" s="214"/>
      <c r="F78" s="215"/>
      <c r="G78" s="216"/>
      <c r="H78" s="209" t="s">
        <v>365</v>
      </c>
      <c r="I78" s="217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15.75" customHeight="1">
      <c r="A79" s="14"/>
      <c r="B79" s="211"/>
      <c r="C79" s="212"/>
      <c r="D79" s="213"/>
      <c r="E79" s="214"/>
      <c r="F79" s="215"/>
      <c r="G79" s="216"/>
      <c r="H79" s="209" t="s">
        <v>359</v>
      </c>
      <c r="I79" s="217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15.75" customHeight="1">
      <c r="A80" s="14"/>
      <c r="B80" s="211"/>
      <c r="C80" s="212"/>
      <c r="D80" s="213"/>
      <c r="E80" s="214"/>
      <c r="F80" s="215"/>
      <c r="G80" s="216"/>
      <c r="H80" s="209" t="s">
        <v>387</v>
      </c>
      <c r="I80" s="217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75" customHeight="1">
      <c r="A81" s="14"/>
      <c r="B81" s="211"/>
      <c r="C81" s="212"/>
      <c r="D81" s="213"/>
      <c r="E81" s="214"/>
      <c r="F81" s="215"/>
      <c r="G81" s="216"/>
      <c r="H81" s="209" t="s">
        <v>367</v>
      </c>
      <c r="I81" s="217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15.75" customHeight="1">
      <c r="A82" s="14"/>
      <c r="B82" s="211"/>
      <c r="C82" s="212"/>
      <c r="D82" s="213"/>
      <c r="E82" s="214"/>
      <c r="F82" s="215"/>
      <c r="G82" s="216"/>
      <c r="H82" s="209" t="s">
        <v>206</v>
      </c>
      <c r="I82" s="217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15.75" customHeight="1">
      <c r="A83" s="14"/>
      <c r="B83" s="211"/>
      <c r="C83" s="212"/>
      <c r="D83" s="213"/>
      <c r="E83" s="214"/>
      <c r="F83" s="215"/>
      <c r="G83" s="216"/>
      <c r="H83" s="209" t="s">
        <v>381</v>
      </c>
      <c r="I83" s="217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15.75" customHeight="1">
      <c r="A84" s="14"/>
      <c r="B84" s="211"/>
      <c r="C84" s="212"/>
      <c r="D84" s="213"/>
      <c r="E84" s="214"/>
      <c r="F84" s="215"/>
      <c r="G84" s="216"/>
      <c r="H84" s="209" t="s">
        <v>432</v>
      </c>
      <c r="I84" s="217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15.75" customHeight="1">
      <c r="A85" s="14"/>
      <c r="B85" s="211"/>
      <c r="C85" s="212"/>
      <c r="D85" s="213"/>
      <c r="E85" s="214"/>
      <c r="F85" s="215"/>
      <c r="G85" s="216"/>
      <c r="H85" s="209" t="s">
        <v>373</v>
      </c>
      <c r="I85" s="217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15.75" customHeight="1">
      <c r="A86" s="14"/>
      <c r="B86" s="211"/>
      <c r="C86" s="212"/>
      <c r="D86" s="213"/>
      <c r="E86" s="214"/>
      <c r="F86" s="215"/>
      <c r="G86" s="216"/>
      <c r="H86" s="209" t="s">
        <v>390</v>
      </c>
      <c r="I86" s="217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15.75" customHeight="1">
      <c r="A87" s="14"/>
      <c r="B87" s="211"/>
      <c r="C87" s="212"/>
      <c r="D87" s="213"/>
      <c r="E87" s="214"/>
      <c r="F87" s="215"/>
      <c r="G87" s="216"/>
      <c r="H87" s="209"/>
      <c r="I87" s="217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15.75" customHeight="1">
      <c r="A88" s="14"/>
      <c r="B88" s="211"/>
      <c r="C88" s="212"/>
      <c r="D88" s="213"/>
      <c r="E88" s="214"/>
      <c r="F88" s="215"/>
      <c r="G88" s="216"/>
      <c r="H88" s="209" t="s">
        <v>401</v>
      </c>
      <c r="I88" s="217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15.75" customHeight="1">
      <c r="A89" s="14"/>
      <c r="B89" s="211"/>
      <c r="C89" s="212"/>
      <c r="D89" s="213"/>
      <c r="E89" s="214"/>
      <c r="F89" s="215"/>
      <c r="G89" s="216"/>
      <c r="H89" s="209"/>
      <c r="I89" s="217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15.75" customHeight="1">
      <c r="A90" s="14"/>
      <c r="B90" s="211"/>
      <c r="C90" s="212"/>
      <c r="D90" s="213"/>
      <c r="E90" s="214"/>
      <c r="F90" s="215"/>
      <c r="G90" s="216"/>
      <c r="H90" s="209" t="s">
        <v>408</v>
      </c>
      <c r="I90" s="217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15.75" customHeight="1">
      <c r="A91" s="14"/>
      <c r="B91" s="211"/>
      <c r="C91" s="212"/>
      <c r="D91" s="213"/>
      <c r="E91" s="214"/>
      <c r="F91" s="215"/>
      <c r="G91" s="216"/>
      <c r="H91" s="209"/>
      <c r="I91" s="217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15.75" customHeight="1">
      <c r="A92" s="14"/>
      <c r="B92" s="211"/>
      <c r="C92" s="212"/>
      <c r="D92" s="213"/>
      <c r="E92" s="214"/>
      <c r="F92" s="215"/>
      <c r="G92" s="216"/>
      <c r="H92" s="209" t="s">
        <v>398</v>
      </c>
      <c r="I92" s="217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15.75" customHeight="1">
      <c r="A93" s="14"/>
      <c r="B93" s="211"/>
      <c r="C93" s="212"/>
      <c r="D93" s="213"/>
      <c r="E93" s="214"/>
      <c r="F93" s="215"/>
      <c r="G93" s="216"/>
      <c r="H93" s="209" t="s">
        <v>397</v>
      </c>
      <c r="I93" s="217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75" customHeight="1">
      <c r="A94" s="14"/>
      <c r="B94" s="211"/>
      <c r="C94" s="212"/>
      <c r="D94" s="213"/>
      <c r="E94" s="214"/>
      <c r="F94" s="215"/>
      <c r="G94" s="216"/>
      <c r="H94" s="209" t="s">
        <v>411</v>
      </c>
      <c r="I94" s="217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15.75" customHeight="1">
      <c r="A95" s="14"/>
      <c r="B95" s="211"/>
      <c r="C95" s="212"/>
      <c r="D95" s="213"/>
      <c r="E95" s="214"/>
      <c r="F95" s="215"/>
      <c r="G95" s="216"/>
      <c r="H95" s="209"/>
      <c r="I95" s="217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15.75" customHeight="1">
      <c r="A96" s="14"/>
      <c r="B96" s="211"/>
      <c r="C96" s="212"/>
      <c r="D96" s="213"/>
      <c r="E96" s="214"/>
      <c r="F96" s="215"/>
      <c r="G96" s="216"/>
      <c r="H96" s="209" t="s">
        <v>415</v>
      </c>
      <c r="I96" s="217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15.75" customHeight="1">
      <c r="A97" s="14"/>
      <c r="B97" s="211"/>
      <c r="C97" s="212"/>
      <c r="D97" s="213"/>
      <c r="E97" s="214"/>
      <c r="F97" s="215"/>
      <c r="G97" s="216"/>
      <c r="H97" s="209"/>
      <c r="I97" s="217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15.75" customHeight="1">
      <c r="A98" s="14"/>
      <c r="B98" s="211"/>
      <c r="C98" s="212"/>
      <c r="D98" s="213"/>
      <c r="E98" s="214"/>
      <c r="F98" s="215"/>
      <c r="G98" s="216"/>
      <c r="H98" s="209"/>
      <c r="I98" s="217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15.75" customHeight="1">
      <c r="A99" s="14"/>
      <c r="B99" s="211"/>
      <c r="C99" s="212"/>
      <c r="D99" s="213"/>
      <c r="E99" s="214"/>
      <c r="F99" s="215"/>
      <c r="G99" s="216"/>
      <c r="H99" s="209" t="s">
        <v>419</v>
      </c>
      <c r="I99" s="217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15.75" customHeight="1">
      <c r="A100" s="14"/>
      <c r="B100" s="211"/>
      <c r="C100" s="212"/>
      <c r="D100" s="213"/>
      <c r="E100" s="214"/>
      <c r="F100" s="215"/>
      <c r="G100" s="216"/>
      <c r="H100" s="209"/>
      <c r="I100" s="217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15.75" customHeight="1">
      <c r="A101" s="14"/>
      <c r="B101" s="211"/>
      <c r="C101" s="212"/>
      <c r="D101" s="213"/>
      <c r="E101" s="214"/>
      <c r="F101" s="215"/>
      <c r="G101" s="216"/>
      <c r="H101" s="209" t="s">
        <v>414</v>
      </c>
      <c r="I101" s="217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75" customHeight="1">
      <c r="A102" s="14"/>
      <c r="B102" s="211"/>
      <c r="C102" s="212"/>
      <c r="D102" s="213"/>
      <c r="E102" s="214"/>
      <c r="F102" s="215"/>
      <c r="G102" s="216"/>
      <c r="H102" s="209"/>
      <c r="I102" s="217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5.75" customHeight="1">
      <c r="A103" s="14"/>
      <c r="B103" s="211"/>
      <c r="C103" s="212"/>
      <c r="D103" s="213"/>
      <c r="E103" s="214"/>
      <c r="F103" s="215"/>
      <c r="G103" s="216"/>
      <c r="H103" s="209"/>
      <c r="I103" s="217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 ht="15.75" customHeight="1">
      <c r="A104" s="14"/>
      <c r="B104" s="211"/>
      <c r="C104" s="212"/>
      <c r="D104" s="213"/>
      <c r="E104" s="214"/>
      <c r="F104" s="215"/>
      <c r="G104" s="216"/>
      <c r="H104" s="209"/>
      <c r="I104" s="217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 ht="15.75" customHeight="1">
      <c r="A105" s="14"/>
      <c r="B105" s="211"/>
      <c r="C105" s="212"/>
      <c r="D105" s="213"/>
      <c r="E105" s="214"/>
      <c r="F105" s="215"/>
      <c r="G105" s="216"/>
      <c r="H105" s="209"/>
      <c r="I105" s="217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75" customHeight="1">
      <c r="A106" s="14"/>
      <c r="B106" s="211"/>
      <c r="C106" s="212"/>
      <c r="D106" s="213"/>
      <c r="E106" s="214"/>
      <c r="F106" s="215"/>
      <c r="G106" s="216"/>
      <c r="H106" s="209"/>
      <c r="I106" s="217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75" customHeight="1">
      <c r="A107" s="14"/>
      <c r="B107" s="211"/>
      <c r="C107" s="212"/>
      <c r="D107" s="213"/>
      <c r="E107" s="214"/>
      <c r="F107" s="215"/>
      <c r="G107" s="216"/>
      <c r="H107" s="104"/>
      <c r="I107" s="217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75" customHeight="1">
      <c r="A108" s="14"/>
      <c r="B108" s="211"/>
      <c r="C108" s="212"/>
      <c r="D108" s="213"/>
      <c r="E108" s="214"/>
      <c r="F108" s="215"/>
      <c r="G108" s="216"/>
      <c r="H108" s="209"/>
      <c r="I108" s="217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75" customHeight="1">
      <c r="A109" s="14"/>
      <c r="B109" s="211"/>
      <c r="C109" s="212"/>
      <c r="D109" s="213"/>
      <c r="E109" s="214"/>
      <c r="F109" s="215"/>
      <c r="G109" s="216"/>
      <c r="H109" s="209"/>
      <c r="I109" s="217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75" customHeight="1">
      <c r="A110" s="14"/>
      <c r="B110" s="211"/>
      <c r="C110" s="212"/>
      <c r="D110" s="213"/>
      <c r="E110" s="214"/>
      <c r="F110" s="215"/>
      <c r="G110" s="216"/>
      <c r="H110" s="209" t="s">
        <v>394</v>
      </c>
      <c r="I110" s="217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75" customHeight="1">
      <c r="A111" s="14"/>
      <c r="B111" s="211"/>
      <c r="C111" s="212"/>
      <c r="D111" s="213"/>
      <c r="E111" s="214"/>
      <c r="F111" s="215"/>
      <c r="G111" s="216"/>
      <c r="H111" s="209"/>
      <c r="I111" s="217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75" customHeight="1">
      <c r="A112" s="14"/>
      <c r="B112" s="211"/>
      <c r="C112" s="212"/>
      <c r="D112" s="213"/>
      <c r="E112" s="214"/>
      <c r="F112" s="215"/>
      <c r="G112" s="216"/>
      <c r="H112" s="209"/>
      <c r="I112" s="217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75" customHeight="1">
      <c r="A113" s="14"/>
      <c r="B113" s="211"/>
      <c r="C113" s="212"/>
      <c r="D113" s="213"/>
      <c r="E113" s="214"/>
      <c r="F113" s="215"/>
      <c r="G113" s="216"/>
      <c r="H113" s="209" t="s">
        <v>399</v>
      </c>
      <c r="I113" s="217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75" customHeight="1">
      <c r="A114" s="14"/>
      <c r="B114" s="211"/>
      <c r="C114" s="212"/>
      <c r="D114" s="213"/>
      <c r="E114" s="214"/>
      <c r="F114" s="215"/>
      <c r="G114" s="216"/>
      <c r="H114" s="209"/>
      <c r="I114" s="217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75" customHeight="1">
      <c r="A115" s="14"/>
      <c r="B115" s="211"/>
      <c r="C115" s="212"/>
      <c r="D115" s="213"/>
      <c r="E115" s="214"/>
      <c r="F115" s="215"/>
      <c r="G115" s="216"/>
      <c r="H115" s="209" t="s">
        <v>404</v>
      </c>
      <c r="I115" s="217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75" customHeight="1">
      <c r="A116" s="14"/>
      <c r="B116" s="211"/>
      <c r="C116" s="212"/>
      <c r="D116" s="213"/>
      <c r="E116" s="214"/>
      <c r="F116" s="215"/>
      <c r="G116" s="216"/>
      <c r="H116" s="209" t="s">
        <v>406</v>
      </c>
      <c r="I116" s="217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75" customHeight="1">
      <c r="A117" s="14"/>
      <c r="B117" s="211"/>
      <c r="C117" s="212"/>
      <c r="D117" s="213"/>
      <c r="E117" s="214"/>
      <c r="F117" s="215"/>
      <c r="G117" s="216"/>
      <c r="H117" s="209"/>
      <c r="I117" s="217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75" customHeight="1">
      <c r="A118" s="14"/>
      <c r="B118" s="211"/>
      <c r="C118" s="212"/>
      <c r="D118" s="213"/>
      <c r="E118" s="214"/>
      <c r="F118" s="215"/>
      <c r="G118" s="216"/>
      <c r="H118" s="209" t="s">
        <v>410</v>
      </c>
      <c r="I118" s="217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75" customHeight="1">
      <c r="A119" s="14"/>
      <c r="B119" s="211"/>
      <c r="C119" s="212"/>
      <c r="D119" s="213"/>
      <c r="E119" s="214"/>
      <c r="F119" s="215"/>
      <c r="G119" s="216"/>
      <c r="H119" s="209"/>
      <c r="I119" s="217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75" customHeight="1">
      <c r="A120" s="14"/>
      <c r="B120" s="211"/>
      <c r="C120" s="212"/>
      <c r="D120" s="213"/>
      <c r="E120" s="214"/>
      <c r="F120" s="215"/>
      <c r="G120" s="216"/>
      <c r="H120" s="209"/>
      <c r="I120" s="217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75" customHeight="1">
      <c r="A121" s="14"/>
      <c r="B121" s="211"/>
      <c r="C121" s="212"/>
      <c r="D121" s="213"/>
      <c r="E121" s="214"/>
      <c r="F121" s="215"/>
      <c r="G121" s="216"/>
      <c r="H121" s="209"/>
      <c r="I121" s="217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75" customHeight="1">
      <c r="A122" s="14"/>
      <c r="B122" s="211"/>
      <c r="C122" s="212"/>
      <c r="D122" s="213"/>
      <c r="E122" s="214"/>
      <c r="F122" s="215"/>
      <c r="G122" s="216"/>
      <c r="H122" s="209" t="s">
        <v>416</v>
      </c>
      <c r="I122" s="217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75" customHeight="1">
      <c r="A123" s="14"/>
      <c r="B123" s="211"/>
      <c r="C123" s="212"/>
      <c r="D123" s="213"/>
      <c r="E123" s="214"/>
      <c r="F123" s="215"/>
      <c r="G123" s="216"/>
      <c r="H123" s="209" t="s">
        <v>417</v>
      </c>
      <c r="I123" s="217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75" customHeight="1">
      <c r="A124" s="14"/>
      <c r="B124" s="211"/>
      <c r="C124" s="212"/>
      <c r="D124" s="213"/>
      <c r="E124" s="214"/>
      <c r="F124" s="215"/>
      <c r="G124" s="216"/>
      <c r="H124" s="209"/>
      <c r="I124" s="217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75" customHeight="1">
      <c r="A125" s="14"/>
      <c r="B125" s="211"/>
      <c r="C125" s="212"/>
      <c r="D125" s="213"/>
      <c r="E125" s="214"/>
      <c r="F125" s="215"/>
      <c r="G125" s="216"/>
      <c r="H125" s="209" t="s">
        <v>420</v>
      </c>
      <c r="I125" s="217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75" customHeight="1">
      <c r="A126" s="14"/>
      <c r="B126" s="211"/>
      <c r="C126" s="212"/>
      <c r="D126" s="213"/>
      <c r="E126" s="214"/>
      <c r="F126" s="215"/>
      <c r="G126" s="216"/>
      <c r="H126" s="209" t="s">
        <v>424</v>
      </c>
      <c r="I126" s="217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75" customHeight="1">
      <c r="A127" s="14"/>
      <c r="B127" s="211"/>
      <c r="C127" s="212"/>
      <c r="D127" s="213"/>
      <c r="E127" s="214"/>
      <c r="F127" s="215"/>
      <c r="G127" s="216"/>
      <c r="H127" s="209" t="s">
        <v>423</v>
      </c>
      <c r="I127" s="217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75" customHeight="1">
      <c r="A128" s="14"/>
      <c r="B128" s="211"/>
      <c r="C128" s="212"/>
      <c r="D128" s="213"/>
      <c r="E128" s="214"/>
      <c r="F128" s="215"/>
      <c r="G128" s="216"/>
      <c r="H128" s="209" t="s">
        <v>426</v>
      </c>
      <c r="I128" s="217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75" customHeight="1">
      <c r="A129" s="14"/>
      <c r="B129" s="211"/>
      <c r="C129" s="212"/>
      <c r="D129" s="213"/>
      <c r="E129" s="214"/>
      <c r="F129" s="215"/>
      <c r="G129" s="216"/>
      <c r="H129" s="209" t="s">
        <v>428</v>
      </c>
      <c r="I129" s="217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75" customHeight="1">
      <c r="A130" s="14"/>
      <c r="B130" s="211"/>
      <c r="C130" s="212"/>
      <c r="D130" s="213"/>
      <c r="E130" s="214"/>
      <c r="F130" s="215"/>
      <c r="G130" s="216"/>
      <c r="H130" s="209"/>
      <c r="I130" s="217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75" customHeight="1">
      <c r="A131" s="14"/>
      <c r="B131" s="211"/>
      <c r="C131" s="212"/>
      <c r="D131" s="213"/>
      <c r="E131" s="214"/>
      <c r="F131" s="215"/>
      <c r="G131" s="216"/>
      <c r="H131" s="209" t="s">
        <v>434</v>
      </c>
      <c r="I131" s="217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75" customHeight="1">
      <c r="A132" s="14"/>
      <c r="B132" s="211"/>
      <c r="C132" s="212"/>
      <c r="D132" s="213"/>
      <c r="E132" s="214"/>
      <c r="F132" s="215"/>
      <c r="G132" s="216"/>
      <c r="H132" s="209" t="s">
        <v>436</v>
      </c>
      <c r="I132" s="217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75" customHeight="1">
      <c r="A133" s="14"/>
      <c r="B133" s="211"/>
      <c r="C133" s="212"/>
      <c r="D133" s="213"/>
      <c r="E133" s="214"/>
      <c r="F133" s="215"/>
      <c r="G133" s="216"/>
      <c r="H133" s="209" t="s">
        <v>437</v>
      </c>
      <c r="I133" s="217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75" customHeight="1">
      <c r="A134" s="14"/>
      <c r="B134" s="211"/>
      <c r="C134" s="212"/>
      <c r="D134" s="213"/>
      <c r="E134" s="214"/>
      <c r="F134" s="215"/>
      <c r="G134" s="216"/>
      <c r="H134" s="209" t="s">
        <v>438</v>
      </c>
      <c r="I134" s="217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75" customHeight="1">
      <c r="A135" s="14"/>
      <c r="B135" s="211"/>
      <c r="C135" s="212"/>
      <c r="D135" s="213"/>
      <c r="E135" s="214"/>
      <c r="F135" s="215"/>
      <c r="G135" s="216"/>
      <c r="H135" s="209" t="s">
        <v>439</v>
      </c>
      <c r="I135" s="217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75" customHeight="1">
      <c r="A136" s="14"/>
      <c r="B136" s="211"/>
      <c r="C136" s="212"/>
      <c r="D136" s="213"/>
      <c r="E136" s="214"/>
      <c r="F136" s="215"/>
      <c r="G136" s="216"/>
      <c r="H136" s="209"/>
      <c r="I136" s="217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75" customHeight="1">
      <c r="A137" s="14"/>
      <c r="B137" s="211"/>
      <c r="C137" s="212"/>
      <c r="D137" s="213"/>
      <c r="E137" s="214"/>
      <c r="F137" s="215"/>
      <c r="G137" s="216"/>
      <c r="H137" s="209"/>
      <c r="I137" s="217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75" customHeight="1">
      <c r="A138" s="14"/>
      <c r="B138" s="211"/>
      <c r="C138" s="212"/>
      <c r="D138" s="213"/>
      <c r="E138" s="214"/>
      <c r="F138" s="215"/>
      <c r="G138" s="216"/>
      <c r="H138" s="209"/>
      <c r="I138" s="217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75" customHeight="1">
      <c r="A139" s="14"/>
      <c r="B139" s="211"/>
      <c r="C139" s="212"/>
      <c r="D139" s="213"/>
      <c r="E139" s="214"/>
      <c r="F139" s="215"/>
      <c r="G139" s="216"/>
      <c r="H139" s="209"/>
      <c r="I139" s="217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75" customHeight="1">
      <c r="A140" s="14"/>
      <c r="B140" s="211"/>
      <c r="C140" s="212"/>
      <c r="D140" s="213"/>
      <c r="E140" s="214"/>
      <c r="F140" s="215"/>
      <c r="G140" s="216"/>
      <c r="H140" s="209"/>
      <c r="I140" s="217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75" customHeight="1">
      <c r="A141" s="14"/>
      <c r="B141" s="211"/>
      <c r="C141" s="212"/>
      <c r="D141" s="213"/>
      <c r="E141" s="214"/>
      <c r="F141" s="215"/>
      <c r="G141" s="216"/>
      <c r="H141" s="209"/>
      <c r="I141" s="217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75" customHeight="1">
      <c r="A142" s="14"/>
      <c r="B142" s="211"/>
      <c r="C142" s="212"/>
      <c r="D142" s="213"/>
      <c r="E142" s="214"/>
      <c r="F142" s="215"/>
      <c r="G142" s="216"/>
      <c r="H142" s="209"/>
      <c r="I142" s="217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75" customHeight="1">
      <c r="A143" s="14"/>
      <c r="B143" s="211"/>
      <c r="C143" s="212"/>
      <c r="D143" s="213"/>
      <c r="E143" s="214"/>
      <c r="F143" s="215"/>
      <c r="G143" s="216"/>
      <c r="H143" s="209"/>
      <c r="I143" s="217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75" customHeight="1">
      <c r="A144" s="14"/>
      <c r="B144" s="211"/>
      <c r="C144" s="212"/>
      <c r="D144" s="213"/>
      <c r="E144" s="214"/>
      <c r="F144" s="215"/>
      <c r="G144" s="216"/>
      <c r="H144" s="209"/>
      <c r="I144" s="217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75" customHeight="1">
      <c r="A145" s="14"/>
      <c r="B145" s="211"/>
      <c r="C145" s="212"/>
      <c r="D145" s="213"/>
      <c r="E145" s="214"/>
      <c r="F145" s="215"/>
      <c r="G145" s="216"/>
      <c r="H145" s="209"/>
      <c r="I145" s="217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75" customHeight="1">
      <c r="A146" s="14"/>
      <c r="B146" s="211"/>
      <c r="C146" s="212"/>
      <c r="D146" s="213"/>
      <c r="E146" s="214"/>
      <c r="F146" s="215"/>
      <c r="G146" s="216"/>
      <c r="H146" s="209"/>
      <c r="I146" s="217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75" customHeight="1">
      <c r="A147" s="14"/>
      <c r="B147" s="211"/>
      <c r="C147" s="212"/>
      <c r="D147" s="213"/>
      <c r="E147" s="214"/>
      <c r="F147" s="215"/>
      <c r="G147" s="216"/>
      <c r="H147" s="209"/>
      <c r="I147" s="217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75" customHeight="1">
      <c r="A148" s="14"/>
      <c r="B148" s="211"/>
      <c r="C148" s="212"/>
      <c r="D148" s="213"/>
      <c r="E148" s="214"/>
      <c r="F148" s="215"/>
      <c r="G148" s="216"/>
      <c r="H148" s="209"/>
      <c r="I148" s="217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75" customHeight="1">
      <c r="A149" s="14"/>
      <c r="B149" s="211"/>
      <c r="C149" s="212"/>
      <c r="D149" s="213"/>
      <c r="E149" s="214"/>
      <c r="F149" s="215"/>
      <c r="G149" s="216"/>
      <c r="H149" s="209"/>
      <c r="I149" s="217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75" customHeight="1">
      <c r="A150" s="14"/>
      <c r="B150" s="211"/>
      <c r="C150" s="212"/>
      <c r="D150" s="213"/>
      <c r="E150" s="214"/>
      <c r="F150" s="215"/>
      <c r="G150" s="216"/>
      <c r="H150" s="209"/>
      <c r="I150" s="217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75" customHeight="1">
      <c r="A151" s="14"/>
      <c r="B151" s="211"/>
      <c r="C151" s="212"/>
      <c r="D151" s="213"/>
      <c r="E151" s="214"/>
      <c r="F151" s="215"/>
      <c r="G151" s="216"/>
      <c r="H151" s="209"/>
      <c r="I151" s="217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75" customHeight="1">
      <c r="A152" s="14"/>
      <c r="B152" s="211"/>
      <c r="C152" s="212"/>
      <c r="D152" s="213"/>
      <c r="E152" s="214"/>
      <c r="F152" s="215"/>
      <c r="G152" s="216"/>
      <c r="H152" s="209"/>
      <c r="I152" s="217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75" customHeight="1">
      <c r="A153" s="14"/>
      <c r="B153" s="211"/>
      <c r="C153" s="212"/>
      <c r="D153" s="213"/>
      <c r="E153" s="214"/>
      <c r="F153" s="215"/>
      <c r="G153" s="216"/>
      <c r="H153" s="209"/>
      <c r="I153" s="217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75" customHeight="1">
      <c r="A154" s="14"/>
      <c r="B154" s="211"/>
      <c r="C154" s="212"/>
      <c r="D154" s="213"/>
      <c r="E154" s="214"/>
      <c r="F154" s="215"/>
      <c r="G154" s="216"/>
      <c r="H154" s="209"/>
      <c r="I154" s="217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75" customHeight="1">
      <c r="A155" s="14"/>
      <c r="B155" s="211"/>
      <c r="C155" s="212"/>
      <c r="D155" s="213"/>
      <c r="E155" s="214"/>
      <c r="F155" s="215"/>
      <c r="G155" s="216"/>
      <c r="H155" s="209"/>
      <c r="I155" s="217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75" customHeight="1">
      <c r="A156" s="14"/>
      <c r="B156" s="211"/>
      <c r="C156" s="212"/>
      <c r="D156" s="213"/>
      <c r="E156" s="214"/>
      <c r="F156" s="215"/>
      <c r="G156" s="216"/>
      <c r="H156" s="209"/>
      <c r="I156" s="217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75" customHeight="1">
      <c r="A157" s="14"/>
      <c r="B157" s="211"/>
      <c r="C157" s="212"/>
      <c r="D157" s="213"/>
      <c r="E157" s="214"/>
      <c r="F157" s="215"/>
      <c r="G157" s="216"/>
      <c r="H157" s="209"/>
      <c r="I157" s="217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75" customHeight="1">
      <c r="A158" s="14"/>
      <c r="B158" s="211"/>
      <c r="C158" s="212"/>
      <c r="D158" s="213"/>
      <c r="E158" s="214"/>
      <c r="F158" s="215"/>
      <c r="G158" s="216"/>
      <c r="H158" s="209"/>
      <c r="I158" s="217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75" customHeight="1">
      <c r="A159" s="14"/>
      <c r="B159" s="211"/>
      <c r="C159" s="212"/>
      <c r="D159" s="213"/>
      <c r="E159" s="214"/>
      <c r="F159" s="215"/>
      <c r="G159" s="216"/>
      <c r="H159" s="209"/>
      <c r="I159" s="217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75" customHeight="1">
      <c r="A160" s="14"/>
      <c r="B160" s="211"/>
      <c r="C160" s="212"/>
      <c r="D160" s="213"/>
      <c r="E160" s="214"/>
      <c r="F160" s="215"/>
      <c r="G160" s="216"/>
      <c r="H160" s="209"/>
      <c r="I160" s="217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75" customHeight="1">
      <c r="A161" s="14"/>
      <c r="B161" s="211"/>
      <c r="C161" s="212"/>
      <c r="D161" s="213"/>
      <c r="E161" s="214"/>
      <c r="F161" s="215"/>
      <c r="G161" s="216"/>
      <c r="H161" s="209"/>
      <c r="I161" s="217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75" customHeight="1">
      <c r="A162" s="14"/>
      <c r="B162" s="211"/>
      <c r="C162" s="212"/>
      <c r="D162" s="213"/>
      <c r="E162" s="214"/>
      <c r="F162" s="215"/>
      <c r="G162" s="216"/>
      <c r="H162" s="209"/>
      <c r="I162" s="217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75" customHeight="1">
      <c r="A163" s="14"/>
      <c r="B163" s="211"/>
      <c r="C163" s="212"/>
      <c r="D163" s="213"/>
      <c r="E163" s="214"/>
      <c r="F163" s="215"/>
      <c r="G163" s="216"/>
      <c r="H163" s="209"/>
      <c r="I163" s="217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75" customHeight="1">
      <c r="A164" s="14"/>
      <c r="B164" s="211"/>
      <c r="C164" s="212"/>
      <c r="D164" s="213"/>
      <c r="E164" s="214"/>
      <c r="F164" s="215"/>
      <c r="G164" s="216"/>
      <c r="H164" s="209"/>
      <c r="I164" s="217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75" customHeight="1">
      <c r="A165" s="14"/>
      <c r="B165" s="211"/>
      <c r="C165" s="212"/>
      <c r="D165" s="213"/>
      <c r="E165" s="214"/>
      <c r="F165" s="215"/>
      <c r="G165" s="216"/>
      <c r="H165" s="209"/>
      <c r="I165" s="217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75" customHeight="1">
      <c r="A166" s="14"/>
      <c r="B166" s="211"/>
      <c r="C166" s="212"/>
      <c r="D166" s="213"/>
      <c r="E166" s="214"/>
      <c r="F166" s="215"/>
      <c r="G166" s="216"/>
      <c r="H166" s="209"/>
      <c r="I166" s="217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75" customHeight="1">
      <c r="A167" s="14"/>
      <c r="B167" s="211"/>
      <c r="C167" s="212"/>
      <c r="D167" s="213"/>
      <c r="E167" s="214"/>
      <c r="F167" s="215"/>
      <c r="G167" s="216"/>
      <c r="H167" s="209"/>
      <c r="I167" s="217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75" customHeight="1">
      <c r="A168" s="14"/>
      <c r="B168" s="211"/>
      <c r="C168" s="212"/>
      <c r="D168" s="213"/>
      <c r="E168" s="214"/>
      <c r="F168" s="215"/>
      <c r="G168" s="216"/>
      <c r="H168" s="209"/>
      <c r="I168" s="217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75" customHeight="1">
      <c r="A169" s="14"/>
      <c r="B169" s="211"/>
      <c r="C169" s="212"/>
      <c r="D169" s="213"/>
      <c r="E169" s="214"/>
      <c r="F169" s="215"/>
      <c r="G169" s="216"/>
      <c r="H169" s="209"/>
      <c r="I169" s="217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75" customHeight="1">
      <c r="A170" s="14"/>
      <c r="B170" s="211"/>
      <c r="C170" s="212"/>
      <c r="D170" s="213"/>
      <c r="E170" s="214"/>
      <c r="F170" s="215"/>
      <c r="G170" s="216"/>
      <c r="H170" s="209"/>
      <c r="I170" s="217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75" customHeight="1">
      <c r="A171" s="14"/>
      <c r="B171" s="211"/>
      <c r="C171" s="212"/>
      <c r="D171" s="213"/>
      <c r="E171" s="214"/>
      <c r="F171" s="215"/>
      <c r="G171" s="216"/>
      <c r="H171" s="209"/>
      <c r="I171" s="217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75" customHeight="1">
      <c r="A172" s="14"/>
      <c r="B172" s="211"/>
      <c r="C172" s="212"/>
      <c r="D172" s="213"/>
      <c r="E172" s="214"/>
      <c r="F172" s="215"/>
      <c r="G172" s="216"/>
      <c r="H172" s="209"/>
      <c r="I172" s="217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75" customHeight="1">
      <c r="A173" s="14"/>
      <c r="B173" s="211"/>
      <c r="C173" s="212"/>
      <c r="D173" s="213"/>
      <c r="E173" s="214"/>
      <c r="F173" s="215"/>
      <c r="G173" s="216"/>
      <c r="H173" s="209"/>
      <c r="I173" s="217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75" customHeight="1">
      <c r="A174" s="14"/>
      <c r="B174" s="211"/>
      <c r="C174" s="212"/>
      <c r="D174" s="213"/>
      <c r="E174" s="214"/>
      <c r="F174" s="215"/>
      <c r="G174" s="216"/>
      <c r="H174" s="209"/>
      <c r="I174" s="217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75" customHeight="1">
      <c r="A175" s="14"/>
      <c r="B175" s="211"/>
      <c r="C175" s="212"/>
      <c r="D175" s="213"/>
      <c r="E175" s="214"/>
      <c r="F175" s="215"/>
      <c r="G175" s="216"/>
      <c r="H175" s="209"/>
      <c r="I175" s="217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75" customHeight="1">
      <c r="A176" s="14"/>
      <c r="B176" s="211"/>
      <c r="C176" s="212"/>
      <c r="D176" s="213"/>
      <c r="E176" s="214"/>
      <c r="F176" s="215"/>
      <c r="G176" s="216"/>
      <c r="H176" s="209"/>
      <c r="I176" s="217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75" customHeight="1">
      <c r="A177" s="14"/>
      <c r="B177" s="211"/>
      <c r="C177" s="212"/>
      <c r="D177" s="213"/>
      <c r="E177" s="214"/>
      <c r="F177" s="215"/>
      <c r="G177" s="216"/>
      <c r="H177" s="209"/>
      <c r="I177" s="217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75" customHeight="1">
      <c r="A178" s="14"/>
      <c r="B178" s="211"/>
      <c r="C178" s="212"/>
      <c r="D178" s="213"/>
      <c r="E178" s="214"/>
      <c r="F178" s="215"/>
      <c r="G178" s="216"/>
      <c r="H178" s="209"/>
      <c r="I178" s="217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75" customHeight="1">
      <c r="A179" s="14"/>
      <c r="B179" s="211"/>
      <c r="C179" s="212"/>
      <c r="D179" s="213"/>
      <c r="E179" s="214"/>
      <c r="F179" s="215"/>
      <c r="G179" s="216"/>
      <c r="H179" s="209"/>
      <c r="I179" s="217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75" customHeight="1">
      <c r="A180" s="14"/>
      <c r="B180" s="211"/>
      <c r="C180" s="212"/>
      <c r="D180" s="213"/>
      <c r="E180" s="214"/>
      <c r="F180" s="215"/>
      <c r="G180" s="216"/>
      <c r="H180" s="209"/>
      <c r="I180" s="217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75" customHeight="1">
      <c r="A181" s="14"/>
      <c r="B181" s="211"/>
      <c r="C181" s="212"/>
      <c r="D181" s="213"/>
      <c r="E181" s="214"/>
      <c r="F181" s="215"/>
      <c r="G181" s="216"/>
      <c r="H181" s="209"/>
      <c r="I181" s="217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75" customHeight="1">
      <c r="A182" s="14"/>
      <c r="B182" s="211"/>
      <c r="C182" s="212"/>
      <c r="D182" s="213"/>
      <c r="E182" s="214"/>
      <c r="F182" s="215"/>
      <c r="G182" s="216"/>
      <c r="H182" s="209"/>
      <c r="I182" s="217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75" customHeight="1">
      <c r="A183" s="14"/>
      <c r="B183" s="211"/>
      <c r="C183" s="212"/>
      <c r="D183" s="213"/>
      <c r="E183" s="214"/>
      <c r="F183" s="215"/>
      <c r="G183" s="216"/>
      <c r="H183" s="209"/>
      <c r="I183" s="217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75" customHeight="1">
      <c r="A184" s="14"/>
      <c r="B184" s="211"/>
      <c r="C184" s="212"/>
      <c r="D184" s="213"/>
      <c r="E184" s="214"/>
      <c r="F184" s="215"/>
      <c r="G184" s="216"/>
      <c r="H184" s="209"/>
      <c r="I184" s="217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75" customHeight="1">
      <c r="A185" s="14"/>
      <c r="B185" s="211"/>
      <c r="C185" s="212"/>
      <c r="D185" s="213"/>
      <c r="E185" s="214"/>
      <c r="F185" s="215"/>
      <c r="G185" s="216"/>
      <c r="H185" s="209"/>
      <c r="I185" s="217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75" customHeight="1">
      <c r="A186" s="14"/>
      <c r="B186" s="211"/>
      <c r="C186" s="212"/>
      <c r="D186" s="213"/>
      <c r="E186" s="214"/>
      <c r="F186" s="215"/>
      <c r="G186" s="216"/>
      <c r="H186" s="209"/>
      <c r="I186" s="217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75" customHeight="1">
      <c r="A187" s="14"/>
      <c r="B187" s="211"/>
      <c r="C187" s="212"/>
      <c r="D187" s="213"/>
      <c r="E187" s="214"/>
      <c r="F187" s="215"/>
      <c r="G187" s="216"/>
      <c r="H187" s="209"/>
      <c r="I187" s="217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75" customHeight="1">
      <c r="A188" s="14"/>
      <c r="B188" s="211"/>
      <c r="C188" s="212"/>
      <c r="D188" s="213"/>
      <c r="E188" s="214"/>
      <c r="F188" s="215"/>
      <c r="G188" s="216"/>
      <c r="H188" s="209"/>
      <c r="I188" s="217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75" customHeight="1">
      <c r="A189" s="14"/>
      <c r="B189" s="211"/>
      <c r="C189" s="212"/>
      <c r="D189" s="213"/>
      <c r="E189" s="214"/>
      <c r="F189" s="215"/>
      <c r="G189" s="216"/>
      <c r="H189" s="209"/>
      <c r="I189" s="217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75" customHeight="1">
      <c r="A190" s="14"/>
      <c r="B190" s="211"/>
      <c r="C190" s="212"/>
      <c r="D190" s="213"/>
      <c r="E190" s="214"/>
      <c r="F190" s="215"/>
      <c r="G190" s="216"/>
      <c r="H190" s="209"/>
      <c r="I190" s="217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75" customHeight="1">
      <c r="A191" s="14"/>
      <c r="B191" s="170"/>
      <c r="C191" s="170"/>
      <c r="D191" s="170"/>
      <c r="E191" s="170"/>
      <c r="F191" s="170"/>
      <c r="G191" s="170"/>
      <c r="H191" s="170"/>
      <c r="I191" s="170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75" customHeight="1">
      <c r="A192" s="14"/>
      <c r="B192" s="170"/>
      <c r="C192" s="170"/>
      <c r="D192" s="170"/>
      <c r="E192" s="170"/>
      <c r="F192" s="170"/>
      <c r="G192" s="170"/>
      <c r="H192" s="170"/>
      <c r="I192" s="170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75" customHeight="1">
      <c r="A193" s="14"/>
      <c r="B193" s="170"/>
      <c r="C193" s="170"/>
      <c r="D193" s="170"/>
      <c r="E193" s="170"/>
      <c r="F193" s="170"/>
      <c r="G193" s="170"/>
      <c r="H193" s="170"/>
      <c r="I193" s="170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75" customHeight="1">
      <c r="A194" s="14"/>
      <c r="B194" s="170"/>
      <c r="C194" s="170"/>
      <c r="D194" s="170"/>
      <c r="E194" s="170"/>
      <c r="F194" s="170"/>
      <c r="G194" s="170"/>
      <c r="H194" s="170"/>
      <c r="I194" s="170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75" customHeight="1">
      <c r="A195" s="14"/>
      <c r="B195" s="170"/>
      <c r="C195" s="170"/>
      <c r="D195" s="170"/>
      <c r="E195" s="170"/>
      <c r="F195" s="170"/>
      <c r="G195" s="170"/>
      <c r="H195" s="170"/>
      <c r="I195" s="170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75" customHeight="1">
      <c r="A196" s="14"/>
      <c r="B196" s="170"/>
      <c r="C196" s="170"/>
      <c r="D196" s="170"/>
      <c r="E196" s="170"/>
      <c r="F196" s="170"/>
      <c r="G196" s="170"/>
      <c r="H196" s="170"/>
      <c r="I196" s="170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75" customHeight="1">
      <c r="A197" s="14"/>
      <c r="B197" s="170"/>
      <c r="C197" s="170"/>
      <c r="D197" s="170"/>
      <c r="E197" s="170"/>
      <c r="F197" s="170"/>
      <c r="G197" s="170"/>
      <c r="H197" s="170"/>
      <c r="I197" s="170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75" customHeight="1">
      <c r="A198" s="14"/>
      <c r="B198" s="170"/>
      <c r="C198" s="170"/>
      <c r="D198" s="170"/>
      <c r="E198" s="170"/>
      <c r="F198" s="170"/>
      <c r="G198" s="170"/>
      <c r="H198" s="170"/>
      <c r="I198" s="170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75" customHeight="1">
      <c r="A199" s="14"/>
      <c r="B199" s="170"/>
      <c r="C199" s="170"/>
      <c r="D199" s="170"/>
      <c r="E199" s="170"/>
      <c r="F199" s="170"/>
      <c r="G199" s="170"/>
      <c r="H199" s="170"/>
      <c r="I199" s="170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75" customHeight="1">
      <c r="A200" s="14"/>
      <c r="B200" s="170"/>
      <c r="C200" s="170"/>
      <c r="D200" s="170"/>
      <c r="E200" s="170"/>
      <c r="F200" s="170"/>
      <c r="G200" s="170"/>
      <c r="H200" s="170"/>
      <c r="I200" s="170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75" customHeight="1">
      <c r="A201" s="14"/>
      <c r="B201" s="170"/>
      <c r="C201" s="170"/>
      <c r="D201" s="170"/>
      <c r="E201" s="170"/>
      <c r="F201" s="170"/>
      <c r="G201" s="170"/>
      <c r="H201" s="170"/>
      <c r="I201" s="170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75" customHeight="1">
      <c r="A202" s="14"/>
      <c r="B202" s="170"/>
      <c r="C202" s="170"/>
      <c r="D202" s="170"/>
      <c r="E202" s="170"/>
      <c r="F202" s="170"/>
      <c r="G202" s="170"/>
      <c r="H202" s="170"/>
      <c r="I202" s="170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75" customHeight="1">
      <c r="A203" s="14"/>
      <c r="B203" s="170"/>
      <c r="C203" s="170"/>
      <c r="D203" s="170"/>
      <c r="E203" s="170"/>
      <c r="F203" s="170"/>
      <c r="G203" s="170"/>
      <c r="H203" s="170"/>
      <c r="I203" s="170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75" customHeight="1">
      <c r="A204" s="14"/>
      <c r="B204" s="170"/>
      <c r="C204" s="170"/>
      <c r="D204" s="170"/>
      <c r="E204" s="170"/>
      <c r="F204" s="170"/>
      <c r="G204" s="170"/>
      <c r="H204" s="170"/>
      <c r="I204" s="170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75" customHeight="1">
      <c r="A205" s="14"/>
      <c r="B205" s="170"/>
      <c r="C205" s="170"/>
      <c r="D205" s="170"/>
      <c r="E205" s="170"/>
      <c r="F205" s="170"/>
      <c r="G205" s="170"/>
      <c r="H205" s="170"/>
      <c r="I205" s="170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75" customHeight="1">
      <c r="A206" s="14"/>
      <c r="B206" s="170"/>
      <c r="C206" s="170"/>
      <c r="D206" s="170"/>
      <c r="E206" s="170"/>
      <c r="F206" s="170"/>
      <c r="G206" s="170"/>
      <c r="H206" s="170"/>
      <c r="I206" s="170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75" customHeight="1">
      <c r="A207" s="14"/>
      <c r="B207" s="170"/>
      <c r="C207" s="170"/>
      <c r="D207" s="170"/>
      <c r="E207" s="170"/>
      <c r="F207" s="170"/>
      <c r="G207" s="170"/>
      <c r="H207" s="170"/>
      <c r="I207" s="170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75" customHeight="1">
      <c r="A208" s="14"/>
      <c r="B208" s="170"/>
      <c r="C208" s="170"/>
      <c r="D208" s="170"/>
      <c r="E208" s="170"/>
      <c r="F208" s="170"/>
      <c r="G208" s="170"/>
      <c r="H208" s="170"/>
      <c r="I208" s="170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75" customHeight="1">
      <c r="A209" s="14"/>
      <c r="B209" s="170"/>
      <c r="C209" s="170"/>
      <c r="D209" s="170"/>
      <c r="E209" s="170"/>
      <c r="F209" s="170"/>
      <c r="G209" s="170"/>
      <c r="H209" s="170"/>
      <c r="I209" s="170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75" customHeight="1">
      <c r="A210" s="14"/>
      <c r="B210" s="170"/>
      <c r="C210" s="170"/>
      <c r="D210" s="170"/>
      <c r="E210" s="170"/>
      <c r="F210" s="170"/>
      <c r="G210" s="170"/>
      <c r="H210" s="170"/>
      <c r="I210" s="170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75" customHeight="1">
      <c r="A211" s="14"/>
      <c r="B211" s="170"/>
      <c r="C211" s="170"/>
      <c r="D211" s="170"/>
      <c r="E211" s="170"/>
      <c r="F211" s="170"/>
      <c r="G211" s="170"/>
      <c r="H211" s="170"/>
      <c r="I211" s="170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75" customHeight="1">
      <c r="A212" s="14"/>
      <c r="B212" s="170"/>
      <c r="C212" s="170"/>
      <c r="D212" s="170"/>
      <c r="E212" s="170"/>
      <c r="F212" s="170"/>
      <c r="G212" s="170"/>
      <c r="H212" s="170"/>
      <c r="I212" s="170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75" customHeight="1">
      <c r="A213" s="14"/>
      <c r="B213" s="170"/>
      <c r="C213" s="170"/>
      <c r="D213" s="170"/>
      <c r="E213" s="170"/>
      <c r="F213" s="170"/>
      <c r="G213" s="170"/>
      <c r="H213" s="170"/>
      <c r="I213" s="170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75" customHeight="1">
      <c r="A214" s="14"/>
      <c r="B214" s="170"/>
      <c r="C214" s="170"/>
      <c r="D214" s="170"/>
      <c r="E214" s="170"/>
      <c r="F214" s="170"/>
      <c r="G214" s="170"/>
      <c r="H214" s="170"/>
      <c r="I214" s="170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75" customHeight="1">
      <c r="A215" s="14"/>
      <c r="B215" s="170"/>
      <c r="C215" s="170"/>
      <c r="D215" s="170"/>
      <c r="E215" s="170"/>
      <c r="F215" s="170"/>
      <c r="G215" s="170"/>
      <c r="H215" s="170"/>
      <c r="I215" s="170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75" customHeight="1">
      <c r="A216" s="14"/>
      <c r="B216" s="170"/>
      <c r="C216" s="170"/>
      <c r="D216" s="170"/>
      <c r="E216" s="170"/>
      <c r="F216" s="170"/>
      <c r="G216" s="170"/>
      <c r="H216" s="170"/>
      <c r="I216" s="170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75" customHeight="1">
      <c r="A217" s="14"/>
      <c r="B217" s="170"/>
      <c r="C217" s="170"/>
      <c r="D217" s="170"/>
      <c r="E217" s="170"/>
      <c r="F217" s="170"/>
      <c r="G217" s="170"/>
      <c r="H217" s="170"/>
      <c r="I217" s="170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75" customHeight="1">
      <c r="A218" s="14"/>
      <c r="B218" s="170"/>
      <c r="C218" s="170"/>
      <c r="D218" s="170"/>
      <c r="E218" s="170"/>
      <c r="F218" s="170"/>
      <c r="G218" s="170"/>
      <c r="H218" s="170"/>
      <c r="I218" s="170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75" customHeight="1">
      <c r="A219" s="14"/>
      <c r="B219" s="170"/>
      <c r="C219" s="170"/>
      <c r="D219" s="170"/>
      <c r="E219" s="170"/>
      <c r="F219" s="170"/>
      <c r="G219" s="170"/>
      <c r="H219" s="170"/>
      <c r="I219" s="170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75" customHeight="1">
      <c r="A220" s="14"/>
      <c r="B220" s="170"/>
      <c r="C220" s="170"/>
      <c r="D220" s="170"/>
      <c r="E220" s="170"/>
      <c r="F220" s="170"/>
      <c r="G220" s="170"/>
      <c r="H220" s="170"/>
      <c r="I220" s="170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75" customHeight="1">
      <c r="A221" s="14"/>
      <c r="B221" s="170"/>
      <c r="C221" s="170"/>
      <c r="D221" s="170"/>
      <c r="E221" s="170"/>
      <c r="F221" s="170"/>
      <c r="G221" s="170"/>
      <c r="H221" s="170"/>
      <c r="I221" s="170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75" customHeight="1">
      <c r="A222" s="14"/>
      <c r="B222" s="170"/>
      <c r="C222" s="170"/>
      <c r="D222" s="170"/>
      <c r="E222" s="170"/>
      <c r="F222" s="170"/>
      <c r="G222" s="170"/>
      <c r="H222" s="170"/>
      <c r="I222" s="170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75" customHeight="1">
      <c r="A223" s="14"/>
      <c r="B223" s="170"/>
      <c r="C223" s="170"/>
      <c r="D223" s="170"/>
      <c r="E223" s="170"/>
      <c r="F223" s="170"/>
      <c r="G223" s="170"/>
      <c r="H223" s="170"/>
      <c r="I223" s="170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75" customHeight="1">
      <c r="A224" s="14"/>
      <c r="B224" s="170"/>
      <c r="C224" s="170"/>
      <c r="D224" s="170"/>
      <c r="E224" s="170"/>
      <c r="F224" s="170"/>
      <c r="G224" s="170"/>
      <c r="H224" s="170"/>
      <c r="I224" s="170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75" customHeight="1">
      <c r="A225" s="14"/>
      <c r="B225" s="170"/>
      <c r="C225" s="170"/>
      <c r="D225" s="170"/>
      <c r="E225" s="170"/>
      <c r="F225" s="170"/>
      <c r="G225" s="170"/>
      <c r="H225" s="170"/>
      <c r="I225" s="170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75" customHeight="1">
      <c r="A226" s="14"/>
      <c r="B226" s="170"/>
      <c r="C226" s="170"/>
      <c r="D226" s="170"/>
      <c r="E226" s="170"/>
      <c r="F226" s="170"/>
      <c r="G226" s="170"/>
      <c r="H226" s="170"/>
      <c r="I226" s="170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75" customHeight="1">
      <c r="A227" s="14"/>
      <c r="B227" s="170"/>
      <c r="C227" s="170"/>
      <c r="D227" s="170"/>
      <c r="E227" s="170"/>
      <c r="F227" s="170"/>
      <c r="G227" s="170"/>
      <c r="H227" s="170"/>
      <c r="I227" s="170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75" customHeight="1">
      <c r="A228" s="14"/>
      <c r="B228" s="170"/>
      <c r="C228" s="170"/>
      <c r="D228" s="170"/>
      <c r="E228" s="170"/>
      <c r="F228" s="170"/>
      <c r="G228" s="170"/>
      <c r="H228" s="170"/>
      <c r="I228" s="170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75" customHeight="1">
      <c r="A229" s="14"/>
      <c r="B229" s="170"/>
      <c r="C229" s="170"/>
      <c r="D229" s="170"/>
      <c r="E229" s="170"/>
      <c r="F229" s="170"/>
      <c r="G229" s="170"/>
      <c r="H229" s="170"/>
      <c r="I229" s="170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70"/>
      <c r="C230" s="170"/>
      <c r="D230" s="170"/>
      <c r="E230" s="170"/>
      <c r="F230" s="170"/>
      <c r="G230" s="170"/>
      <c r="H230" s="170"/>
      <c r="I230" s="170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70"/>
      <c r="C231" s="170"/>
      <c r="D231" s="170"/>
      <c r="E231" s="170"/>
      <c r="F231" s="170"/>
      <c r="G231" s="170"/>
      <c r="H231" s="170"/>
      <c r="I231" s="170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70"/>
      <c r="C232" s="170"/>
      <c r="D232" s="170"/>
      <c r="E232" s="170"/>
      <c r="F232" s="170"/>
      <c r="G232" s="170"/>
      <c r="H232" s="170"/>
      <c r="I232" s="170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70"/>
      <c r="C233" s="170"/>
      <c r="D233" s="170"/>
      <c r="E233" s="170"/>
      <c r="F233" s="170"/>
      <c r="G233" s="170"/>
      <c r="H233" s="170"/>
      <c r="I233" s="170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70"/>
      <c r="C234" s="170"/>
      <c r="D234" s="170"/>
      <c r="E234" s="170"/>
      <c r="F234" s="170"/>
      <c r="G234" s="170"/>
      <c r="H234" s="170"/>
      <c r="I234" s="170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70"/>
      <c r="C235" s="170"/>
      <c r="D235" s="170"/>
      <c r="E235" s="170"/>
      <c r="F235" s="170"/>
      <c r="G235" s="170"/>
      <c r="H235" s="170"/>
      <c r="I235" s="170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70"/>
      <c r="C236" s="170"/>
      <c r="D236" s="170"/>
      <c r="E236" s="170"/>
      <c r="F236" s="170"/>
      <c r="G236" s="170"/>
      <c r="H236" s="170"/>
      <c r="I236" s="170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70"/>
      <c r="C237" s="170"/>
      <c r="D237" s="170"/>
      <c r="E237" s="170"/>
      <c r="F237" s="170"/>
      <c r="G237" s="170"/>
      <c r="H237" s="170"/>
      <c r="I237" s="170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70"/>
      <c r="C238" s="170"/>
      <c r="D238" s="170"/>
      <c r="E238" s="170"/>
      <c r="F238" s="170"/>
      <c r="G238" s="170"/>
      <c r="H238" s="170"/>
      <c r="I238" s="170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70"/>
      <c r="C239" s="170"/>
      <c r="D239" s="170"/>
      <c r="E239" s="170"/>
      <c r="F239" s="170"/>
      <c r="G239" s="170"/>
      <c r="H239" s="170"/>
      <c r="I239" s="170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70"/>
      <c r="C240" s="170"/>
      <c r="D240" s="170"/>
      <c r="E240" s="170"/>
      <c r="F240" s="170"/>
      <c r="G240" s="170"/>
      <c r="H240" s="170"/>
      <c r="I240" s="170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70"/>
      <c r="C241" s="170"/>
      <c r="D241" s="170"/>
      <c r="E241" s="170"/>
      <c r="F241" s="170"/>
      <c r="G241" s="170"/>
      <c r="H241" s="170"/>
      <c r="I241" s="170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70"/>
      <c r="C242" s="170"/>
      <c r="D242" s="170"/>
      <c r="E242" s="170"/>
      <c r="F242" s="170"/>
      <c r="G242" s="170"/>
      <c r="H242" s="170"/>
      <c r="I242" s="170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70"/>
      <c r="C243" s="170"/>
      <c r="D243" s="170"/>
      <c r="E243" s="170"/>
      <c r="F243" s="170"/>
      <c r="G243" s="170"/>
      <c r="H243" s="170"/>
      <c r="I243" s="170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70"/>
      <c r="C244" s="170"/>
      <c r="D244" s="170"/>
      <c r="E244" s="170"/>
      <c r="F244" s="170"/>
      <c r="G244" s="170"/>
      <c r="H244" s="170"/>
      <c r="I244" s="170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70"/>
      <c r="C245" s="170"/>
      <c r="D245" s="170"/>
      <c r="E245" s="170"/>
      <c r="F245" s="170"/>
      <c r="G245" s="170"/>
      <c r="H245" s="170"/>
      <c r="I245" s="170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70"/>
      <c r="C246" s="170"/>
      <c r="D246" s="170"/>
      <c r="E246" s="170"/>
      <c r="F246" s="170"/>
      <c r="G246" s="170"/>
      <c r="H246" s="170"/>
      <c r="I246" s="170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70"/>
      <c r="C247" s="170"/>
      <c r="D247" s="170"/>
      <c r="E247" s="170"/>
      <c r="F247" s="170"/>
      <c r="G247" s="170"/>
      <c r="H247" s="170"/>
      <c r="I247" s="170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70"/>
      <c r="C248" s="170"/>
      <c r="D248" s="170"/>
      <c r="E248" s="170"/>
      <c r="F248" s="170"/>
      <c r="G248" s="170"/>
      <c r="H248" s="170"/>
      <c r="I248" s="170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70"/>
      <c r="C249" s="170"/>
      <c r="D249" s="170"/>
      <c r="E249" s="170"/>
      <c r="F249" s="170"/>
      <c r="G249" s="170"/>
      <c r="H249" s="170"/>
      <c r="I249" s="170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70"/>
      <c r="C250" s="170"/>
      <c r="D250" s="170"/>
      <c r="E250" s="170"/>
      <c r="F250" s="170"/>
      <c r="G250" s="170"/>
      <c r="H250" s="170"/>
      <c r="I250" s="170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70"/>
      <c r="C251" s="170"/>
      <c r="D251" s="170"/>
      <c r="E251" s="170"/>
      <c r="F251" s="170"/>
      <c r="G251" s="170"/>
      <c r="H251" s="170"/>
      <c r="I251" s="170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70"/>
      <c r="C252" s="170"/>
      <c r="D252" s="170"/>
      <c r="E252" s="170"/>
      <c r="F252" s="170"/>
      <c r="G252" s="170"/>
      <c r="H252" s="170"/>
      <c r="I252" s="170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70"/>
      <c r="C253" s="170"/>
      <c r="D253" s="170"/>
      <c r="E253" s="170"/>
      <c r="F253" s="170"/>
      <c r="G253" s="170"/>
      <c r="H253" s="170"/>
      <c r="I253" s="170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70"/>
      <c r="C254" s="170"/>
      <c r="D254" s="170"/>
      <c r="E254" s="170"/>
      <c r="F254" s="170"/>
      <c r="G254" s="170"/>
      <c r="H254" s="170"/>
      <c r="I254" s="170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70"/>
      <c r="C255" s="170"/>
      <c r="D255" s="170"/>
      <c r="E255" s="170"/>
      <c r="F255" s="170"/>
      <c r="G255" s="170"/>
      <c r="H255" s="170"/>
      <c r="I255" s="170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70"/>
      <c r="C256" s="170"/>
      <c r="D256" s="170"/>
      <c r="E256" s="170"/>
      <c r="F256" s="170"/>
      <c r="G256" s="170"/>
      <c r="H256" s="170"/>
      <c r="I256" s="170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70"/>
      <c r="C257" s="170"/>
      <c r="D257" s="170"/>
      <c r="E257" s="170"/>
      <c r="F257" s="170"/>
      <c r="G257" s="170"/>
      <c r="H257" s="170"/>
      <c r="I257" s="170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70"/>
      <c r="C258" s="170"/>
      <c r="D258" s="170"/>
      <c r="E258" s="170"/>
      <c r="F258" s="170"/>
      <c r="G258" s="170"/>
      <c r="H258" s="170"/>
      <c r="I258" s="170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70"/>
      <c r="C259" s="170"/>
      <c r="D259" s="170"/>
      <c r="E259" s="170"/>
      <c r="F259" s="170"/>
      <c r="G259" s="170"/>
      <c r="H259" s="170"/>
      <c r="I259" s="170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70"/>
      <c r="C260" s="170"/>
      <c r="D260" s="170"/>
      <c r="E260" s="170"/>
      <c r="F260" s="170"/>
      <c r="G260" s="170"/>
      <c r="H260" s="170"/>
      <c r="I260" s="170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70"/>
      <c r="C261" s="170"/>
      <c r="D261" s="170"/>
      <c r="E261" s="170"/>
      <c r="F261" s="170"/>
      <c r="G261" s="170"/>
      <c r="H261" s="170"/>
      <c r="I261" s="170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70"/>
      <c r="C262" s="170"/>
      <c r="D262" s="170"/>
      <c r="E262" s="170"/>
      <c r="F262" s="170"/>
      <c r="G262" s="170"/>
      <c r="H262" s="170"/>
      <c r="I262" s="170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70"/>
      <c r="C263" s="170"/>
      <c r="D263" s="170"/>
      <c r="E263" s="170"/>
      <c r="F263" s="170"/>
      <c r="G263" s="170"/>
      <c r="H263" s="170"/>
      <c r="I263" s="170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70"/>
      <c r="C264" s="170"/>
      <c r="D264" s="170"/>
      <c r="E264" s="170"/>
      <c r="F264" s="170"/>
      <c r="G264" s="170"/>
      <c r="H264" s="170"/>
      <c r="I264" s="170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70"/>
      <c r="C265" s="170"/>
      <c r="D265" s="170"/>
      <c r="E265" s="170"/>
      <c r="F265" s="170"/>
      <c r="G265" s="170"/>
      <c r="H265" s="170"/>
      <c r="I265" s="170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70"/>
      <c r="C266" s="170"/>
      <c r="D266" s="170"/>
      <c r="E266" s="170"/>
      <c r="F266" s="170"/>
      <c r="G266" s="170"/>
      <c r="H266" s="170"/>
      <c r="I266" s="170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70"/>
      <c r="C267" s="170"/>
      <c r="D267" s="170"/>
      <c r="E267" s="170"/>
      <c r="F267" s="170"/>
      <c r="G267" s="170"/>
      <c r="H267" s="170"/>
      <c r="I267" s="170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70"/>
      <c r="C268" s="170"/>
      <c r="D268" s="170"/>
      <c r="E268" s="170"/>
      <c r="F268" s="170"/>
      <c r="G268" s="170"/>
      <c r="H268" s="170"/>
      <c r="I268" s="170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70"/>
      <c r="C269" s="170"/>
      <c r="D269" s="170"/>
      <c r="E269" s="170"/>
      <c r="F269" s="170"/>
      <c r="G269" s="170"/>
      <c r="H269" s="170"/>
      <c r="I269" s="170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70"/>
      <c r="C270" s="170"/>
      <c r="D270" s="170"/>
      <c r="E270" s="170"/>
      <c r="F270" s="170"/>
      <c r="G270" s="170"/>
      <c r="H270" s="170"/>
      <c r="I270" s="170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70"/>
      <c r="C271" s="170"/>
      <c r="D271" s="170"/>
      <c r="E271" s="170"/>
      <c r="F271" s="170"/>
      <c r="G271" s="170"/>
      <c r="H271" s="170"/>
      <c r="I271" s="170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70"/>
      <c r="C272" s="170"/>
      <c r="D272" s="170"/>
      <c r="E272" s="170"/>
      <c r="F272" s="170"/>
      <c r="G272" s="170"/>
      <c r="H272" s="170"/>
      <c r="I272" s="170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70"/>
      <c r="C273" s="170"/>
      <c r="D273" s="170"/>
      <c r="E273" s="170"/>
      <c r="F273" s="170"/>
      <c r="G273" s="170"/>
      <c r="H273" s="170"/>
      <c r="I273" s="170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70"/>
      <c r="C274" s="170"/>
      <c r="D274" s="170"/>
      <c r="E274" s="170"/>
      <c r="F274" s="170"/>
      <c r="G274" s="170"/>
      <c r="H274" s="170"/>
      <c r="I274" s="170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70"/>
      <c r="C275" s="170"/>
      <c r="D275" s="170"/>
      <c r="E275" s="170"/>
      <c r="F275" s="170"/>
      <c r="G275" s="170"/>
      <c r="H275" s="170"/>
      <c r="I275" s="170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70"/>
      <c r="C276" s="170"/>
      <c r="D276" s="170"/>
      <c r="E276" s="170"/>
      <c r="F276" s="170"/>
      <c r="G276" s="170"/>
      <c r="H276" s="170"/>
      <c r="I276" s="170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70"/>
      <c r="C277" s="170"/>
      <c r="D277" s="170"/>
      <c r="E277" s="170"/>
      <c r="F277" s="170"/>
      <c r="G277" s="170"/>
      <c r="H277" s="170"/>
      <c r="I277" s="170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70"/>
      <c r="C278" s="170"/>
      <c r="D278" s="170"/>
      <c r="E278" s="170"/>
      <c r="F278" s="170"/>
      <c r="G278" s="170"/>
      <c r="H278" s="170"/>
      <c r="I278" s="170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70"/>
      <c r="C279" s="170"/>
      <c r="D279" s="170"/>
      <c r="E279" s="170"/>
      <c r="F279" s="170"/>
      <c r="G279" s="170"/>
      <c r="H279" s="170"/>
      <c r="I279" s="170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70"/>
      <c r="C280" s="170"/>
      <c r="D280" s="170"/>
      <c r="E280" s="170"/>
      <c r="F280" s="170"/>
      <c r="G280" s="170"/>
      <c r="H280" s="170"/>
      <c r="I280" s="170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70"/>
      <c r="C281" s="170"/>
      <c r="D281" s="170"/>
      <c r="E281" s="170"/>
      <c r="F281" s="170"/>
      <c r="G281" s="170"/>
      <c r="H281" s="170"/>
      <c r="I281" s="170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70"/>
      <c r="C282" s="170"/>
      <c r="D282" s="170"/>
      <c r="E282" s="170"/>
      <c r="F282" s="170"/>
      <c r="G282" s="170"/>
      <c r="H282" s="170"/>
      <c r="I282" s="170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70"/>
      <c r="C283" s="170"/>
      <c r="D283" s="170"/>
      <c r="E283" s="170"/>
      <c r="F283" s="170"/>
      <c r="G283" s="170"/>
      <c r="H283" s="170"/>
      <c r="I283" s="170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70"/>
      <c r="C284" s="170"/>
      <c r="D284" s="170"/>
      <c r="E284" s="170"/>
      <c r="F284" s="170"/>
      <c r="G284" s="170"/>
      <c r="H284" s="170"/>
      <c r="I284" s="170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70"/>
      <c r="C285" s="170"/>
      <c r="D285" s="170"/>
      <c r="E285" s="170"/>
      <c r="F285" s="170"/>
      <c r="G285" s="170"/>
      <c r="H285" s="170"/>
      <c r="I285" s="170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70"/>
      <c r="C286" s="170"/>
      <c r="D286" s="170"/>
      <c r="E286" s="170"/>
      <c r="F286" s="170"/>
      <c r="G286" s="170"/>
      <c r="H286" s="170"/>
      <c r="I286" s="170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70"/>
      <c r="C287" s="170"/>
      <c r="D287" s="170"/>
      <c r="E287" s="170"/>
      <c r="F287" s="170"/>
      <c r="G287" s="170"/>
      <c r="H287" s="170"/>
      <c r="I287" s="170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70"/>
      <c r="C288" s="170"/>
      <c r="D288" s="170"/>
      <c r="E288" s="170"/>
      <c r="F288" s="170"/>
      <c r="G288" s="170"/>
      <c r="H288" s="170"/>
      <c r="I288" s="170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70"/>
      <c r="C289" s="170"/>
      <c r="D289" s="170"/>
      <c r="E289" s="170"/>
      <c r="F289" s="170"/>
      <c r="G289" s="170"/>
      <c r="H289" s="170"/>
      <c r="I289" s="170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70"/>
      <c r="C290" s="170"/>
      <c r="D290" s="170"/>
      <c r="E290" s="170"/>
      <c r="F290" s="170"/>
      <c r="G290" s="170"/>
      <c r="H290" s="170"/>
      <c r="I290" s="170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70"/>
      <c r="C291" s="170"/>
      <c r="D291" s="170"/>
      <c r="E291" s="170"/>
      <c r="F291" s="170"/>
      <c r="G291" s="170"/>
      <c r="H291" s="170"/>
      <c r="I291" s="170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70"/>
      <c r="C292" s="170"/>
      <c r="D292" s="170"/>
      <c r="E292" s="170"/>
      <c r="F292" s="170"/>
      <c r="G292" s="170"/>
      <c r="H292" s="170"/>
      <c r="I292" s="170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70"/>
      <c r="C293" s="170"/>
      <c r="D293" s="170"/>
      <c r="E293" s="170"/>
      <c r="F293" s="170"/>
      <c r="G293" s="170"/>
      <c r="H293" s="170"/>
      <c r="I293" s="170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70"/>
      <c r="C294" s="170"/>
      <c r="D294" s="170"/>
      <c r="E294" s="170"/>
      <c r="F294" s="170"/>
      <c r="G294" s="170"/>
      <c r="H294" s="170"/>
      <c r="I294" s="170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70"/>
      <c r="C295" s="170"/>
      <c r="D295" s="170"/>
      <c r="E295" s="170"/>
      <c r="F295" s="170"/>
      <c r="G295" s="170"/>
      <c r="H295" s="170"/>
      <c r="I295" s="170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70"/>
      <c r="C296" s="170"/>
      <c r="D296" s="170"/>
      <c r="E296" s="170"/>
      <c r="F296" s="170"/>
      <c r="G296" s="170"/>
      <c r="H296" s="170"/>
      <c r="I296" s="170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70"/>
      <c r="C297" s="170"/>
      <c r="D297" s="170"/>
      <c r="E297" s="170"/>
      <c r="F297" s="170"/>
      <c r="G297" s="170"/>
      <c r="H297" s="170"/>
      <c r="I297" s="170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70"/>
      <c r="C298" s="170"/>
      <c r="D298" s="170"/>
      <c r="E298" s="170"/>
      <c r="F298" s="170"/>
      <c r="G298" s="170"/>
      <c r="H298" s="170"/>
      <c r="I298" s="170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70"/>
      <c r="C299" s="170"/>
      <c r="D299" s="170"/>
      <c r="E299" s="170"/>
      <c r="F299" s="170"/>
      <c r="G299" s="170"/>
      <c r="H299" s="170"/>
      <c r="I299" s="170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70"/>
      <c r="C300" s="170"/>
      <c r="D300" s="170"/>
      <c r="E300" s="170"/>
      <c r="F300" s="170"/>
      <c r="G300" s="170"/>
      <c r="H300" s="170"/>
      <c r="I300" s="170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70"/>
      <c r="C301" s="170"/>
      <c r="D301" s="170"/>
      <c r="E301" s="170"/>
      <c r="F301" s="170"/>
      <c r="G301" s="170"/>
      <c r="H301" s="170"/>
      <c r="I301" s="170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70"/>
      <c r="C302" s="170"/>
      <c r="D302" s="170"/>
      <c r="E302" s="170"/>
      <c r="F302" s="170"/>
      <c r="G302" s="170"/>
      <c r="H302" s="170"/>
      <c r="I302" s="170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70"/>
      <c r="C303" s="170"/>
      <c r="D303" s="170"/>
      <c r="E303" s="170"/>
      <c r="F303" s="170"/>
      <c r="G303" s="170"/>
      <c r="H303" s="170"/>
      <c r="I303" s="170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70"/>
      <c r="C304" s="170"/>
      <c r="D304" s="170"/>
      <c r="E304" s="170"/>
      <c r="F304" s="170"/>
      <c r="G304" s="170"/>
      <c r="H304" s="170"/>
      <c r="I304" s="170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70"/>
      <c r="C305" s="170"/>
      <c r="D305" s="170"/>
      <c r="E305" s="170"/>
      <c r="F305" s="170"/>
      <c r="G305" s="170"/>
      <c r="H305" s="170"/>
      <c r="I305" s="170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70"/>
      <c r="C306" s="170"/>
      <c r="D306" s="170"/>
      <c r="E306" s="170"/>
      <c r="F306" s="170"/>
      <c r="G306" s="170"/>
      <c r="H306" s="170"/>
      <c r="I306" s="170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70"/>
      <c r="C307" s="170"/>
      <c r="D307" s="170"/>
      <c r="E307" s="170"/>
      <c r="F307" s="170"/>
      <c r="G307" s="170"/>
      <c r="H307" s="170"/>
      <c r="I307" s="170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70"/>
      <c r="C308" s="170"/>
      <c r="D308" s="170"/>
      <c r="E308" s="170"/>
      <c r="F308" s="170"/>
      <c r="G308" s="170"/>
      <c r="H308" s="170"/>
      <c r="I308" s="170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70"/>
      <c r="C309" s="170"/>
      <c r="D309" s="170"/>
      <c r="E309" s="170"/>
      <c r="F309" s="170"/>
      <c r="G309" s="170"/>
      <c r="H309" s="170"/>
      <c r="I309" s="170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70"/>
      <c r="C310" s="170"/>
      <c r="D310" s="170"/>
      <c r="E310" s="170"/>
      <c r="F310" s="170"/>
      <c r="G310" s="170"/>
      <c r="H310" s="170"/>
      <c r="I310" s="170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70"/>
      <c r="C311" s="170"/>
      <c r="D311" s="170"/>
      <c r="E311" s="170"/>
      <c r="F311" s="170"/>
      <c r="G311" s="170"/>
      <c r="H311" s="170"/>
      <c r="I311" s="170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70"/>
      <c r="C312" s="170"/>
      <c r="D312" s="170"/>
      <c r="E312" s="170"/>
      <c r="F312" s="170"/>
      <c r="G312" s="170"/>
      <c r="H312" s="170"/>
      <c r="I312" s="170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70"/>
      <c r="C313" s="170"/>
      <c r="D313" s="170"/>
      <c r="E313" s="170"/>
      <c r="F313" s="170"/>
      <c r="G313" s="170"/>
      <c r="H313" s="170"/>
      <c r="I313" s="170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70"/>
      <c r="C314" s="170"/>
      <c r="D314" s="170"/>
      <c r="E314" s="170"/>
      <c r="F314" s="170"/>
      <c r="G314" s="170"/>
      <c r="H314" s="170"/>
      <c r="I314" s="170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70"/>
      <c r="C315" s="170"/>
      <c r="D315" s="170"/>
      <c r="E315" s="170"/>
      <c r="F315" s="170"/>
      <c r="G315" s="170"/>
      <c r="H315" s="170"/>
      <c r="I315" s="170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70"/>
      <c r="C316" s="170"/>
      <c r="D316" s="170"/>
      <c r="E316" s="170"/>
      <c r="F316" s="170"/>
      <c r="G316" s="170"/>
      <c r="H316" s="170"/>
      <c r="I316" s="170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70"/>
      <c r="C317" s="170"/>
      <c r="D317" s="170"/>
      <c r="E317" s="170"/>
      <c r="F317" s="170"/>
      <c r="G317" s="170"/>
      <c r="H317" s="170"/>
      <c r="I317" s="170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70"/>
      <c r="C318" s="170"/>
      <c r="D318" s="170"/>
      <c r="E318" s="170"/>
      <c r="F318" s="170"/>
      <c r="G318" s="170"/>
      <c r="H318" s="170"/>
      <c r="I318" s="170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70"/>
      <c r="C319" s="170"/>
      <c r="D319" s="170"/>
      <c r="E319" s="170"/>
      <c r="F319" s="170"/>
      <c r="G319" s="170"/>
      <c r="H319" s="170"/>
      <c r="I319" s="170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70"/>
      <c r="C320" s="170"/>
      <c r="D320" s="170"/>
      <c r="E320" s="170"/>
      <c r="F320" s="170"/>
      <c r="G320" s="170"/>
      <c r="H320" s="170"/>
      <c r="I320" s="170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70"/>
      <c r="C321" s="170"/>
      <c r="D321" s="170"/>
      <c r="E321" s="170"/>
      <c r="F321" s="170"/>
      <c r="G321" s="170"/>
      <c r="H321" s="170"/>
      <c r="I321" s="170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70"/>
      <c r="C322" s="170"/>
      <c r="D322" s="170"/>
      <c r="E322" s="170"/>
      <c r="F322" s="170"/>
      <c r="G322" s="170"/>
      <c r="H322" s="170"/>
      <c r="I322" s="170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70"/>
      <c r="C323" s="170"/>
      <c r="D323" s="170"/>
      <c r="E323" s="170"/>
      <c r="F323" s="170"/>
      <c r="G323" s="170"/>
      <c r="H323" s="170"/>
      <c r="I323" s="170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70"/>
      <c r="C324" s="170"/>
      <c r="D324" s="170"/>
      <c r="E324" s="170"/>
      <c r="F324" s="170"/>
      <c r="G324" s="170"/>
      <c r="H324" s="170"/>
      <c r="I324" s="170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70"/>
      <c r="C325" s="170"/>
      <c r="D325" s="170"/>
      <c r="E325" s="170"/>
      <c r="F325" s="170"/>
      <c r="G325" s="170"/>
      <c r="H325" s="170"/>
      <c r="I325" s="170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70"/>
      <c r="C326" s="170"/>
      <c r="D326" s="170"/>
      <c r="E326" s="170"/>
      <c r="F326" s="170"/>
      <c r="G326" s="170"/>
      <c r="H326" s="170"/>
      <c r="I326" s="170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70"/>
      <c r="C327" s="170"/>
      <c r="D327" s="170"/>
      <c r="E327" s="170"/>
      <c r="F327" s="170"/>
      <c r="G327" s="170"/>
      <c r="H327" s="170"/>
      <c r="I327" s="170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70"/>
      <c r="C328" s="170"/>
      <c r="D328" s="170"/>
      <c r="E328" s="170"/>
      <c r="F328" s="170"/>
      <c r="G328" s="170"/>
      <c r="H328" s="170"/>
      <c r="I328" s="170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70"/>
      <c r="C329" s="170"/>
      <c r="D329" s="170"/>
      <c r="E329" s="170"/>
      <c r="F329" s="170"/>
      <c r="G329" s="170"/>
      <c r="H329" s="170"/>
      <c r="I329" s="170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70"/>
      <c r="C330" s="170"/>
      <c r="D330" s="170"/>
      <c r="E330" s="170"/>
      <c r="F330" s="170"/>
      <c r="G330" s="170"/>
      <c r="H330" s="170"/>
      <c r="I330" s="170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70"/>
      <c r="C331" s="170"/>
      <c r="D331" s="170"/>
      <c r="E331" s="170"/>
      <c r="F331" s="170"/>
      <c r="G331" s="170"/>
      <c r="H331" s="170"/>
      <c r="I331" s="170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70"/>
      <c r="C332" s="170"/>
      <c r="D332" s="170"/>
      <c r="E332" s="170"/>
      <c r="F332" s="170"/>
      <c r="G332" s="170"/>
      <c r="H332" s="170"/>
      <c r="I332" s="170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70"/>
      <c r="C333" s="170"/>
      <c r="D333" s="170"/>
      <c r="E333" s="170"/>
      <c r="F333" s="170"/>
      <c r="G333" s="170"/>
      <c r="H333" s="170"/>
      <c r="I333" s="170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70"/>
      <c r="C334" s="170"/>
      <c r="D334" s="170"/>
      <c r="E334" s="170"/>
      <c r="F334" s="170"/>
      <c r="G334" s="170"/>
      <c r="H334" s="170"/>
      <c r="I334" s="170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70"/>
      <c r="C335" s="170"/>
      <c r="D335" s="170"/>
      <c r="E335" s="170"/>
      <c r="F335" s="170"/>
      <c r="G335" s="170"/>
      <c r="H335" s="170"/>
      <c r="I335" s="170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70"/>
      <c r="C336" s="170"/>
      <c r="D336" s="170"/>
      <c r="E336" s="170"/>
      <c r="F336" s="170"/>
      <c r="G336" s="170"/>
      <c r="H336" s="170"/>
      <c r="I336" s="170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70"/>
      <c r="C337" s="170"/>
      <c r="D337" s="170"/>
      <c r="E337" s="170"/>
      <c r="F337" s="170"/>
      <c r="G337" s="170"/>
      <c r="H337" s="170"/>
      <c r="I337" s="170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70"/>
      <c r="C338" s="170"/>
      <c r="D338" s="170"/>
      <c r="E338" s="170"/>
      <c r="F338" s="170"/>
      <c r="G338" s="170"/>
      <c r="H338" s="170"/>
      <c r="I338" s="170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70"/>
      <c r="C339" s="170"/>
      <c r="D339" s="170"/>
      <c r="E339" s="170"/>
      <c r="F339" s="170"/>
      <c r="G339" s="170"/>
      <c r="H339" s="170"/>
      <c r="I339" s="170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70"/>
      <c r="C340" s="170"/>
      <c r="D340" s="170"/>
      <c r="E340" s="170"/>
      <c r="F340" s="170"/>
      <c r="G340" s="170"/>
      <c r="H340" s="170"/>
      <c r="I340" s="170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70"/>
      <c r="C341" s="170"/>
      <c r="D341" s="170"/>
      <c r="E341" s="170"/>
      <c r="F341" s="170"/>
      <c r="G341" s="170"/>
      <c r="H341" s="170"/>
      <c r="I341" s="170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70"/>
      <c r="C342" s="170"/>
      <c r="D342" s="170"/>
      <c r="E342" s="170"/>
      <c r="F342" s="170"/>
      <c r="G342" s="170"/>
      <c r="H342" s="170"/>
      <c r="I342" s="170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70"/>
      <c r="C343" s="170"/>
      <c r="D343" s="170"/>
      <c r="E343" s="170"/>
      <c r="F343" s="170"/>
      <c r="G343" s="170"/>
      <c r="H343" s="170"/>
      <c r="I343" s="170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70"/>
      <c r="C344" s="170"/>
      <c r="D344" s="170"/>
      <c r="E344" s="170"/>
      <c r="F344" s="170"/>
      <c r="G344" s="170"/>
      <c r="H344" s="170"/>
      <c r="I344" s="170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70"/>
      <c r="C345" s="170"/>
      <c r="D345" s="170"/>
      <c r="E345" s="170"/>
      <c r="F345" s="170"/>
      <c r="G345" s="170"/>
      <c r="H345" s="170"/>
      <c r="I345" s="170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70"/>
      <c r="C346" s="170"/>
      <c r="D346" s="170"/>
      <c r="E346" s="170"/>
      <c r="F346" s="170"/>
      <c r="G346" s="170"/>
      <c r="H346" s="170"/>
      <c r="I346" s="170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70"/>
      <c r="C347" s="170"/>
      <c r="D347" s="170"/>
      <c r="E347" s="170"/>
      <c r="F347" s="170"/>
      <c r="G347" s="170"/>
      <c r="H347" s="170"/>
      <c r="I347" s="170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70"/>
      <c r="C348" s="170"/>
      <c r="D348" s="170"/>
      <c r="E348" s="170"/>
      <c r="F348" s="170"/>
      <c r="G348" s="170"/>
      <c r="H348" s="170"/>
      <c r="I348" s="170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70"/>
      <c r="C349" s="170"/>
      <c r="D349" s="170"/>
      <c r="E349" s="170"/>
      <c r="F349" s="170"/>
      <c r="G349" s="170"/>
      <c r="H349" s="170"/>
      <c r="I349" s="170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70"/>
      <c r="C350" s="170"/>
      <c r="D350" s="170"/>
      <c r="E350" s="170"/>
      <c r="F350" s="170"/>
      <c r="G350" s="170"/>
      <c r="H350" s="170"/>
      <c r="I350" s="170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70"/>
      <c r="C351" s="170"/>
      <c r="D351" s="170"/>
      <c r="E351" s="170"/>
      <c r="F351" s="170"/>
      <c r="G351" s="170"/>
      <c r="H351" s="170"/>
      <c r="I351" s="170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70"/>
      <c r="C352" s="170"/>
      <c r="D352" s="170"/>
      <c r="E352" s="170"/>
      <c r="F352" s="170"/>
      <c r="G352" s="170"/>
      <c r="H352" s="170"/>
      <c r="I352" s="170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70"/>
      <c r="C353" s="170"/>
      <c r="D353" s="170"/>
      <c r="E353" s="170"/>
      <c r="F353" s="170"/>
      <c r="G353" s="170"/>
      <c r="H353" s="170"/>
      <c r="I353" s="170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70"/>
      <c r="C354" s="170"/>
      <c r="D354" s="170"/>
      <c r="E354" s="170"/>
      <c r="F354" s="170"/>
      <c r="G354" s="170"/>
      <c r="H354" s="170"/>
      <c r="I354" s="170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70"/>
      <c r="C355" s="170"/>
      <c r="D355" s="170"/>
      <c r="E355" s="170"/>
      <c r="F355" s="170"/>
      <c r="G355" s="170"/>
      <c r="H355" s="170"/>
      <c r="I355" s="170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70"/>
      <c r="C356" s="170"/>
      <c r="D356" s="170"/>
      <c r="E356" s="170"/>
      <c r="F356" s="170"/>
      <c r="G356" s="170"/>
      <c r="H356" s="170"/>
      <c r="I356" s="170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70"/>
      <c r="C357" s="170"/>
      <c r="D357" s="170"/>
      <c r="E357" s="170"/>
      <c r="F357" s="170"/>
      <c r="G357" s="170"/>
      <c r="H357" s="170"/>
      <c r="I357" s="170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70"/>
      <c r="C358" s="170"/>
      <c r="D358" s="170"/>
      <c r="E358" s="170"/>
      <c r="F358" s="170"/>
      <c r="G358" s="170"/>
      <c r="H358" s="170"/>
      <c r="I358" s="170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70"/>
      <c r="C359" s="170"/>
      <c r="D359" s="170"/>
      <c r="E359" s="170"/>
      <c r="F359" s="170"/>
      <c r="G359" s="170"/>
      <c r="H359" s="170"/>
      <c r="I359" s="170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70"/>
      <c r="C360" s="170"/>
      <c r="D360" s="170"/>
      <c r="E360" s="170"/>
      <c r="F360" s="170"/>
      <c r="G360" s="170"/>
      <c r="H360" s="170"/>
      <c r="I360" s="170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70"/>
      <c r="C361" s="170"/>
      <c r="D361" s="170"/>
      <c r="E361" s="170"/>
      <c r="F361" s="170"/>
      <c r="G361" s="170"/>
      <c r="H361" s="170"/>
      <c r="I361" s="170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70"/>
      <c r="C362" s="170"/>
      <c r="D362" s="170"/>
      <c r="E362" s="170"/>
      <c r="F362" s="170"/>
      <c r="G362" s="170"/>
      <c r="H362" s="170"/>
      <c r="I362" s="170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70"/>
      <c r="C363" s="170"/>
      <c r="D363" s="170"/>
      <c r="E363" s="170"/>
      <c r="F363" s="170"/>
      <c r="G363" s="170"/>
      <c r="H363" s="170"/>
      <c r="I363" s="170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70"/>
      <c r="C364" s="170"/>
      <c r="D364" s="170"/>
      <c r="E364" s="170"/>
      <c r="F364" s="170"/>
      <c r="G364" s="170"/>
      <c r="H364" s="170"/>
      <c r="I364" s="170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70"/>
      <c r="C365" s="170"/>
      <c r="D365" s="170"/>
      <c r="E365" s="170"/>
      <c r="F365" s="170"/>
      <c r="G365" s="170"/>
      <c r="H365" s="170"/>
      <c r="I365" s="170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70"/>
      <c r="C366" s="170"/>
      <c r="D366" s="170"/>
      <c r="E366" s="170"/>
      <c r="F366" s="170"/>
      <c r="G366" s="170"/>
      <c r="H366" s="170"/>
      <c r="I366" s="170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70"/>
      <c r="C367" s="170"/>
      <c r="D367" s="170"/>
      <c r="E367" s="170"/>
      <c r="F367" s="170"/>
      <c r="G367" s="170"/>
      <c r="H367" s="170"/>
      <c r="I367" s="170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70"/>
      <c r="C368" s="170"/>
      <c r="D368" s="170"/>
      <c r="E368" s="170"/>
      <c r="F368" s="170"/>
      <c r="G368" s="170"/>
      <c r="H368" s="170"/>
      <c r="I368" s="170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70"/>
      <c r="C369" s="170"/>
      <c r="D369" s="170"/>
      <c r="E369" s="170"/>
      <c r="F369" s="170"/>
      <c r="G369" s="170"/>
      <c r="H369" s="170"/>
      <c r="I369" s="170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70"/>
      <c r="C370" s="170"/>
      <c r="D370" s="170"/>
      <c r="E370" s="170"/>
      <c r="F370" s="170"/>
      <c r="G370" s="170"/>
      <c r="H370" s="170"/>
      <c r="I370" s="170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70"/>
      <c r="C371" s="170"/>
      <c r="D371" s="170"/>
      <c r="E371" s="170"/>
      <c r="F371" s="170"/>
      <c r="G371" s="170"/>
      <c r="H371" s="170"/>
      <c r="I371" s="170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70"/>
      <c r="C372" s="170"/>
      <c r="D372" s="170"/>
      <c r="E372" s="170"/>
      <c r="F372" s="170"/>
      <c r="G372" s="170"/>
      <c r="H372" s="170"/>
      <c r="I372" s="170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70"/>
      <c r="C373" s="170"/>
      <c r="D373" s="170"/>
      <c r="E373" s="170"/>
      <c r="F373" s="170"/>
      <c r="G373" s="170"/>
      <c r="H373" s="170"/>
      <c r="I373" s="170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70"/>
      <c r="C374" s="170"/>
      <c r="D374" s="170"/>
      <c r="E374" s="170"/>
      <c r="F374" s="170"/>
      <c r="G374" s="170"/>
      <c r="H374" s="170"/>
      <c r="I374" s="170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70"/>
      <c r="C375" s="170"/>
      <c r="D375" s="170"/>
      <c r="E375" s="170"/>
      <c r="F375" s="170"/>
      <c r="G375" s="170"/>
      <c r="H375" s="170"/>
      <c r="I375" s="170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70"/>
      <c r="C376" s="170"/>
      <c r="D376" s="170"/>
      <c r="E376" s="170"/>
      <c r="F376" s="170"/>
      <c r="G376" s="170"/>
      <c r="H376" s="170"/>
      <c r="I376" s="170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70"/>
      <c r="C377" s="170"/>
      <c r="D377" s="170"/>
      <c r="E377" s="170"/>
      <c r="F377" s="170"/>
      <c r="G377" s="170"/>
      <c r="H377" s="170"/>
      <c r="I377" s="170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70"/>
      <c r="C378" s="170"/>
      <c r="D378" s="170"/>
      <c r="E378" s="170"/>
      <c r="F378" s="170"/>
      <c r="G378" s="170"/>
      <c r="H378" s="170"/>
      <c r="I378" s="170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70"/>
      <c r="C379" s="170"/>
      <c r="D379" s="170"/>
      <c r="E379" s="170"/>
      <c r="F379" s="170"/>
      <c r="G379" s="170"/>
      <c r="H379" s="170"/>
      <c r="I379" s="170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70"/>
      <c r="C380" s="170"/>
      <c r="D380" s="170"/>
      <c r="E380" s="170"/>
      <c r="F380" s="170"/>
      <c r="G380" s="170"/>
      <c r="H380" s="170"/>
      <c r="I380" s="170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70"/>
      <c r="C381" s="170"/>
      <c r="D381" s="170"/>
      <c r="E381" s="170"/>
      <c r="F381" s="170"/>
      <c r="G381" s="170"/>
      <c r="H381" s="170"/>
      <c r="I381" s="170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70"/>
      <c r="C382" s="170"/>
      <c r="D382" s="170"/>
      <c r="E382" s="170"/>
      <c r="F382" s="170"/>
      <c r="G382" s="170"/>
      <c r="H382" s="170"/>
      <c r="I382" s="170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70"/>
      <c r="C383" s="170"/>
      <c r="D383" s="170"/>
      <c r="E383" s="170"/>
      <c r="F383" s="170"/>
      <c r="G383" s="170"/>
      <c r="H383" s="170"/>
      <c r="I383" s="170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70"/>
      <c r="C384" s="170"/>
      <c r="D384" s="170"/>
      <c r="E384" s="170"/>
      <c r="F384" s="170"/>
      <c r="G384" s="170"/>
      <c r="H384" s="170"/>
      <c r="I384" s="170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70"/>
      <c r="C385" s="170"/>
      <c r="D385" s="170"/>
      <c r="E385" s="170"/>
      <c r="F385" s="170"/>
      <c r="G385" s="170"/>
      <c r="H385" s="170"/>
      <c r="I385" s="170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70"/>
      <c r="C386" s="170"/>
      <c r="D386" s="170"/>
      <c r="E386" s="170"/>
      <c r="F386" s="170"/>
      <c r="G386" s="170"/>
      <c r="H386" s="170"/>
      <c r="I386" s="170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70"/>
      <c r="C387" s="170"/>
      <c r="D387" s="170"/>
      <c r="E387" s="170"/>
      <c r="F387" s="170"/>
      <c r="G387" s="170"/>
      <c r="H387" s="170"/>
      <c r="I387" s="170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70"/>
      <c r="C388" s="170"/>
      <c r="D388" s="170"/>
      <c r="E388" s="170"/>
      <c r="F388" s="170"/>
      <c r="G388" s="170"/>
      <c r="H388" s="170"/>
      <c r="I388" s="170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70"/>
      <c r="C389" s="170"/>
      <c r="D389" s="170"/>
      <c r="E389" s="170"/>
      <c r="F389" s="170"/>
      <c r="G389" s="170"/>
      <c r="H389" s="170"/>
      <c r="I389" s="170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70"/>
      <c r="C390" s="170"/>
      <c r="D390" s="170"/>
      <c r="E390" s="170"/>
      <c r="F390" s="170"/>
      <c r="G390" s="170"/>
      <c r="H390" s="170"/>
      <c r="I390" s="170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70"/>
      <c r="C391" s="170"/>
      <c r="D391" s="170"/>
      <c r="E391" s="170"/>
      <c r="F391" s="170"/>
      <c r="G391" s="170"/>
      <c r="H391" s="170"/>
      <c r="I391" s="170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70"/>
      <c r="C392" s="170"/>
      <c r="D392" s="170"/>
      <c r="E392" s="170"/>
      <c r="F392" s="170"/>
      <c r="G392" s="170"/>
      <c r="H392" s="170"/>
      <c r="I392" s="170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70"/>
      <c r="C393" s="170"/>
      <c r="D393" s="170"/>
      <c r="E393" s="170"/>
      <c r="F393" s="170"/>
      <c r="G393" s="170"/>
      <c r="H393" s="170"/>
      <c r="I393" s="170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70"/>
      <c r="C394" s="170"/>
      <c r="D394" s="170"/>
      <c r="E394" s="170"/>
      <c r="F394" s="170"/>
      <c r="G394" s="170"/>
      <c r="H394" s="170"/>
      <c r="I394" s="170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70"/>
      <c r="C395" s="170"/>
      <c r="D395" s="170"/>
      <c r="E395" s="170"/>
      <c r="F395" s="170"/>
      <c r="G395" s="170"/>
      <c r="H395" s="170"/>
      <c r="I395" s="170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70"/>
      <c r="C396" s="170"/>
      <c r="D396" s="170"/>
      <c r="E396" s="170"/>
      <c r="F396" s="170"/>
      <c r="G396" s="170"/>
      <c r="H396" s="170"/>
      <c r="I396" s="170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70"/>
      <c r="C397" s="170"/>
      <c r="D397" s="170"/>
      <c r="E397" s="170"/>
      <c r="F397" s="170"/>
      <c r="G397" s="170"/>
      <c r="H397" s="170"/>
      <c r="I397" s="170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70"/>
      <c r="C398" s="170"/>
      <c r="D398" s="170"/>
      <c r="E398" s="170"/>
      <c r="F398" s="170"/>
      <c r="G398" s="170"/>
      <c r="H398" s="170"/>
      <c r="I398" s="170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70"/>
      <c r="C399" s="170"/>
      <c r="D399" s="170"/>
      <c r="E399" s="170"/>
      <c r="F399" s="170"/>
      <c r="G399" s="170"/>
      <c r="H399" s="170"/>
      <c r="I399" s="170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70"/>
      <c r="C400" s="170"/>
      <c r="D400" s="170"/>
      <c r="E400" s="170"/>
      <c r="F400" s="170"/>
      <c r="G400" s="170"/>
      <c r="H400" s="170"/>
      <c r="I400" s="170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70"/>
      <c r="C401" s="170"/>
      <c r="D401" s="170"/>
      <c r="E401" s="170"/>
      <c r="F401" s="170"/>
      <c r="G401" s="170"/>
      <c r="H401" s="170"/>
      <c r="I401" s="170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70"/>
      <c r="C402" s="170"/>
      <c r="D402" s="170"/>
      <c r="E402" s="170"/>
      <c r="F402" s="170"/>
      <c r="G402" s="170"/>
      <c r="H402" s="170"/>
      <c r="I402" s="170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70"/>
      <c r="C403" s="170"/>
      <c r="D403" s="170"/>
      <c r="E403" s="170"/>
      <c r="F403" s="170"/>
      <c r="G403" s="170"/>
      <c r="H403" s="170"/>
      <c r="I403" s="170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70"/>
      <c r="C404" s="170"/>
      <c r="D404" s="170"/>
      <c r="E404" s="170"/>
      <c r="F404" s="170"/>
      <c r="G404" s="170"/>
      <c r="H404" s="170"/>
      <c r="I404" s="170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70"/>
      <c r="C405" s="170"/>
      <c r="D405" s="170"/>
      <c r="E405" s="170"/>
      <c r="F405" s="170"/>
      <c r="G405" s="170"/>
      <c r="H405" s="170"/>
      <c r="I405" s="170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70"/>
      <c r="C406" s="170"/>
      <c r="D406" s="170"/>
      <c r="E406" s="170"/>
      <c r="F406" s="170"/>
      <c r="G406" s="170"/>
      <c r="H406" s="170"/>
      <c r="I406" s="170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70"/>
      <c r="C407" s="170"/>
      <c r="D407" s="170"/>
      <c r="E407" s="170"/>
      <c r="F407" s="170"/>
      <c r="G407" s="170"/>
      <c r="H407" s="170"/>
      <c r="I407" s="170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70"/>
      <c r="C408" s="170"/>
      <c r="D408" s="170"/>
      <c r="E408" s="170"/>
      <c r="F408" s="170"/>
      <c r="G408" s="170"/>
      <c r="H408" s="170"/>
      <c r="I408" s="170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70"/>
      <c r="C409" s="170"/>
      <c r="D409" s="170"/>
      <c r="E409" s="170"/>
      <c r="F409" s="170"/>
      <c r="G409" s="170"/>
      <c r="H409" s="170"/>
      <c r="I409" s="170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70"/>
      <c r="C410" s="170"/>
      <c r="D410" s="170"/>
      <c r="E410" s="170"/>
      <c r="F410" s="170"/>
      <c r="G410" s="170"/>
      <c r="H410" s="170"/>
      <c r="I410" s="170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70"/>
      <c r="C411" s="170"/>
      <c r="D411" s="170"/>
      <c r="E411" s="170"/>
      <c r="F411" s="170"/>
      <c r="G411" s="170"/>
      <c r="H411" s="170"/>
      <c r="I411" s="170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70"/>
      <c r="C412" s="170"/>
      <c r="D412" s="170"/>
      <c r="E412" s="170"/>
      <c r="F412" s="170"/>
      <c r="G412" s="170"/>
      <c r="H412" s="170"/>
      <c r="I412" s="170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70"/>
      <c r="C413" s="170"/>
      <c r="D413" s="170"/>
      <c r="E413" s="170"/>
      <c r="F413" s="170"/>
      <c r="G413" s="170"/>
      <c r="H413" s="170"/>
      <c r="I413" s="170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70"/>
      <c r="C414" s="170"/>
      <c r="D414" s="170"/>
      <c r="E414" s="170"/>
      <c r="F414" s="170"/>
      <c r="G414" s="170"/>
      <c r="H414" s="170"/>
      <c r="I414" s="170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70"/>
      <c r="C415" s="170"/>
      <c r="D415" s="170"/>
      <c r="E415" s="170"/>
      <c r="F415" s="170"/>
      <c r="G415" s="170"/>
      <c r="H415" s="170"/>
      <c r="I415" s="170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70"/>
      <c r="C416" s="170"/>
      <c r="D416" s="170"/>
      <c r="E416" s="170"/>
      <c r="F416" s="170"/>
      <c r="G416" s="170"/>
      <c r="H416" s="170"/>
      <c r="I416" s="170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70"/>
      <c r="C417" s="170"/>
      <c r="D417" s="170"/>
      <c r="E417" s="170"/>
      <c r="F417" s="170"/>
      <c r="G417" s="170"/>
      <c r="H417" s="170"/>
      <c r="I417" s="170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70"/>
      <c r="C418" s="170"/>
      <c r="D418" s="170"/>
      <c r="E418" s="170"/>
      <c r="F418" s="170"/>
      <c r="G418" s="170"/>
      <c r="H418" s="170"/>
      <c r="I418" s="170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70"/>
      <c r="C419" s="170"/>
      <c r="D419" s="170"/>
      <c r="E419" s="170"/>
      <c r="F419" s="170"/>
      <c r="G419" s="170"/>
      <c r="H419" s="170"/>
      <c r="I419" s="170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70"/>
      <c r="C420" s="170"/>
      <c r="D420" s="170"/>
      <c r="E420" s="170"/>
      <c r="F420" s="170"/>
      <c r="G420" s="170"/>
      <c r="H420" s="170"/>
      <c r="I420" s="170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70"/>
      <c r="C421" s="170"/>
      <c r="D421" s="170"/>
      <c r="E421" s="170"/>
      <c r="F421" s="170"/>
      <c r="G421" s="170"/>
      <c r="H421" s="170"/>
      <c r="I421" s="170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70"/>
      <c r="C422" s="170"/>
      <c r="D422" s="170"/>
      <c r="E422" s="170"/>
      <c r="F422" s="170"/>
      <c r="G422" s="170"/>
      <c r="H422" s="170"/>
      <c r="I422" s="170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70"/>
      <c r="C423" s="170"/>
      <c r="D423" s="170"/>
      <c r="E423" s="170"/>
      <c r="F423" s="170"/>
      <c r="G423" s="170"/>
      <c r="H423" s="170"/>
      <c r="I423" s="170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70"/>
      <c r="C424" s="170"/>
      <c r="D424" s="170"/>
      <c r="E424" s="170"/>
      <c r="F424" s="170"/>
      <c r="G424" s="170"/>
      <c r="H424" s="170"/>
      <c r="I424" s="170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70"/>
      <c r="C425" s="170"/>
      <c r="D425" s="170"/>
      <c r="E425" s="170"/>
      <c r="F425" s="170"/>
      <c r="G425" s="170"/>
      <c r="H425" s="170"/>
      <c r="I425" s="170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70"/>
      <c r="C426" s="170"/>
      <c r="D426" s="170"/>
      <c r="E426" s="170"/>
      <c r="F426" s="170"/>
      <c r="G426" s="170"/>
      <c r="H426" s="170"/>
      <c r="I426" s="170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70"/>
      <c r="C427" s="170"/>
      <c r="D427" s="170"/>
      <c r="E427" s="170"/>
      <c r="F427" s="170"/>
      <c r="G427" s="170"/>
      <c r="H427" s="170"/>
      <c r="I427" s="170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70"/>
      <c r="C428" s="170"/>
      <c r="D428" s="170"/>
      <c r="E428" s="170"/>
      <c r="F428" s="170"/>
      <c r="G428" s="170"/>
      <c r="H428" s="170"/>
      <c r="I428" s="170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70"/>
      <c r="C429" s="170"/>
      <c r="D429" s="170"/>
      <c r="E429" s="170"/>
      <c r="F429" s="170"/>
      <c r="G429" s="170"/>
      <c r="H429" s="170"/>
      <c r="I429" s="170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70"/>
      <c r="C430" s="170"/>
      <c r="D430" s="170"/>
      <c r="E430" s="170"/>
      <c r="F430" s="170"/>
      <c r="G430" s="170"/>
      <c r="H430" s="170"/>
      <c r="I430" s="170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70"/>
      <c r="C431" s="170"/>
      <c r="D431" s="170"/>
      <c r="E431" s="170"/>
      <c r="F431" s="170"/>
      <c r="G431" s="170"/>
      <c r="H431" s="170"/>
      <c r="I431" s="170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70"/>
      <c r="C432" s="170"/>
      <c r="D432" s="170"/>
      <c r="E432" s="170"/>
      <c r="F432" s="170"/>
      <c r="G432" s="170"/>
      <c r="H432" s="170"/>
      <c r="I432" s="170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70"/>
      <c r="C433" s="170"/>
      <c r="D433" s="170"/>
      <c r="E433" s="170"/>
      <c r="F433" s="170"/>
      <c r="G433" s="170"/>
      <c r="H433" s="170"/>
      <c r="I433" s="170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70"/>
      <c r="C434" s="170"/>
      <c r="D434" s="170"/>
      <c r="E434" s="170"/>
      <c r="F434" s="170"/>
      <c r="G434" s="170"/>
      <c r="H434" s="170"/>
      <c r="I434" s="170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70"/>
      <c r="C435" s="170"/>
      <c r="D435" s="170"/>
      <c r="E435" s="170"/>
      <c r="F435" s="170"/>
      <c r="G435" s="170"/>
      <c r="H435" s="170"/>
      <c r="I435" s="170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70"/>
      <c r="C436" s="170"/>
      <c r="D436" s="170"/>
      <c r="E436" s="170"/>
      <c r="F436" s="170"/>
      <c r="G436" s="170"/>
      <c r="H436" s="170"/>
      <c r="I436" s="170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70"/>
      <c r="C437" s="170"/>
      <c r="D437" s="170"/>
      <c r="E437" s="170"/>
      <c r="F437" s="170"/>
      <c r="G437" s="170"/>
      <c r="H437" s="170"/>
      <c r="I437" s="170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70"/>
      <c r="C438" s="170"/>
      <c r="D438" s="170"/>
      <c r="E438" s="170"/>
      <c r="F438" s="170"/>
      <c r="G438" s="170"/>
      <c r="H438" s="170"/>
      <c r="I438" s="170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70"/>
      <c r="C439" s="170"/>
      <c r="D439" s="170"/>
      <c r="E439" s="170"/>
      <c r="F439" s="170"/>
      <c r="G439" s="170"/>
      <c r="H439" s="170"/>
      <c r="I439" s="170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70"/>
      <c r="C440" s="170"/>
      <c r="D440" s="170"/>
      <c r="E440" s="170"/>
      <c r="F440" s="170"/>
      <c r="G440" s="170"/>
      <c r="H440" s="170"/>
      <c r="I440" s="170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70"/>
      <c r="C441" s="170"/>
      <c r="D441" s="170"/>
      <c r="E441" s="170"/>
      <c r="F441" s="170"/>
      <c r="G441" s="170"/>
      <c r="H441" s="170"/>
      <c r="I441" s="170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70"/>
      <c r="C442" s="170"/>
      <c r="D442" s="170"/>
      <c r="E442" s="170"/>
      <c r="F442" s="170"/>
      <c r="G442" s="170"/>
      <c r="H442" s="170"/>
      <c r="I442" s="170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70"/>
      <c r="C443" s="170"/>
      <c r="D443" s="170"/>
      <c r="E443" s="170"/>
      <c r="F443" s="170"/>
      <c r="G443" s="170"/>
      <c r="H443" s="170"/>
      <c r="I443" s="170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70"/>
      <c r="C444" s="170"/>
      <c r="D444" s="170"/>
      <c r="E444" s="170"/>
      <c r="F444" s="170"/>
      <c r="G444" s="170"/>
      <c r="H444" s="170"/>
      <c r="I444" s="170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70"/>
      <c r="C445" s="170"/>
      <c r="D445" s="170"/>
      <c r="E445" s="170"/>
      <c r="F445" s="170"/>
      <c r="G445" s="170"/>
      <c r="H445" s="170"/>
      <c r="I445" s="170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70"/>
      <c r="C446" s="170"/>
      <c r="D446" s="170"/>
      <c r="E446" s="170"/>
      <c r="F446" s="170"/>
      <c r="G446" s="170"/>
      <c r="H446" s="170"/>
      <c r="I446" s="170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70"/>
      <c r="C447" s="170"/>
      <c r="D447" s="170"/>
      <c r="E447" s="170"/>
      <c r="F447" s="170"/>
      <c r="G447" s="170"/>
      <c r="H447" s="170"/>
      <c r="I447" s="170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70"/>
      <c r="C448" s="170"/>
      <c r="D448" s="170"/>
      <c r="E448" s="170"/>
      <c r="F448" s="170"/>
      <c r="G448" s="170"/>
      <c r="H448" s="170"/>
      <c r="I448" s="170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70"/>
      <c r="C449" s="170"/>
      <c r="D449" s="170"/>
      <c r="E449" s="170"/>
      <c r="F449" s="170"/>
      <c r="G449" s="170"/>
      <c r="H449" s="170"/>
      <c r="I449" s="170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70"/>
      <c r="C450" s="170"/>
      <c r="D450" s="170"/>
      <c r="E450" s="170"/>
      <c r="F450" s="170"/>
      <c r="G450" s="170"/>
      <c r="H450" s="170"/>
      <c r="I450" s="170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70"/>
      <c r="C451" s="170"/>
      <c r="D451" s="170"/>
      <c r="E451" s="170"/>
      <c r="F451" s="170"/>
      <c r="G451" s="170"/>
      <c r="H451" s="170"/>
      <c r="I451" s="170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70"/>
      <c r="C452" s="170"/>
      <c r="D452" s="170"/>
      <c r="E452" s="170"/>
      <c r="F452" s="170"/>
      <c r="G452" s="170"/>
      <c r="H452" s="170"/>
      <c r="I452" s="170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70"/>
      <c r="C453" s="170"/>
      <c r="D453" s="170"/>
      <c r="E453" s="170"/>
      <c r="F453" s="170"/>
      <c r="G453" s="170"/>
      <c r="H453" s="170"/>
      <c r="I453" s="170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70"/>
      <c r="C454" s="170"/>
      <c r="D454" s="170"/>
      <c r="E454" s="170"/>
      <c r="F454" s="170"/>
      <c r="G454" s="170"/>
      <c r="H454" s="170"/>
      <c r="I454" s="170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70"/>
      <c r="C455" s="170"/>
      <c r="D455" s="170"/>
      <c r="E455" s="170"/>
      <c r="F455" s="170"/>
      <c r="G455" s="170"/>
      <c r="H455" s="170"/>
      <c r="I455" s="170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70"/>
      <c r="C456" s="170"/>
      <c r="D456" s="170"/>
      <c r="E456" s="170"/>
      <c r="F456" s="170"/>
      <c r="G456" s="170"/>
      <c r="H456" s="170"/>
      <c r="I456" s="170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70"/>
      <c r="C457" s="170"/>
      <c r="D457" s="170"/>
      <c r="E457" s="170"/>
      <c r="F457" s="170"/>
      <c r="G457" s="170"/>
      <c r="H457" s="170"/>
      <c r="I457" s="170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70"/>
      <c r="C458" s="170"/>
      <c r="D458" s="170"/>
      <c r="E458" s="170"/>
      <c r="F458" s="170"/>
      <c r="G458" s="170"/>
      <c r="H458" s="170"/>
      <c r="I458" s="170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70"/>
      <c r="C459" s="170"/>
      <c r="D459" s="170"/>
      <c r="E459" s="170"/>
      <c r="F459" s="170"/>
      <c r="G459" s="170"/>
      <c r="H459" s="170"/>
      <c r="I459" s="170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70"/>
      <c r="C460" s="170"/>
      <c r="D460" s="170"/>
      <c r="E460" s="170"/>
      <c r="F460" s="170"/>
      <c r="G460" s="170"/>
      <c r="H460" s="170"/>
      <c r="I460" s="170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70"/>
      <c r="C461" s="170"/>
      <c r="D461" s="170"/>
      <c r="E461" s="170"/>
      <c r="F461" s="170"/>
      <c r="G461" s="170"/>
      <c r="H461" s="170"/>
      <c r="I461" s="170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70"/>
      <c r="C462" s="170"/>
      <c r="D462" s="170"/>
      <c r="E462" s="170"/>
      <c r="F462" s="170"/>
      <c r="G462" s="170"/>
      <c r="H462" s="170"/>
      <c r="I462" s="170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70"/>
      <c r="C463" s="170"/>
      <c r="D463" s="170"/>
      <c r="E463" s="170"/>
      <c r="F463" s="170"/>
      <c r="G463" s="170"/>
      <c r="H463" s="170"/>
      <c r="I463" s="170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70"/>
      <c r="C464" s="170"/>
      <c r="D464" s="170"/>
      <c r="E464" s="170"/>
      <c r="F464" s="170"/>
      <c r="G464" s="170"/>
      <c r="H464" s="170"/>
      <c r="I464" s="170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70"/>
      <c r="C465" s="170"/>
      <c r="D465" s="170"/>
      <c r="E465" s="170"/>
      <c r="F465" s="170"/>
      <c r="G465" s="170"/>
      <c r="H465" s="170"/>
      <c r="I465" s="170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70"/>
      <c r="C466" s="170"/>
      <c r="D466" s="170"/>
      <c r="E466" s="170"/>
      <c r="F466" s="170"/>
      <c r="G466" s="170"/>
      <c r="H466" s="170"/>
      <c r="I466" s="170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70"/>
      <c r="C467" s="170"/>
      <c r="D467" s="170"/>
      <c r="E467" s="170"/>
      <c r="F467" s="170"/>
      <c r="G467" s="170"/>
      <c r="H467" s="170"/>
      <c r="I467" s="170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70"/>
      <c r="C468" s="170"/>
      <c r="D468" s="170"/>
      <c r="E468" s="170"/>
      <c r="F468" s="170"/>
      <c r="G468" s="170"/>
      <c r="H468" s="170"/>
      <c r="I468" s="170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70"/>
      <c r="C469" s="170"/>
      <c r="D469" s="170"/>
      <c r="E469" s="170"/>
      <c r="F469" s="170"/>
      <c r="G469" s="170"/>
      <c r="H469" s="170"/>
      <c r="I469" s="170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70"/>
      <c r="C470" s="170"/>
      <c r="D470" s="170"/>
      <c r="E470" s="170"/>
      <c r="F470" s="170"/>
      <c r="G470" s="170"/>
      <c r="H470" s="170"/>
      <c r="I470" s="170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70"/>
      <c r="C471" s="170"/>
      <c r="D471" s="170"/>
      <c r="E471" s="170"/>
      <c r="F471" s="170"/>
      <c r="G471" s="170"/>
      <c r="H471" s="170"/>
      <c r="I471" s="170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70"/>
      <c r="C472" s="170"/>
      <c r="D472" s="170"/>
      <c r="E472" s="170"/>
      <c r="F472" s="170"/>
      <c r="G472" s="170"/>
      <c r="H472" s="170"/>
      <c r="I472" s="170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70"/>
      <c r="C473" s="170"/>
      <c r="D473" s="170"/>
      <c r="E473" s="170"/>
      <c r="F473" s="170"/>
      <c r="G473" s="170"/>
      <c r="H473" s="170"/>
      <c r="I473" s="170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70"/>
      <c r="C474" s="170"/>
      <c r="D474" s="170"/>
      <c r="E474" s="170"/>
      <c r="F474" s="170"/>
      <c r="G474" s="170"/>
      <c r="H474" s="170"/>
      <c r="I474" s="170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70"/>
      <c r="C475" s="170"/>
      <c r="D475" s="170"/>
      <c r="E475" s="170"/>
      <c r="F475" s="170"/>
      <c r="G475" s="170"/>
      <c r="H475" s="170"/>
      <c r="I475" s="170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70"/>
      <c r="C476" s="170"/>
      <c r="D476" s="170"/>
      <c r="E476" s="170"/>
      <c r="F476" s="170"/>
      <c r="G476" s="170"/>
      <c r="H476" s="170"/>
      <c r="I476" s="170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70"/>
      <c r="C477" s="170"/>
      <c r="D477" s="170"/>
      <c r="E477" s="170"/>
      <c r="F477" s="170"/>
      <c r="G477" s="170"/>
      <c r="H477" s="170"/>
      <c r="I477" s="170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70"/>
      <c r="C478" s="170"/>
      <c r="D478" s="170"/>
      <c r="E478" s="170"/>
      <c r="F478" s="170"/>
      <c r="G478" s="170"/>
      <c r="H478" s="170"/>
      <c r="I478" s="170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70"/>
      <c r="C479" s="170"/>
      <c r="D479" s="170"/>
      <c r="E479" s="170"/>
      <c r="F479" s="170"/>
      <c r="G479" s="170"/>
      <c r="H479" s="170"/>
      <c r="I479" s="170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70"/>
      <c r="C480" s="170"/>
      <c r="D480" s="170"/>
      <c r="E480" s="170"/>
      <c r="F480" s="170"/>
      <c r="G480" s="170"/>
      <c r="H480" s="170"/>
      <c r="I480" s="170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70"/>
      <c r="C481" s="170"/>
      <c r="D481" s="170"/>
      <c r="E481" s="170"/>
      <c r="F481" s="170"/>
      <c r="G481" s="170"/>
      <c r="H481" s="170"/>
      <c r="I481" s="170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70"/>
      <c r="C482" s="170"/>
      <c r="D482" s="170"/>
      <c r="E482" s="170"/>
      <c r="F482" s="170"/>
      <c r="G482" s="170"/>
      <c r="H482" s="170"/>
      <c r="I482" s="170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70"/>
      <c r="C483" s="170"/>
      <c r="D483" s="170"/>
      <c r="E483" s="170"/>
      <c r="F483" s="170"/>
      <c r="G483" s="170"/>
      <c r="H483" s="170"/>
      <c r="I483" s="170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70"/>
      <c r="C484" s="170"/>
      <c r="D484" s="170"/>
      <c r="E484" s="170"/>
      <c r="F484" s="170"/>
      <c r="G484" s="170"/>
      <c r="H484" s="170"/>
      <c r="I484" s="170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70"/>
      <c r="C485" s="170"/>
      <c r="D485" s="170"/>
      <c r="E485" s="170"/>
      <c r="F485" s="170"/>
      <c r="G485" s="170"/>
      <c r="H485" s="170"/>
      <c r="I485" s="170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70"/>
      <c r="C486" s="170"/>
      <c r="D486" s="170"/>
      <c r="E486" s="170"/>
      <c r="F486" s="170"/>
      <c r="G486" s="170"/>
      <c r="H486" s="170"/>
      <c r="I486" s="170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70"/>
      <c r="C487" s="170"/>
      <c r="D487" s="170"/>
      <c r="E487" s="170"/>
      <c r="F487" s="170"/>
      <c r="G487" s="170"/>
      <c r="H487" s="170"/>
      <c r="I487" s="170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70"/>
      <c r="C488" s="170"/>
      <c r="D488" s="170"/>
      <c r="E488" s="170"/>
      <c r="F488" s="170"/>
      <c r="G488" s="170"/>
      <c r="H488" s="170"/>
      <c r="I488" s="170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70"/>
      <c r="C489" s="170"/>
      <c r="D489" s="170"/>
      <c r="E489" s="170"/>
      <c r="F489" s="170"/>
      <c r="G489" s="170"/>
      <c r="H489" s="170"/>
      <c r="I489" s="170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70"/>
      <c r="C490" s="170"/>
      <c r="D490" s="170"/>
      <c r="E490" s="170"/>
      <c r="F490" s="170"/>
      <c r="G490" s="170"/>
      <c r="H490" s="170"/>
      <c r="I490" s="170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70"/>
      <c r="C491" s="170"/>
      <c r="D491" s="170"/>
      <c r="E491" s="170"/>
      <c r="F491" s="170"/>
      <c r="G491" s="170"/>
      <c r="H491" s="170"/>
      <c r="I491" s="170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70"/>
      <c r="C492" s="170"/>
      <c r="D492" s="170"/>
      <c r="E492" s="170"/>
      <c r="F492" s="170"/>
      <c r="G492" s="170"/>
      <c r="H492" s="170"/>
      <c r="I492" s="170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70"/>
      <c r="C493" s="170"/>
      <c r="D493" s="170"/>
      <c r="E493" s="170"/>
      <c r="F493" s="170"/>
      <c r="G493" s="170"/>
      <c r="H493" s="170"/>
      <c r="I493" s="170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70"/>
      <c r="C494" s="170"/>
      <c r="D494" s="170"/>
      <c r="E494" s="170"/>
      <c r="F494" s="170"/>
      <c r="G494" s="170"/>
      <c r="H494" s="170"/>
      <c r="I494" s="170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70"/>
      <c r="C495" s="170"/>
      <c r="D495" s="170"/>
      <c r="E495" s="170"/>
      <c r="F495" s="170"/>
      <c r="G495" s="170"/>
      <c r="H495" s="170"/>
      <c r="I495" s="170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70"/>
      <c r="C496" s="170"/>
      <c r="D496" s="170"/>
      <c r="E496" s="170"/>
      <c r="F496" s="170"/>
      <c r="G496" s="170"/>
      <c r="H496" s="170"/>
      <c r="I496" s="170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70"/>
      <c r="C497" s="170"/>
      <c r="D497" s="170"/>
      <c r="E497" s="170"/>
      <c r="F497" s="170"/>
      <c r="G497" s="170"/>
      <c r="H497" s="170"/>
      <c r="I497" s="170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70"/>
      <c r="C498" s="170"/>
      <c r="D498" s="170"/>
      <c r="E498" s="170"/>
      <c r="F498" s="170"/>
      <c r="G498" s="170"/>
      <c r="H498" s="170"/>
      <c r="I498" s="170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70"/>
      <c r="C499" s="170"/>
      <c r="D499" s="170"/>
      <c r="E499" s="170"/>
      <c r="F499" s="170"/>
      <c r="G499" s="170"/>
      <c r="H499" s="170"/>
      <c r="I499" s="170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70"/>
      <c r="C500" s="170"/>
      <c r="D500" s="170"/>
      <c r="E500" s="170"/>
      <c r="F500" s="170"/>
      <c r="G500" s="170"/>
      <c r="H500" s="170"/>
      <c r="I500" s="170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70"/>
      <c r="C501" s="170"/>
      <c r="D501" s="170"/>
      <c r="E501" s="170"/>
      <c r="F501" s="170"/>
      <c r="G501" s="170"/>
      <c r="H501" s="170"/>
      <c r="I501" s="170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70"/>
      <c r="C502" s="170"/>
      <c r="D502" s="170"/>
      <c r="E502" s="170"/>
      <c r="F502" s="170"/>
      <c r="G502" s="170"/>
      <c r="H502" s="170"/>
      <c r="I502" s="170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70"/>
      <c r="C503" s="170"/>
      <c r="D503" s="170"/>
      <c r="E503" s="170"/>
      <c r="F503" s="170"/>
      <c r="G503" s="170"/>
      <c r="H503" s="170"/>
      <c r="I503" s="170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70"/>
      <c r="C504" s="170"/>
      <c r="D504" s="170"/>
      <c r="E504" s="170"/>
      <c r="F504" s="170"/>
      <c r="G504" s="170"/>
      <c r="H504" s="170"/>
      <c r="I504" s="170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70"/>
      <c r="C505" s="170"/>
      <c r="D505" s="170"/>
      <c r="E505" s="170"/>
      <c r="F505" s="170"/>
      <c r="G505" s="170"/>
      <c r="H505" s="170"/>
      <c r="I505" s="170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70"/>
      <c r="C506" s="170"/>
      <c r="D506" s="170"/>
      <c r="E506" s="170"/>
      <c r="F506" s="170"/>
      <c r="G506" s="170"/>
      <c r="H506" s="170"/>
      <c r="I506" s="170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70"/>
      <c r="C507" s="170"/>
      <c r="D507" s="170"/>
      <c r="E507" s="170"/>
      <c r="F507" s="170"/>
      <c r="G507" s="170"/>
      <c r="H507" s="170"/>
      <c r="I507" s="170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70"/>
      <c r="C508" s="170"/>
      <c r="D508" s="170"/>
      <c r="E508" s="170"/>
      <c r="F508" s="170"/>
      <c r="G508" s="170"/>
      <c r="H508" s="170"/>
      <c r="I508" s="170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70"/>
      <c r="C509" s="170"/>
      <c r="D509" s="170"/>
      <c r="E509" s="170"/>
      <c r="F509" s="170"/>
      <c r="G509" s="170"/>
      <c r="H509" s="170"/>
      <c r="I509" s="170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70"/>
      <c r="C510" s="170"/>
      <c r="D510" s="170"/>
      <c r="E510" s="170"/>
      <c r="F510" s="170"/>
      <c r="G510" s="170"/>
      <c r="H510" s="170"/>
      <c r="I510" s="170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70"/>
      <c r="C511" s="170"/>
      <c r="D511" s="170"/>
      <c r="E511" s="170"/>
      <c r="F511" s="170"/>
      <c r="G511" s="170"/>
      <c r="H511" s="170"/>
      <c r="I511" s="170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70"/>
      <c r="C512" s="170"/>
      <c r="D512" s="170"/>
      <c r="E512" s="170"/>
      <c r="F512" s="170"/>
      <c r="G512" s="170"/>
      <c r="H512" s="170"/>
      <c r="I512" s="170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70"/>
      <c r="C513" s="170"/>
      <c r="D513" s="170"/>
      <c r="E513" s="170"/>
      <c r="F513" s="170"/>
      <c r="G513" s="170"/>
      <c r="H513" s="170"/>
      <c r="I513" s="170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70"/>
      <c r="C514" s="170"/>
      <c r="D514" s="170"/>
      <c r="E514" s="170"/>
      <c r="F514" s="170"/>
      <c r="G514" s="170"/>
      <c r="H514" s="170"/>
      <c r="I514" s="170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70"/>
      <c r="C515" s="170"/>
      <c r="D515" s="170"/>
      <c r="E515" s="170"/>
      <c r="F515" s="170"/>
      <c r="G515" s="170"/>
      <c r="H515" s="170"/>
      <c r="I515" s="170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70"/>
      <c r="C516" s="170"/>
      <c r="D516" s="170"/>
      <c r="E516" s="170"/>
      <c r="F516" s="170"/>
      <c r="G516" s="170"/>
      <c r="H516" s="170"/>
      <c r="I516" s="170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70"/>
      <c r="C517" s="170"/>
      <c r="D517" s="170"/>
      <c r="E517" s="170"/>
      <c r="F517" s="170"/>
      <c r="G517" s="170"/>
      <c r="H517" s="170"/>
      <c r="I517" s="170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70"/>
      <c r="C518" s="170"/>
      <c r="D518" s="170"/>
      <c r="E518" s="170"/>
      <c r="F518" s="170"/>
      <c r="G518" s="170"/>
      <c r="H518" s="170"/>
      <c r="I518" s="170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70"/>
      <c r="C519" s="170"/>
      <c r="D519" s="170"/>
      <c r="E519" s="170"/>
      <c r="F519" s="170"/>
      <c r="G519" s="170"/>
      <c r="H519" s="170"/>
      <c r="I519" s="170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70"/>
      <c r="C520" s="170"/>
      <c r="D520" s="170"/>
      <c r="E520" s="170"/>
      <c r="F520" s="170"/>
      <c r="G520" s="170"/>
      <c r="H520" s="170"/>
      <c r="I520" s="170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70"/>
      <c r="C521" s="170"/>
      <c r="D521" s="170"/>
      <c r="E521" s="170"/>
      <c r="F521" s="170"/>
      <c r="G521" s="170"/>
      <c r="H521" s="170"/>
      <c r="I521" s="170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70"/>
      <c r="C522" s="170"/>
      <c r="D522" s="170"/>
      <c r="E522" s="170"/>
      <c r="F522" s="170"/>
      <c r="G522" s="170"/>
      <c r="H522" s="170"/>
      <c r="I522" s="170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70"/>
      <c r="C523" s="170"/>
      <c r="D523" s="170"/>
      <c r="E523" s="170"/>
      <c r="F523" s="170"/>
      <c r="G523" s="170"/>
      <c r="H523" s="170"/>
      <c r="I523" s="170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70"/>
      <c r="C524" s="170"/>
      <c r="D524" s="170"/>
      <c r="E524" s="170"/>
      <c r="F524" s="170"/>
      <c r="G524" s="170"/>
      <c r="H524" s="170"/>
      <c r="I524" s="170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70"/>
      <c r="C525" s="170"/>
      <c r="D525" s="170"/>
      <c r="E525" s="170"/>
      <c r="F525" s="170"/>
      <c r="G525" s="170"/>
      <c r="H525" s="170"/>
      <c r="I525" s="170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70"/>
      <c r="C526" s="170"/>
      <c r="D526" s="170"/>
      <c r="E526" s="170"/>
      <c r="F526" s="170"/>
      <c r="G526" s="170"/>
      <c r="H526" s="170"/>
      <c r="I526" s="170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70"/>
      <c r="C527" s="170"/>
      <c r="D527" s="170"/>
      <c r="E527" s="170"/>
      <c r="F527" s="170"/>
      <c r="G527" s="170"/>
      <c r="H527" s="170"/>
      <c r="I527" s="170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70"/>
      <c r="C528" s="170"/>
      <c r="D528" s="170"/>
      <c r="E528" s="170"/>
      <c r="F528" s="170"/>
      <c r="G528" s="170"/>
      <c r="H528" s="170"/>
      <c r="I528" s="170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70"/>
      <c r="C529" s="170"/>
      <c r="D529" s="170"/>
      <c r="E529" s="170"/>
      <c r="F529" s="170"/>
      <c r="G529" s="170"/>
      <c r="H529" s="170"/>
      <c r="I529" s="170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70"/>
      <c r="C530" s="170"/>
      <c r="D530" s="170"/>
      <c r="E530" s="170"/>
      <c r="F530" s="170"/>
      <c r="G530" s="170"/>
      <c r="H530" s="170"/>
      <c r="I530" s="170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70"/>
      <c r="C531" s="170"/>
      <c r="D531" s="170"/>
      <c r="E531" s="170"/>
      <c r="F531" s="170"/>
      <c r="G531" s="170"/>
      <c r="H531" s="170"/>
      <c r="I531" s="170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70"/>
      <c r="C532" s="170"/>
      <c r="D532" s="170"/>
      <c r="E532" s="170"/>
      <c r="F532" s="170"/>
      <c r="G532" s="170"/>
      <c r="H532" s="170"/>
      <c r="I532" s="170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70"/>
      <c r="C533" s="170"/>
      <c r="D533" s="170"/>
      <c r="E533" s="170"/>
      <c r="F533" s="170"/>
      <c r="G533" s="170"/>
      <c r="H533" s="170"/>
      <c r="I533" s="170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70"/>
      <c r="C534" s="170"/>
      <c r="D534" s="170"/>
      <c r="E534" s="170"/>
      <c r="F534" s="170"/>
      <c r="G534" s="170"/>
      <c r="H534" s="170"/>
      <c r="I534" s="170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70"/>
      <c r="C535" s="170"/>
      <c r="D535" s="170"/>
      <c r="E535" s="170"/>
      <c r="F535" s="170"/>
      <c r="G535" s="170"/>
      <c r="H535" s="170"/>
      <c r="I535" s="170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70"/>
      <c r="C536" s="170"/>
      <c r="D536" s="170"/>
      <c r="E536" s="170"/>
      <c r="F536" s="170"/>
      <c r="G536" s="170"/>
      <c r="H536" s="170"/>
      <c r="I536" s="170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70"/>
      <c r="C537" s="170"/>
      <c r="D537" s="170"/>
      <c r="E537" s="170"/>
      <c r="F537" s="170"/>
      <c r="G537" s="170"/>
      <c r="H537" s="170"/>
      <c r="I537" s="170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70"/>
      <c r="C538" s="170"/>
      <c r="D538" s="170"/>
      <c r="E538" s="170"/>
      <c r="F538" s="170"/>
      <c r="G538" s="170"/>
      <c r="H538" s="170"/>
      <c r="I538" s="170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70"/>
      <c r="C539" s="170"/>
      <c r="D539" s="170"/>
      <c r="E539" s="170"/>
      <c r="F539" s="170"/>
      <c r="G539" s="170"/>
      <c r="H539" s="170"/>
      <c r="I539" s="170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70"/>
      <c r="C540" s="170"/>
      <c r="D540" s="170"/>
      <c r="E540" s="170"/>
      <c r="F540" s="170"/>
      <c r="G540" s="170"/>
      <c r="H540" s="170"/>
      <c r="I540" s="170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70"/>
      <c r="C541" s="170"/>
      <c r="D541" s="170"/>
      <c r="E541" s="170"/>
      <c r="F541" s="170"/>
      <c r="G541" s="170"/>
      <c r="H541" s="170"/>
      <c r="I541" s="170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70"/>
      <c r="C542" s="170"/>
      <c r="D542" s="170"/>
      <c r="E542" s="170"/>
      <c r="F542" s="170"/>
      <c r="G542" s="170"/>
      <c r="H542" s="170"/>
      <c r="I542" s="170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70"/>
      <c r="C543" s="170"/>
      <c r="D543" s="170"/>
      <c r="E543" s="170"/>
      <c r="F543" s="170"/>
      <c r="G543" s="170"/>
      <c r="H543" s="170"/>
      <c r="I543" s="170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70"/>
      <c r="C544" s="170"/>
      <c r="D544" s="170"/>
      <c r="E544" s="170"/>
      <c r="F544" s="170"/>
      <c r="G544" s="170"/>
      <c r="H544" s="170"/>
      <c r="I544" s="170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70"/>
      <c r="C545" s="170"/>
      <c r="D545" s="170"/>
      <c r="E545" s="170"/>
      <c r="F545" s="170"/>
      <c r="G545" s="170"/>
      <c r="H545" s="170"/>
      <c r="I545" s="170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70"/>
      <c r="C546" s="170"/>
      <c r="D546" s="170"/>
      <c r="E546" s="170"/>
      <c r="F546" s="170"/>
      <c r="G546" s="170"/>
      <c r="H546" s="170"/>
      <c r="I546" s="170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70"/>
      <c r="C547" s="170"/>
      <c r="D547" s="170"/>
      <c r="E547" s="170"/>
      <c r="F547" s="170"/>
      <c r="G547" s="170"/>
      <c r="H547" s="170"/>
      <c r="I547" s="170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70"/>
      <c r="C548" s="170"/>
      <c r="D548" s="170"/>
      <c r="E548" s="170"/>
      <c r="F548" s="170"/>
      <c r="G548" s="170"/>
      <c r="H548" s="170"/>
      <c r="I548" s="170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70"/>
      <c r="C549" s="170"/>
      <c r="D549" s="170"/>
      <c r="E549" s="170"/>
      <c r="F549" s="170"/>
      <c r="G549" s="170"/>
      <c r="H549" s="170"/>
      <c r="I549" s="170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70"/>
      <c r="C550" s="170"/>
      <c r="D550" s="170"/>
      <c r="E550" s="170"/>
      <c r="F550" s="170"/>
      <c r="G550" s="170"/>
      <c r="H550" s="170"/>
      <c r="I550" s="170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70"/>
      <c r="C551" s="170"/>
      <c r="D551" s="170"/>
      <c r="E551" s="170"/>
      <c r="F551" s="170"/>
      <c r="G551" s="170"/>
      <c r="H551" s="170"/>
      <c r="I551" s="170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70"/>
      <c r="C552" s="170"/>
      <c r="D552" s="170"/>
      <c r="E552" s="170"/>
      <c r="F552" s="170"/>
      <c r="G552" s="170"/>
      <c r="H552" s="170"/>
      <c r="I552" s="170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70"/>
      <c r="C553" s="170"/>
      <c r="D553" s="170"/>
      <c r="E553" s="170"/>
      <c r="F553" s="170"/>
      <c r="G553" s="170"/>
      <c r="H553" s="170"/>
      <c r="I553" s="170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70"/>
      <c r="C554" s="170"/>
      <c r="D554" s="170"/>
      <c r="E554" s="170"/>
      <c r="F554" s="170"/>
      <c r="G554" s="170"/>
      <c r="H554" s="170"/>
      <c r="I554" s="170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70"/>
      <c r="C555" s="170"/>
      <c r="D555" s="170"/>
      <c r="E555" s="170"/>
      <c r="F555" s="170"/>
      <c r="G555" s="170"/>
      <c r="H555" s="170"/>
      <c r="I555" s="170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70"/>
      <c r="C556" s="170"/>
      <c r="D556" s="170"/>
      <c r="E556" s="170"/>
      <c r="F556" s="170"/>
      <c r="G556" s="170"/>
      <c r="H556" s="170"/>
      <c r="I556" s="170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70"/>
      <c r="C557" s="170"/>
      <c r="D557" s="170"/>
      <c r="E557" s="170"/>
      <c r="F557" s="170"/>
      <c r="G557" s="170"/>
      <c r="H557" s="170"/>
      <c r="I557" s="170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70"/>
      <c r="C558" s="170"/>
      <c r="D558" s="170"/>
      <c r="E558" s="170"/>
      <c r="F558" s="170"/>
      <c r="G558" s="170"/>
      <c r="H558" s="170"/>
      <c r="I558" s="170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70"/>
      <c r="C559" s="170"/>
      <c r="D559" s="170"/>
      <c r="E559" s="170"/>
      <c r="F559" s="170"/>
      <c r="G559" s="170"/>
      <c r="H559" s="170"/>
      <c r="I559" s="170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70"/>
      <c r="C560" s="170"/>
      <c r="D560" s="170"/>
      <c r="E560" s="170"/>
      <c r="F560" s="170"/>
      <c r="G560" s="170"/>
      <c r="H560" s="170"/>
      <c r="I560" s="170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70"/>
      <c r="C561" s="170"/>
      <c r="D561" s="170"/>
      <c r="E561" s="170"/>
      <c r="F561" s="170"/>
      <c r="G561" s="170"/>
      <c r="H561" s="170"/>
      <c r="I561" s="170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70"/>
      <c r="C562" s="170"/>
      <c r="D562" s="170"/>
      <c r="E562" s="170"/>
      <c r="F562" s="170"/>
      <c r="G562" s="170"/>
      <c r="H562" s="170"/>
      <c r="I562" s="170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70"/>
      <c r="C563" s="170"/>
      <c r="D563" s="170"/>
      <c r="E563" s="170"/>
      <c r="F563" s="170"/>
      <c r="G563" s="170"/>
      <c r="H563" s="170"/>
      <c r="I563" s="170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70"/>
      <c r="C564" s="170"/>
      <c r="D564" s="170"/>
      <c r="E564" s="170"/>
      <c r="F564" s="170"/>
      <c r="G564" s="170"/>
      <c r="H564" s="170"/>
      <c r="I564" s="170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70"/>
      <c r="C565" s="170"/>
      <c r="D565" s="170"/>
      <c r="E565" s="170"/>
      <c r="F565" s="170"/>
      <c r="G565" s="170"/>
      <c r="H565" s="170"/>
      <c r="I565" s="170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70"/>
      <c r="C566" s="170"/>
      <c r="D566" s="170"/>
      <c r="E566" s="170"/>
      <c r="F566" s="170"/>
      <c r="G566" s="170"/>
      <c r="H566" s="170"/>
      <c r="I566" s="170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70"/>
      <c r="C567" s="170"/>
      <c r="D567" s="170"/>
      <c r="E567" s="170"/>
      <c r="F567" s="170"/>
      <c r="G567" s="170"/>
      <c r="H567" s="170"/>
      <c r="I567" s="170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70"/>
      <c r="C568" s="170"/>
      <c r="D568" s="170"/>
      <c r="E568" s="170"/>
      <c r="F568" s="170"/>
      <c r="G568" s="170"/>
      <c r="H568" s="170"/>
      <c r="I568" s="170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70"/>
      <c r="C569" s="170"/>
      <c r="D569" s="170"/>
      <c r="E569" s="170"/>
      <c r="F569" s="170"/>
      <c r="G569" s="170"/>
      <c r="H569" s="170"/>
      <c r="I569" s="170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70"/>
      <c r="C570" s="170"/>
      <c r="D570" s="170"/>
      <c r="E570" s="170"/>
      <c r="F570" s="170"/>
      <c r="G570" s="170"/>
      <c r="H570" s="170"/>
      <c r="I570" s="170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70"/>
      <c r="C571" s="170"/>
      <c r="D571" s="170"/>
      <c r="E571" s="170"/>
      <c r="F571" s="170"/>
      <c r="G571" s="170"/>
      <c r="H571" s="170"/>
      <c r="I571" s="170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70"/>
      <c r="C572" s="170"/>
      <c r="D572" s="170"/>
      <c r="E572" s="170"/>
      <c r="F572" s="170"/>
      <c r="G572" s="170"/>
      <c r="H572" s="170"/>
      <c r="I572" s="170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70"/>
      <c r="C573" s="170"/>
      <c r="D573" s="170"/>
      <c r="E573" s="170"/>
      <c r="F573" s="170"/>
      <c r="G573" s="170"/>
      <c r="H573" s="170"/>
      <c r="I573" s="170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70"/>
      <c r="C574" s="170"/>
      <c r="D574" s="170"/>
      <c r="E574" s="170"/>
      <c r="F574" s="170"/>
      <c r="G574" s="170"/>
      <c r="H574" s="170"/>
      <c r="I574" s="170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70"/>
      <c r="C575" s="170"/>
      <c r="D575" s="170"/>
      <c r="E575" s="170"/>
      <c r="F575" s="170"/>
      <c r="G575" s="170"/>
      <c r="H575" s="170"/>
      <c r="I575" s="170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70"/>
      <c r="C576" s="170"/>
      <c r="D576" s="170"/>
      <c r="E576" s="170"/>
      <c r="F576" s="170"/>
      <c r="G576" s="170"/>
      <c r="H576" s="170"/>
      <c r="I576" s="170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70"/>
      <c r="C577" s="170"/>
      <c r="D577" s="170"/>
      <c r="E577" s="170"/>
      <c r="F577" s="170"/>
      <c r="G577" s="170"/>
      <c r="H577" s="170"/>
      <c r="I577" s="170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70"/>
      <c r="C578" s="170"/>
      <c r="D578" s="170"/>
      <c r="E578" s="170"/>
      <c r="F578" s="170"/>
      <c r="G578" s="170"/>
      <c r="H578" s="170"/>
      <c r="I578" s="170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70"/>
      <c r="C579" s="170"/>
      <c r="D579" s="170"/>
      <c r="E579" s="170"/>
      <c r="F579" s="170"/>
      <c r="G579" s="170"/>
      <c r="H579" s="170"/>
      <c r="I579" s="170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70"/>
      <c r="C580" s="170"/>
      <c r="D580" s="170"/>
      <c r="E580" s="170"/>
      <c r="F580" s="170"/>
      <c r="G580" s="170"/>
      <c r="H580" s="170"/>
      <c r="I580" s="170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70"/>
      <c r="C581" s="170"/>
      <c r="D581" s="170"/>
      <c r="E581" s="170"/>
      <c r="F581" s="170"/>
      <c r="G581" s="170"/>
      <c r="H581" s="170"/>
      <c r="I581" s="170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70"/>
      <c r="C582" s="170"/>
      <c r="D582" s="170"/>
      <c r="E582" s="170"/>
      <c r="F582" s="170"/>
      <c r="G582" s="170"/>
      <c r="H582" s="170"/>
      <c r="I582" s="170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70"/>
      <c r="C583" s="170"/>
      <c r="D583" s="170"/>
      <c r="E583" s="170"/>
      <c r="F583" s="170"/>
      <c r="G583" s="170"/>
      <c r="H583" s="170"/>
      <c r="I583" s="170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70"/>
      <c r="C584" s="170"/>
      <c r="D584" s="170"/>
      <c r="E584" s="170"/>
      <c r="F584" s="170"/>
      <c r="G584" s="170"/>
      <c r="H584" s="170"/>
      <c r="I584" s="170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70"/>
      <c r="C585" s="170"/>
      <c r="D585" s="170"/>
      <c r="E585" s="170"/>
      <c r="F585" s="170"/>
      <c r="G585" s="170"/>
      <c r="H585" s="170"/>
      <c r="I585" s="170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70"/>
      <c r="C586" s="170"/>
      <c r="D586" s="170"/>
      <c r="E586" s="170"/>
      <c r="F586" s="170"/>
      <c r="G586" s="170"/>
      <c r="H586" s="170"/>
      <c r="I586" s="170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70"/>
      <c r="C587" s="170"/>
      <c r="D587" s="170"/>
      <c r="E587" s="170"/>
      <c r="F587" s="170"/>
      <c r="G587" s="170"/>
      <c r="H587" s="170"/>
      <c r="I587" s="170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70"/>
      <c r="C588" s="170"/>
      <c r="D588" s="170"/>
      <c r="E588" s="170"/>
      <c r="F588" s="170"/>
      <c r="G588" s="170"/>
      <c r="H588" s="170"/>
      <c r="I588" s="170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70"/>
      <c r="C589" s="170"/>
      <c r="D589" s="170"/>
      <c r="E589" s="170"/>
      <c r="F589" s="170"/>
      <c r="G589" s="170"/>
      <c r="H589" s="170"/>
      <c r="I589" s="170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70"/>
      <c r="C590" s="170"/>
      <c r="D590" s="170"/>
      <c r="E590" s="170"/>
      <c r="F590" s="170"/>
      <c r="G590" s="170"/>
      <c r="H590" s="170"/>
      <c r="I590" s="170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70"/>
      <c r="C591" s="170"/>
      <c r="D591" s="170"/>
      <c r="E591" s="170"/>
      <c r="F591" s="170"/>
      <c r="G591" s="170"/>
      <c r="H591" s="170"/>
      <c r="I591" s="170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70"/>
      <c r="C592" s="170"/>
      <c r="D592" s="170"/>
      <c r="E592" s="170"/>
      <c r="F592" s="170"/>
      <c r="G592" s="170"/>
      <c r="H592" s="170"/>
      <c r="I592" s="170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70"/>
      <c r="C593" s="170"/>
      <c r="D593" s="170"/>
      <c r="E593" s="170"/>
      <c r="F593" s="170"/>
      <c r="G593" s="170"/>
      <c r="H593" s="170"/>
      <c r="I593" s="170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70"/>
      <c r="C594" s="170"/>
      <c r="D594" s="170"/>
      <c r="E594" s="170"/>
      <c r="F594" s="170"/>
      <c r="G594" s="170"/>
      <c r="H594" s="170"/>
      <c r="I594" s="170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70"/>
      <c r="C595" s="170"/>
      <c r="D595" s="170"/>
      <c r="E595" s="170"/>
      <c r="F595" s="170"/>
      <c r="G595" s="170"/>
      <c r="H595" s="170"/>
      <c r="I595" s="170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70"/>
      <c r="C596" s="170"/>
      <c r="D596" s="170"/>
      <c r="E596" s="170"/>
      <c r="F596" s="170"/>
      <c r="G596" s="170"/>
      <c r="H596" s="170"/>
      <c r="I596" s="170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70"/>
      <c r="C597" s="170"/>
      <c r="D597" s="170"/>
      <c r="E597" s="170"/>
      <c r="F597" s="170"/>
      <c r="G597" s="170"/>
      <c r="H597" s="170"/>
      <c r="I597" s="170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70"/>
      <c r="C598" s="170"/>
      <c r="D598" s="170"/>
      <c r="E598" s="170"/>
      <c r="F598" s="170"/>
      <c r="G598" s="170"/>
      <c r="H598" s="170"/>
      <c r="I598" s="170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70"/>
      <c r="C599" s="170"/>
      <c r="D599" s="170"/>
      <c r="E599" s="170"/>
      <c r="F599" s="170"/>
      <c r="G599" s="170"/>
      <c r="H599" s="170"/>
      <c r="I599" s="170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70"/>
      <c r="C600" s="170"/>
      <c r="D600" s="170"/>
      <c r="E600" s="170"/>
      <c r="F600" s="170"/>
      <c r="G600" s="170"/>
      <c r="H600" s="170"/>
      <c r="I600" s="170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70"/>
      <c r="C601" s="170"/>
      <c r="D601" s="170"/>
      <c r="E601" s="170"/>
      <c r="F601" s="170"/>
      <c r="G601" s="170"/>
      <c r="H601" s="170"/>
      <c r="I601" s="170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70"/>
      <c r="C602" s="170"/>
      <c r="D602" s="170"/>
      <c r="E602" s="170"/>
      <c r="F602" s="170"/>
      <c r="G602" s="170"/>
      <c r="H602" s="170"/>
      <c r="I602" s="170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70"/>
      <c r="C603" s="170"/>
      <c r="D603" s="170"/>
      <c r="E603" s="170"/>
      <c r="F603" s="170"/>
      <c r="G603" s="170"/>
      <c r="H603" s="170"/>
      <c r="I603" s="170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70"/>
      <c r="C604" s="170"/>
      <c r="D604" s="170"/>
      <c r="E604" s="170"/>
      <c r="F604" s="170"/>
      <c r="G604" s="170"/>
      <c r="H604" s="170"/>
      <c r="I604" s="170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70"/>
      <c r="C605" s="170"/>
      <c r="D605" s="170"/>
      <c r="E605" s="170"/>
      <c r="F605" s="170"/>
      <c r="G605" s="170"/>
      <c r="H605" s="170"/>
      <c r="I605" s="170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70"/>
      <c r="C606" s="170"/>
      <c r="D606" s="170"/>
      <c r="E606" s="170"/>
      <c r="F606" s="170"/>
      <c r="G606" s="170"/>
      <c r="H606" s="170"/>
      <c r="I606" s="170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70"/>
      <c r="C607" s="170"/>
      <c r="D607" s="170"/>
      <c r="E607" s="170"/>
      <c r="F607" s="170"/>
      <c r="G607" s="170"/>
      <c r="H607" s="170"/>
      <c r="I607" s="170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70"/>
      <c r="C608" s="170"/>
      <c r="D608" s="170"/>
      <c r="E608" s="170"/>
      <c r="F608" s="170"/>
      <c r="G608" s="170"/>
      <c r="H608" s="170"/>
      <c r="I608" s="170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70"/>
      <c r="C609" s="170"/>
      <c r="D609" s="170"/>
      <c r="E609" s="170"/>
      <c r="F609" s="170"/>
      <c r="G609" s="170"/>
      <c r="H609" s="170"/>
      <c r="I609" s="170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70"/>
      <c r="C610" s="170"/>
      <c r="D610" s="170"/>
      <c r="E610" s="170"/>
      <c r="F610" s="170"/>
      <c r="G610" s="170"/>
      <c r="H610" s="170"/>
      <c r="I610" s="170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70"/>
      <c r="C611" s="170"/>
      <c r="D611" s="170"/>
      <c r="E611" s="170"/>
      <c r="F611" s="170"/>
      <c r="G611" s="170"/>
      <c r="H611" s="170"/>
      <c r="I611" s="170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70"/>
      <c r="C612" s="170"/>
      <c r="D612" s="170"/>
      <c r="E612" s="170"/>
      <c r="F612" s="170"/>
      <c r="G612" s="170"/>
      <c r="H612" s="170"/>
      <c r="I612" s="170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70"/>
      <c r="C613" s="170"/>
      <c r="D613" s="170"/>
      <c r="E613" s="170"/>
      <c r="F613" s="170"/>
      <c r="G613" s="170"/>
      <c r="H613" s="170"/>
      <c r="I613" s="170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70"/>
      <c r="C614" s="170"/>
      <c r="D614" s="170"/>
      <c r="E614" s="170"/>
      <c r="F614" s="170"/>
      <c r="G614" s="170"/>
      <c r="H614" s="170"/>
      <c r="I614" s="170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70"/>
      <c r="C615" s="170"/>
      <c r="D615" s="170"/>
      <c r="E615" s="170"/>
      <c r="F615" s="170"/>
      <c r="G615" s="170"/>
      <c r="H615" s="170"/>
      <c r="I615" s="170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70"/>
      <c r="C616" s="170"/>
      <c r="D616" s="170"/>
      <c r="E616" s="170"/>
      <c r="F616" s="170"/>
      <c r="G616" s="170"/>
      <c r="H616" s="170"/>
      <c r="I616" s="170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70"/>
      <c r="C617" s="170"/>
      <c r="D617" s="170"/>
      <c r="E617" s="170"/>
      <c r="F617" s="170"/>
      <c r="G617" s="170"/>
      <c r="H617" s="170"/>
      <c r="I617" s="170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70"/>
      <c r="C618" s="170"/>
      <c r="D618" s="170"/>
      <c r="E618" s="170"/>
      <c r="F618" s="170"/>
      <c r="G618" s="170"/>
      <c r="H618" s="170"/>
      <c r="I618" s="170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70"/>
      <c r="C619" s="170"/>
      <c r="D619" s="170"/>
      <c r="E619" s="170"/>
      <c r="F619" s="170"/>
      <c r="G619" s="170"/>
      <c r="H619" s="170"/>
      <c r="I619" s="170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70"/>
      <c r="C620" s="170"/>
      <c r="D620" s="170"/>
      <c r="E620" s="170"/>
      <c r="F620" s="170"/>
      <c r="G620" s="170"/>
      <c r="H620" s="170"/>
      <c r="I620" s="170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70"/>
      <c r="C621" s="170"/>
      <c r="D621" s="170"/>
      <c r="E621" s="170"/>
      <c r="F621" s="170"/>
      <c r="G621" s="170"/>
      <c r="H621" s="170"/>
      <c r="I621" s="170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70"/>
      <c r="C622" s="170"/>
      <c r="D622" s="170"/>
      <c r="E622" s="170"/>
      <c r="F622" s="170"/>
      <c r="G622" s="170"/>
      <c r="H622" s="170"/>
      <c r="I622" s="170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70"/>
      <c r="C623" s="170"/>
      <c r="D623" s="170"/>
      <c r="E623" s="170"/>
      <c r="F623" s="170"/>
      <c r="G623" s="170"/>
      <c r="H623" s="170"/>
      <c r="I623" s="170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70"/>
      <c r="C624" s="170"/>
      <c r="D624" s="170"/>
      <c r="E624" s="170"/>
      <c r="F624" s="170"/>
      <c r="G624" s="170"/>
      <c r="H624" s="170"/>
      <c r="I624" s="170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70"/>
      <c r="C625" s="170"/>
      <c r="D625" s="170"/>
      <c r="E625" s="170"/>
      <c r="F625" s="170"/>
      <c r="G625" s="170"/>
      <c r="H625" s="170"/>
      <c r="I625" s="170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70"/>
      <c r="C626" s="170"/>
      <c r="D626" s="170"/>
      <c r="E626" s="170"/>
      <c r="F626" s="170"/>
      <c r="G626" s="170"/>
      <c r="H626" s="170"/>
      <c r="I626" s="170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70"/>
      <c r="C627" s="170"/>
      <c r="D627" s="170"/>
      <c r="E627" s="170"/>
      <c r="F627" s="170"/>
      <c r="G627" s="170"/>
      <c r="H627" s="170"/>
      <c r="I627" s="170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70"/>
      <c r="C628" s="170"/>
      <c r="D628" s="170"/>
      <c r="E628" s="170"/>
      <c r="F628" s="170"/>
      <c r="G628" s="170"/>
      <c r="H628" s="170"/>
      <c r="I628" s="170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70"/>
      <c r="C629" s="170"/>
      <c r="D629" s="170"/>
      <c r="E629" s="170"/>
      <c r="F629" s="170"/>
      <c r="G629" s="170"/>
      <c r="H629" s="170"/>
      <c r="I629" s="170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70"/>
      <c r="C630" s="170"/>
      <c r="D630" s="170"/>
      <c r="E630" s="170"/>
      <c r="F630" s="170"/>
      <c r="G630" s="170"/>
      <c r="H630" s="170"/>
      <c r="I630" s="170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70"/>
      <c r="C631" s="170"/>
      <c r="D631" s="170"/>
      <c r="E631" s="170"/>
      <c r="F631" s="170"/>
      <c r="G631" s="170"/>
      <c r="H631" s="170"/>
      <c r="I631" s="170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70"/>
      <c r="C632" s="170"/>
      <c r="D632" s="170"/>
      <c r="E632" s="170"/>
      <c r="F632" s="170"/>
      <c r="G632" s="170"/>
      <c r="H632" s="170"/>
      <c r="I632" s="170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70"/>
      <c r="C633" s="170"/>
      <c r="D633" s="170"/>
      <c r="E633" s="170"/>
      <c r="F633" s="170"/>
      <c r="G633" s="170"/>
      <c r="H633" s="170"/>
      <c r="I633" s="170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70"/>
      <c r="C634" s="170"/>
      <c r="D634" s="170"/>
      <c r="E634" s="170"/>
      <c r="F634" s="170"/>
      <c r="G634" s="170"/>
      <c r="H634" s="170"/>
      <c r="I634" s="170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70"/>
      <c r="C635" s="170"/>
      <c r="D635" s="170"/>
      <c r="E635" s="170"/>
      <c r="F635" s="170"/>
      <c r="G635" s="170"/>
      <c r="H635" s="170"/>
      <c r="I635" s="170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70"/>
      <c r="C636" s="170"/>
      <c r="D636" s="170"/>
      <c r="E636" s="170"/>
      <c r="F636" s="170"/>
      <c r="G636" s="170"/>
      <c r="H636" s="170"/>
      <c r="I636" s="170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70"/>
      <c r="C637" s="170"/>
      <c r="D637" s="170"/>
      <c r="E637" s="170"/>
      <c r="F637" s="170"/>
      <c r="G637" s="170"/>
      <c r="H637" s="170"/>
      <c r="I637" s="170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70"/>
      <c r="C638" s="170"/>
      <c r="D638" s="170"/>
      <c r="E638" s="170"/>
      <c r="F638" s="170"/>
      <c r="G638" s="170"/>
      <c r="H638" s="170"/>
      <c r="I638" s="170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70"/>
      <c r="C639" s="170"/>
      <c r="D639" s="170"/>
      <c r="E639" s="170"/>
      <c r="F639" s="170"/>
      <c r="G639" s="170"/>
      <c r="H639" s="170"/>
      <c r="I639" s="170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70"/>
      <c r="C640" s="170"/>
      <c r="D640" s="170"/>
      <c r="E640" s="170"/>
      <c r="F640" s="170"/>
      <c r="G640" s="170"/>
      <c r="H640" s="170"/>
      <c r="I640" s="170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70"/>
      <c r="C641" s="170"/>
      <c r="D641" s="170"/>
      <c r="E641" s="170"/>
      <c r="F641" s="170"/>
      <c r="G641" s="170"/>
      <c r="H641" s="170"/>
      <c r="I641" s="170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70"/>
      <c r="C642" s="170"/>
      <c r="D642" s="170"/>
      <c r="E642" s="170"/>
      <c r="F642" s="170"/>
      <c r="G642" s="170"/>
      <c r="H642" s="170"/>
      <c r="I642" s="170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70"/>
      <c r="C643" s="170"/>
      <c r="D643" s="170"/>
      <c r="E643" s="170"/>
      <c r="F643" s="170"/>
      <c r="G643" s="170"/>
      <c r="H643" s="170"/>
      <c r="I643" s="170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70"/>
      <c r="C644" s="170"/>
      <c r="D644" s="170"/>
      <c r="E644" s="170"/>
      <c r="F644" s="170"/>
      <c r="G644" s="170"/>
      <c r="H644" s="170"/>
      <c r="I644" s="170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70"/>
      <c r="C645" s="170"/>
      <c r="D645" s="170"/>
      <c r="E645" s="170"/>
      <c r="F645" s="170"/>
      <c r="G645" s="170"/>
      <c r="H645" s="170"/>
      <c r="I645" s="170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70"/>
      <c r="C646" s="170"/>
      <c r="D646" s="170"/>
      <c r="E646" s="170"/>
      <c r="F646" s="170"/>
      <c r="G646" s="170"/>
      <c r="H646" s="170"/>
      <c r="I646" s="170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70"/>
      <c r="C647" s="170"/>
      <c r="D647" s="170"/>
      <c r="E647" s="170"/>
      <c r="F647" s="170"/>
      <c r="G647" s="170"/>
      <c r="H647" s="170"/>
      <c r="I647" s="170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70"/>
      <c r="C648" s="170"/>
      <c r="D648" s="170"/>
      <c r="E648" s="170"/>
      <c r="F648" s="170"/>
      <c r="G648" s="170"/>
      <c r="H648" s="170"/>
      <c r="I648" s="170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70"/>
      <c r="C649" s="170"/>
      <c r="D649" s="170"/>
      <c r="E649" s="170"/>
      <c r="F649" s="170"/>
      <c r="G649" s="170"/>
      <c r="H649" s="170"/>
      <c r="I649" s="170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70"/>
      <c r="C650" s="170"/>
      <c r="D650" s="170"/>
      <c r="E650" s="170"/>
      <c r="F650" s="170"/>
      <c r="G650" s="170"/>
      <c r="H650" s="170"/>
      <c r="I650" s="170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70"/>
      <c r="C651" s="170"/>
      <c r="D651" s="170"/>
      <c r="E651" s="170"/>
      <c r="F651" s="170"/>
      <c r="G651" s="170"/>
      <c r="H651" s="170"/>
      <c r="I651" s="170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70"/>
      <c r="C652" s="170"/>
      <c r="D652" s="170"/>
      <c r="E652" s="170"/>
      <c r="F652" s="170"/>
      <c r="G652" s="170"/>
      <c r="H652" s="170"/>
      <c r="I652" s="170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70"/>
      <c r="C653" s="170"/>
      <c r="D653" s="170"/>
      <c r="E653" s="170"/>
      <c r="F653" s="170"/>
      <c r="G653" s="170"/>
      <c r="H653" s="170"/>
      <c r="I653" s="170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70"/>
      <c r="C654" s="170"/>
      <c r="D654" s="170"/>
      <c r="E654" s="170"/>
      <c r="F654" s="170"/>
      <c r="G654" s="170"/>
      <c r="H654" s="170"/>
      <c r="I654" s="170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70"/>
      <c r="C655" s="170"/>
      <c r="D655" s="170"/>
      <c r="E655" s="170"/>
      <c r="F655" s="170"/>
      <c r="G655" s="170"/>
      <c r="H655" s="170"/>
      <c r="I655" s="170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70"/>
      <c r="C656" s="170"/>
      <c r="D656" s="170"/>
      <c r="E656" s="170"/>
      <c r="F656" s="170"/>
      <c r="G656" s="170"/>
      <c r="H656" s="170"/>
      <c r="I656" s="170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70"/>
      <c r="C657" s="170"/>
      <c r="D657" s="170"/>
      <c r="E657" s="170"/>
      <c r="F657" s="170"/>
      <c r="G657" s="170"/>
      <c r="H657" s="170"/>
      <c r="I657" s="170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70"/>
      <c r="C658" s="170"/>
      <c r="D658" s="170"/>
      <c r="E658" s="170"/>
      <c r="F658" s="170"/>
      <c r="G658" s="170"/>
      <c r="H658" s="170"/>
      <c r="I658" s="170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70"/>
      <c r="C659" s="170"/>
      <c r="D659" s="170"/>
      <c r="E659" s="170"/>
      <c r="F659" s="170"/>
      <c r="G659" s="170"/>
      <c r="H659" s="170"/>
      <c r="I659" s="170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70"/>
      <c r="C660" s="170"/>
      <c r="D660" s="170"/>
      <c r="E660" s="170"/>
      <c r="F660" s="170"/>
      <c r="G660" s="170"/>
      <c r="H660" s="170"/>
      <c r="I660" s="170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70"/>
      <c r="C661" s="170"/>
      <c r="D661" s="170"/>
      <c r="E661" s="170"/>
      <c r="F661" s="170"/>
      <c r="G661" s="170"/>
      <c r="H661" s="170"/>
      <c r="I661" s="170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70"/>
      <c r="C662" s="170"/>
      <c r="D662" s="170"/>
      <c r="E662" s="170"/>
      <c r="F662" s="170"/>
      <c r="G662" s="170"/>
      <c r="H662" s="170"/>
      <c r="I662" s="170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70"/>
      <c r="C663" s="170"/>
      <c r="D663" s="170"/>
      <c r="E663" s="170"/>
      <c r="F663" s="170"/>
      <c r="G663" s="170"/>
      <c r="H663" s="170"/>
      <c r="I663" s="170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70"/>
      <c r="C664" s="170"/>
      <c r="D664" s="170"/>
      <c r="E664" s="170"/>
      <c r="F664" s="170"/>
      <c r="G664" s="170"/>
      <c r="H664" s="170"/>
      <c r="I664" s="170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70"/>
      <c r="C665" s="170"/>
      <c r="D665" s="170"/>
      <c r="E665" s="170"/>
      <c r="F665" s="170"/>
      <c r="G665" s="170"/>
      <c r="H665" s="170"/>
      <c r="I665" s="170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70"/>
      <c r="C666" s="170"/>
      <c r="D666" s="170"/>
      <c r="E666" s="170"/>
      <c r="F666" s="170"/>
      <c r="G666" s="170"/>
      <c r="H666" s="170"/>
      <c r="I666" s="170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70"/>
      <c r="C667" s="170"/>
      <c r="D667" s="170"/>
      <c r="E667" s="170"/>
      <c r="F667" s="170"/>
      <c r="G667" s="170"/>
      <c r="H667" s="170"/>
      <c r="I667" s="170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70"/>
      <c r="C668" s="170"/>
      <c r="D668" s="170"/>
      <c r="E668" s="170"/>
      <c r="F668" s="170"/>
      <c r="G668" s="170"/>
      <c r="H668" s="170"/>
      <c r="I668" s="170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70"/>
      <c r="C669" s="170"/>
      <c r="D669" s="170"/>
      <c r="E669" s="170"/>
      <c r="F669" s="170"/>
      <c r="G669" s="170"/>
      <c r="H669" s="170"/>
      <c r="I669" s="170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70"/>
      <c r="C670" s="170"/>
      <c r="D670" s="170"/>
      <c r="E670" s="170"/>
      <c r="F670" s="170"/>
      <c r="G670" s="170"/>
      <c r="H670" s="170"/>
      <c r="I670" s="170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70"/>
      <c r="C671" s="170"/>
      <c r="D671" s="170"/>
      <c r="E671" s="170"/>
      <c r="F671" s="170"/>
      <c r="G671" s="170"/>
      <c r="H671" s="170"/>
      <c r="I671" s="170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70"/>
      <c r="C672" s="170"/>
      <c r="D672" s="170"/>
      <c r="E672" s="170"/>
      <c r="F672" s="170"/>
      <c r="G672" s="170"/>
      <c r="H672" s="170"/>
      <c r="I672" s="170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70"/>
      <c r="C673" s="170"/>
      <c r="D673" s="170"/>
      <c r="E673" s="170"/>
      <c r="F673" s="170"/>
      <c r="G673" s="170"/>
      <c r="H673" s="170"/>
      <c r="I673" s="170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70"/>
      <c r="C674" s="170"/>
      <c r="D674" s="170"/>
      <c r="E674" s="170"/>
      <c r="F674" s="170"/>
      <c r="G674" s="170"/>
      <c r="H674" s="170"/>
      <c r="I674" s="170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70"/>
      <c r="C675" s="170"/>
      <c r="D675" s="170"/>
      <c r="E675" s="170"/>
      <c r="F675" s="170"/>
      <c r="G675" s="170"/>
      <c r="H675" s="170"/>
      <c r="I675" s="170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70"/>
      <c r="C676" s="170"/>
      <c r="D676" s="170"/>
      <c r="E676" s="170"/>
      <c r="F676" s="170"/>
      <c r="G676" s="170"/>
      <c r="H676" s="170"/>
      <c r="I676" s="170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70"/>
      <c r="C677" s="170"/>
      <c r="D677" s="170"/>
      <c r="E677" s="170"/>
      <c r="F677" s="170"/>
      <c r="G677" s="170"/>
      <c r="H677" s="170"/>
      <c r="I677" s="170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70"/>
      <c r="C678" s="170"/>
      <c r="D678" s="170"/>
      <c r="E678" s="170"/>
      <c r="F678" s="170"/>
      <c r="G678" s="170"/>
      <c r="H678" s="170"/>
      <c r="I678" s="170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70"/>
      <c r="C679" s="170"/>
      <c r="D679" s="170"/>
      <c r="E679" s="170"/>
      <c r="F679" s="170"/>
      <c r="G679" s="170"/>
      <c r="H679" s="170"/>
      <c r="I679" s="170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70"/>
      <c r="C680" s="170"/>
      <c r="D680" s="170"/>
      <c r="E680" s="170"/>
      <c r="F680" s="170"/>
      <c r="G680" s="170"/>
      <c r="H680" s="170"/>
      <c r="I680" s="170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70"/>
      <c r="C681" s="170"/>
      <c r="D681" s="170"/>
      <c r="E681" s="170"/>
      <c r="F681" s="170"/>
      <c r="G681" s="170"/>
      <c r="H681" s="170"/>
      <c r="I681" s="170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70"/>
      <c r="C682" s="170"/>
      <c r="D682" s="170"/>
      <c r="E682" s="170"/>
      <c r="F682" s="170"/>
      <c r="G682" s="170"/>
      <c r="H682" s="170"/>
      <c r="I682" s="170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70"/>
      <c r="C683" s="170"/>
      <c r="D683" s="170"/>
      <c r="E683" s="170"/>
      <c r="F683" s="170"/>
      <c r="G683" s="170"/>
      <c r="H683" s="170"/>
      <c r="I683" s="170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70"/>
      <c r="C684" s="170"/>
      <c r="D684" s="170"/>
      <c r="E684" s="170"/>
      <c r="F684" s="170"/>
      <c r="G684" s="170"/>
      <c r="H684" s="170"/>
      <c r="I684" s="170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70"/>
      <c r="C685" s="170"/>
      <c r="D685" s="170"/>
      <c r="E685" s="170"/>
      <c r="F685" s="170"/>
      <c r="G685" s="170"/>
      <c r="H685" s="170"/>
      <c r="I685" s="170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70"/>
      <c r="C686" s="170"/>
      <c r="D686" s="170"/>
      <c r="E686" s="170"/>
      <c r="F686" s="170"/>
      <c r="G686" s="170"/>
      <c r="H686" s="170"/>
      <c r="I686" s="170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70"/>
      <c r="C687" s="170"/>
      <c r="D687" s="170"/>
      <c r="E687" s="170"/>
      <c r="F687" s="170"/>
      <c r="G687" s="170"/>
      <c r="H687" s="170"/>
      <c r="I687" s="170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70"/>
      <c r="C688" s="170"/>
      <c r="D688" s="170"/>
      <c r="E688" s="170"/>
      <c r="F688" s="170"/>
      <c r="G688" s="170"/>
      <c r="H688" s="170"/>
      <c r="I688" s="170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70"/>
      <c r="C689" s="170"/>
      <c r="D689" s="170"/>
      <c r="E689" s="170"/>
      <c r="F689" s="170"/>
      <c r="G689" s="170"/>
      <c r="H689" s="170"/>
      <c r="I689" s="170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70"/>
      <c r="C690" s="170"/>
      <c r="D690" s="170"/>
      <c r="E690" s="170"/>
      <c r="F690" s="170"/>
      <c r="G690" s="170"/>
      <c r="H690" s="170"/>
      <c r="I690" s="170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70"/>
      <c r="C691" s="170"/>
      <c r="D691" s="170"/>
      <c r="E691" s="170"/>
      <c r="F691" s="170"/>
      <c r="G691" s="170"/>
      <c r="H691" s="170"/>
      <c r="I691" s="170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70"/>
      <c r="C692" s="170"/>
      <c r="D692" s="170"/>
      <c r="E692" s="170"/>
      <c r="F692" s="170"/>
      <c r="G692" s="170"/>
      <c r="H692" s="170"/>
      <c r="I692" s="170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70"/>
      <c r="C693" s="170"/>
      <c r="D693" s="170"/>
      <c r="E693" s="170"/>
      <c r="F693" s="170"/>
      <c r="G693" s="170"/>
      <c r="H693" s="170"/>
      <c r="I693" s="170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70"/>
      <c r="C694" s="170"/>
      <c r="D694" s="170"/>
      <c r="E694" s="170"/>
      <c r="F694" s="170"/>
      <c r="G694" s="170"/>
      <c r="H694" s="170"/>
      <c r="I694" s="170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70"/>
      <c r="C695" s="170"/>
      <c r="D695" s="170"/>
      <c r="E695" s="170"/>
      <c r="F695" s="170"/>
      <c r="G695" s="170"/>
      <c r="H695" s="170"/>
      <c r="I695" s="170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70"/>
      <c r="C696" s="170"/>
      <c r="D696" s="170"/>
      <c r="E696" s="170"/>
      <c r="F696" s="170"/>
      <c r="G696" s="170"/>
      <c r="H696" s="170"/>
      <c r="I696" s="170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70"/>
      <c r="C697" s="170"/>
      <c r="D697" s="170"/>
      <c r="E697" s="170"/>
      <c r="F697" s="170"/>
      <c r="G697" s="170"/>
      <c r="H697" s="170"/>
      <c r="I697" s="170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70"/>
      <c r="C698" s="170"/>
      <c r="D698" s="170"/>
      <c r="E698" s="170"/>
      <c r="F698" s="170"/>
      <c r="G698" s="170"/>
      <c r="H698" s="170"/>
      <c r="I698" s="170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70"/>
      <c r="C699" s="170"/>
      <c r="D699" s="170"/>
      <c r="E699" s="170"/>
      <c r="F699" s="170"/>
      <c r="G699" s="170"/>
      <c r="H699" s="170"/>
      <c r="I699" s="170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70"/>
      <c r="C700" s="170"/>
      <c r="D700" s="170"/>
      <c r="E700" s="170"/>
      <c r="F700" s="170"/>
      <c r="G700" s="170"/>
      <c r="H700" s="170"/>
      <c r="I700" s="170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70"/>
      <c r="C701" s="170"/>
      <c r="D701" s="170"/>
      <c r="E701" s="170"/>
      <c r="F701" s="170"/>
      <c r="G701" s="170"/>
      <c r="H701" s="170"/>
      <c r="I701" s="170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70"/>
      <c r="C702" s="170"/>
      <c r="D702" s="170"/>
      <c r="E702" s="170"/>
      <c r="F702" s="170"/>
      <c r="G702" s="170"/>
      <c r="H702" s="170"/>
      <c r="I702" s="170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70"/>
      <c r="C703" s="170"/>
      <c r="D703" s="170"/>
      <c r="E703" s="170"/>
      <c r="F703" s="170"/>
      <c r="G703" s="170"/>
      <c r="H703" s="170"/>
      <c r="I703" s="170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70"/>
      <c r="C704" s="170"/>
      <c r="D704" s="170"/>
      <c r="E704" s="170"/>
      <c r="F704" s="170"/>
      <c r="G704" s="170"/>
      <c r="H704" s="170"/>
      <c r="I704" s="170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70"/>
      <c r="C705" s="170"/>
      <c r="D705" s="170"/>
      <c r="E705" s="170"/>
      <c r="F705" s="170"/>
      <c r="G705" s="170"/>
      <c r="H705" s="170"/>
      <c r="I705" s="170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70"/>
      <c r="C706" s="170"/>
      <c r="D706" s="170"/>
      <c r="E706" s="170"/>
      <c r="F706" s="170"/>
      <c r="G706" s="170"/>
      <c r="H706" s="170"/>
      <c r="I706" s="170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70"/>
      <c r="C707" s="170"/>
      <c r="D707" s="170"/>
      <c r="E707" s="170"/>
      <c r="F707" s="170"/>
      <c r="G707" s="170"/>
      <c r="H707" s="170"/>
      <c r="I707" s="170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70"/>
      <c r="C708" s="170"/>
      <c r="D708" s="170"/>
      <c r="E708" s="170"/>
      <c r="F708" s="170"/>
      <c r="G708" s="170"/>
      <c r="H708" s="170"/>
      <c r="I708" s="170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70"/>
      <c r="C709" s="170"/>
      <c r="D709" s="170"/>
      <c r="E709" s="170"/>
      <c r="F709" s="170"/>
      <c r="G709" s="170"/>
      <c r="H709" s="170"/>
      <c r="I709" s="170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70"/>
      <c r="C710" s="170"/>
      <c r="D710" s="170"/>
      <c r="E710" s="170"/>
      <c r="F710" s="170"/>
      <c r="G710" s="170"/>
      <c r="H710" s="170"/>
      <c r="I710" s="170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70"/>
      <c r="C711" s="170"/>
      <c r="D711" s="170"/>
      <c r="E711" s="170"/>
      <c r="F711" s="170"/>
      <c r="G711" s="170"/>
      <c r="H711" s="170"/>
      <c r="I711" s="170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70"/>
      <c r="C712" s="170"/>
      <c r="D712" s="170"/>
      <c r="E712" s="170"/>
      <c r="F712" s="170"/>
      <c r="G712" s="170"/>
      <c r="H712" s="170"/>
      <c r="I712" s="170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70"/>
      <c r="C713" s="170"/>
      <c r="D713" s="170"/>
      <c r="E713" s="170"/>
      <c r="F713" s="170"/>
      <c r="G713" s="170"/>
      <c r="H713" s="170"/>
      <c r="I713" s="170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70"/>
      <c r="C714" s="170"/>
      <c r="D714" s="170"/>
      <c r="E714" s="170"/>
      <c r="F714" s="170"/>
      <c r="G714" s="170"/>
      <c r="H714" s="170"/>
      <c r="I714" s="170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70"/>
      <c r="C715" s="170"/>
      <c r="D715" s="170"/>
      <c r="E715" s="170"/>
      <c r="F715" s="170"/>
      <c r="G715" s="170"/>
      <c r="H715" s="170"/>
      <c r="I715" s="170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70"/>
      <c r="C716" s="170"/>
      <c r="D716" s="170"/>
      <c r="E716" s="170"/>
      <c r="F716" s="170"/>
      <c r="G716" s="170"/>
      <c r="H716" s="170"/>
      <c r="I716" s="170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70"/>
      <c r="C717" s="170"/>
      <c r="D717" s="170"/>
      <c r="E717" s="170"/>
      <c r="F717" s="170"/>
      <c r="G717" s="170"/>
      <c r="H717" s="170"/>
      <c r="I717" s="170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70"/>
      <c r="C718" s="170"/>
      <c r="D718" s="170"/>
      <c r="E718" s="170"/>
      <c r="F718" s="170"/>
      <c r="G718" s="170"/>
      <c r="H718" s="170"/>
      <c r="I718" s="170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70"/>
      <c r="C719" s="170"/>
      <c r="D719" s="170"/>
      <c r="E719" s="170"/>
      <c r="F719" s="170"/>
      <c r="G719" s="170"/>
      <c r="H719" s="170"/>
      <c r="I719" s="170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70"/>
      <c r="C720" s="170"/>
      <c r="D720" s="170"/>
      <c r="E720" s="170"/>
      <c r="F720" s="170"/>
      <c r="G720" s="170"/>
      <c r="H720" s="170"/>
      <c r="I720" s="170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70"/>
      <c r="C721" s="170"/>
      <c r="D721" s="170"/>
      <c r="E721" s="170"/>
      <c r="F721" s="170"/>
      <c r="G721" s="170"/>
      <c r="H721" s="170"/>
      <c r="I721" s="170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70"/>
      <c r="C722" s="170"/>
      <c r="D722" s="170"/>
      <c r="E722" s="170"/>
      <c r="F722" s="170"/>
      <c r="G722" s="170"/>
      <c r="H722" s="170"/>
      <c r="I722" s="170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70"/>
      <c r="C723" s="170"/>
      <c r="D723" s="170"/>
      <c r="E723" s="170"/>
      <c r="F723" s="170"/>
      <c r="G723" s="170"/>
      <c r="H723" s="170"/>
      <c r="I723" s="170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70"/>
      <c r="C724" s="170"/>
      <c r="D724" s="170"/>
      <c r="E724" s="170"/>
      <c r="F724" s="170"/>
      <c r="G724" s="170"/>
      <c r="H724" s="170"/>
      <c r="I724" s="170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70"/>
      <c r="C725" s="170"/>
      <c r="D725" s="170"/>
      <c r="E725" s="170"/>
      <c r="F725" s="170"/>
      <c r="G725" s="170"/>
      <c r="H725" s="170"/>
      <c r="I725" s="170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70"/>
      <c r="C726" s="170"/>
      <c r="D726" s="170"/>
      <c r="E726" s="170"/>
      <c r="F726" s="170"/>
      <c r="G726" s="170"/>
      <c r="H726" s="170"/>
      <c r="I726" s="170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70"/>
      <c r="C727" s="170"/>
      <c r="D727" s="170"/>
      <c r="E727" s="170"/>
      <c r="F727" s="170"/>
      <c r="G727" s="170"/>
      <c r="H727" s="170"/>
      <c r="I727" s="170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70"/>
      <c r="C728" s="170"/>
      <c r="D728" s="170"/>
      <c r="E728" s="170"/>
      <c r="F728" s="170"/>
      <c r="G728" s="170"/>
      <c r="H728" s="170"/>
      <c r="I728" s="170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70"/>
      <c r="C729" s="170"/>
      <c r="D729" s="170"/>
      <c r="E729" s="170"/>
      <c r="F729" s="170"/>
      <c r="G729" s="170"/>
      <c r="H729" s="170"/>
      <c r="I729" s="170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70"/>
      <c r="C730" s="170"/>
      <c r="D730" s="170"/>
      <c r="E730" s="170"/>
      <c r="F730" s="170"/>
      <c r="G730" s="170"/>
      <c r="H730" s="170"/>
      <c r="I730" s="170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70"/>
      <c r="C731" s="170"/>
      <c r="D731" s="170"/>
      <c r="E731" s="170"/>
      <c r="F731" s="170"/>
      <c r="G731" s="170"/>
      <c r="H731" s="170"/>
      <c r="I731" s="170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70"/>
      <c r="C732" s="170"/>
      <c r="D732" s="170"/>
      <c r="E732" s="170"/>
      <c r="F732" s="170"/>
      <c r="G732" s="170"/>
      <c r="H732" s="170"/>
      <c r="I732" s="170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70"/>
      <c r="C733" s="170"/>
      <c r="D733" s="170"/>
      <c r="E733" s="170"/>
      <c r="F733" s="170"/>
      <c r="G733" s="170"/>
      <c r="H733" s="170"/>
      <c r="I733" s="170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70"/>
      <c r="C734" s="170"/>
      <c r="D734" s="170"/>
      <c r="E734" s="170"/>
      <c r="F734" s="170"/>
      <c r="G734" s="170"/>
      <c r="H734" s="170"/>
      <c r="I734" s="170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70"/>
      <c r="C735" s="170"/>
      <c r="D735" s="170"/>
      <c r="E735" s="170"/>
      <c r="F735" s="170"/>
      <c r="G735" s="170"/>
      <c r="H735" s="170"/>
      <c r="I735" s="170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70"/>
      <c r="C736" s="170"/>
      <c r="D736" s="170"/>
      <c r="E736" s="170"/>
      <c r="F736" s="170"/>
      <c r="G736" s="170"/>
      <c r="H736" s="170"/>
      <c r="I736" s="170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70"/>
      <c r="C737" s="170"/>
      <c r="D737" s="170"/>
      <c r="E737" s="170"/>
      <c r="F737" s="170"/>
      <c r="G737" s="170"/>
      <c r="H737" s="170"/>
      <c r="I737" s="170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70"/>
      <c r="C738" s="170"/>
      <c r="D738" s="170"/>
      <c r="E738" s="170"/>
      <c r="F738" s="170"/>
      <c r="G738" s="170"/>
      <c r="H738" s="170"/>
      <c r="I738" s="170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70"/>
      <c r="C739" s="170"/>
      <c r="D739" s="170"/>
      <c r="E739" s="170"/>
      <c r="F739" s="170"/>
      <c r="G739" s="170"/>
      <c r="H739" s="170"/>
      <c r="I739" s="170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70"/>
      <c r="C740" s="170"/>
      <c r="D740" s="170"/>
      <c r="E740" s="170"/>
      <c r="F740" s="170"/>
      <c r="G740" s="170"/>
      <c r="H740" s="170"/>
      <c r="I740" s="170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70"/>
      <c r="C741" s="170"/>
      <c r="D741" s="170"/>
      <c r="E741" s="170"/>
      <c r="F741" s="170"/>
      <c r="G741" s="170"/>
      <c r="H741" s="170"/>
      <c r="I741" s="170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70"/>
      <c r="C742" s="170"/>
      <c r="D742" s="170"/>
      <c r="E742" s="170"/>
      <c r="F742" s="170"/>
      <c r="G742" s="170"/>
      <c r="H742" s="170"/>
      <c r="I742" s="170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70"/>
      <c r="C743" s="170"/>
      <c r="D743" s="170"/>
      <c r="E743" s="170"/>
      <c r="F743" s="170"/>
      <c r="G743" s="170"/>
      <c r="H743" s="170"/>
      <c r="I743" s="170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70"/>
      <c r="C744" s="170"/>
      <c r="D744" s="170"/>
      <c r="E744" s="170"/>
      <c r="F744" s="170"/>
      <c r="G744" s="170"/>
      <c r="H744" s="170"/>
      <c r="I744" s="170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70"/>
      <c r="C745" s="170"/>
      <c r="D745" s="170"/>
      <c r="E745" s="170"/>
      <c r="F745" s="170"/>
      <c r="G745" s="170"/>
      <c r="H745" s="170"/>
      <c r="I745" s="170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70"/>
      <c r="C746" s="170"/>
      <c r="D746" s="170"/>
      <c r="E746" s="170"/>
      <c r="F746" s="170"/>
      <c r="G746" s="170"/>
      <c r="H746" s="170"/>
      <c r="I746" s="170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70"/>
      <c r="C747" s="170"/>
      <c r="D747" s="170"/>
      <c r="E747" s="170"/>
      <c r="F747" s="170"/>
      <c r="G747" s="170"/>
      <c r="H747" s="170"/>
      <c r="I747" s="170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70"/>
      <c r="C748" s="170"/>
      <c r="D748" s="170"/>
      <c r="E748" s="170"/>
      <c r="F748" s="170"/>
      <c r="G748" s="170"/>
      <c r="H748" s="170"/>
      <c r="I748" s="170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70"/>
      <c r="C749" s="170"/>
      <c r="D749" s="170"/>
      <c r="E749" s="170"/>
      <c r="F749" s="170"/>
      <c r="G749" s="170"/>
      <c r="H749" s="170"/>
      <c r="I749" s="170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70"/>
      <c r="C750" s="170"/>
      <c r="D750" s="170"/>
      <c r="E750" s="170"/>
      <c r="F750" s="170"/>
      <c r="G750" s="170"/>
      <c r="H750" s="170"/>
      <c r="I750" s="170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70"/>
      <c r="C751" s="170"/>
      <c r="D751" s="170"/>
      <c r="E751" s="170"/>
      <c r="F751" s="170"/>
      <c r="G751" s="170"/>
      <c r="H751" s="170"/>
      <c r="I751" s="170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70"/>
      <c r="C752" s="170"/>
      <c r="D752" s="170"/>
      <c r="E752" s="170"/>
      <c r="F752" s="170"/>
      <c r="G752" s="170"/>
      <c r="H752" s="170"/>
      <c r="I752" s="170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70"/>
      <c r="C753" s="170"/>
      <c r="D753" s="170"/>
      <c r="E753" s="170"/>
      <c r="F753" s="170"/>
      <c r="G753" s="170"/>
      <c r="H753" s="170"/>
      <c r="I753" s="170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70"/>
      <c r="C754" s="170"/>
      <c r="D754" s="170"/>
      <c r="E754" s="170"/>
      <c r="F754" s="170"/>
      <c r="G754" s="170"/>
      <c r="H754" s="170"/>
      <c r="I754" s="170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70"/>
      <c r="C755" s="170"/>
      <c r="D755" s="170"/>
      <c r="E755" s="170"/>
      <c r="F755" s="170"/>
      <c r="G755" s="170"/>
      <c r="H755" s="170"/>
      <c r="I755" s="170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70"/>
      <c r="C756" s="170"/>
      <c r="D756" s="170"/>
      <c r="E756" s="170"/>
      <c r="F756" s="170"/>
      <c r="G756" s="170"/>
      <c r="H756" s="170"/>
      <c r="I756" s="170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70"/>
      <c r="C757" s="170"/>
      <c r="D757" s="170"/>
      <c r="E757" s="170"/>
      <c r="F757" s="170"/>
      <c r="G757" s="170"/>
      <c r="H757" s="170"/>
      <c r="I757" s="170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70"/>
      <c r="C758" s="170"/>
      <c r="D758" s="170"/>
      <c r="E758" s="170"/>
      <c r="F758" s="170"/>
      <c r="G758" s="170"/>
      <c r="H758" s="170"/>
      <c r="I758" s="170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70"/>
      <c r="C759" s="170"/>
      <c r="D759" s="170"/>
      <c r="E759" s="170"/>
      <c r="F759" s="170"/>
      <c r="G759" s="170"/>
      <c r="H759" s="170"/>
      <c r="I759" s="170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70"/>
      <c r="C760" s="170"/>
      <c r="D760" s="170"/>
      <c r="E760" s="170"/>
      <c r="F760" s="170"/>
      <c r="G760" s="170"/>
      <c r="H760" s="170"/>
      <c r="I760" s="170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70"/>
      <c r="C761" s="170"/>
      <c r="D761" s="170"/>
      <c r="E761" s="170"/>
      <c r="F761" s="170"/>
      <c r="G761" s="170"/>
      <c r="H761" s="170"/>
      <c r="I761" s="170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70"/>
      <c r="C762" s="170"/>
      <c r="D762" s="170"/>
      <c r="E762" s="170"/>
      <c r="F762" s="170"/>
      <c r="G762" s="170"/>
      <c r="H762" s="170"/>
      <c r="I762" s="170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70"/>
      <c r="C763" s="170"/>
      <c r="D763" s="170"/>
      <c r="E763" s="170"/>
      <c r="F763" s="170"/>
      <c r="G763" s="170"/>
      <c r="H763" s="170"/>
      <c r="I763" s="170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70"/>
      <c r="C764" s="170"/>
      <c r="D764" s="170"/>
      <c r="E764" s="170"/>
      <c r="F764" s="170"/>
      <c r="G764" s="170"/>
      <c r="H764" s="170"/>
      <c r="I764" s="170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70"/>
      <c r="C765" s="170"/>
      <c r="D765" s="170"/>
      <c r="E765" s="170"/>
      <c r="F765" s="170"/>
      <c r="G765" s="170"/>
      <c r="H765" s="170"/>
      <c r="I765" s="170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70"/>
      <c r="C766" s="170"/>
      <c r="D766" s="170"/>
      <c r="E766" s="170"/>
      <c r="F766" s="170"/>
      <c r="G766" s="170"/>
      <c r="H766" s="170"/>
      <c r="I766" s="170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70"/>
      <c r="C767" s="170"/>
      <c r="D767" s="170"/>
      <c r="E767" s="170"/>
      <c r="F767" s="170"/>
      <c r="G767" s="170"/>
      <c r="H767" s="170"/>
      <c r="I767" s="170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70"/>
      <c r="C768" s="170"/>
      <c r="D768" s="170"/>
      <c r="E768" s="170"/>
      <c r="F768" s="170"/>
      <c r="G768" s="170"/>
      <c r="H768" s="170"/>
      <c r="I768" s="170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70"/>
      <c r="C769" s="170"/>
      <c r="D769" s="170"/>
      <c r="E769" s="170"/>
      <c r="F769" s="170"/>
      <c r="G769" s="170"/>
      <c r="H769" s="170"/>
      <c r="I769" s="170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70"/>
      <c r="C770" s="170"/>
      <c r="D770" s="170"/>
      <c r="E770" s="170"/>
      <c r="F770" s="170"/>
      <c r="G770" s="170"/>
      <c r="H770" s="170"/>
      <c r="I770" s="170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70"/>
      <c r="C771" s="170"/>
      <c r="D771" s="170"/>
      <c r="E771" s="170"/>
      <c r="F771" s="170"/>
      <c r="G771" s="170"/>
      <c r="H771" s="170"/>
      <c r="I771" s="170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70"/>
      <c r="C772" s="170"/>
      <c r="D772" s="170"/>
      <c r="E772" s="170"/>
      <c r="F772" s="170"/>
      <c r="G772" s="170"/>
      <c r="H772" s="170"/>
      <c r="I772" s="170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70"/>
      <c r="C773" s="170"/>
      <c r="D773" s="170"/>
      <c r="E773" s="170"/>
      <c r="F773" s="170"/>
      <c r="G773" s="170"/>
      <c r="H773" s="170"/>
      <c r="I773" s="170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70"/>
      <c r="C774" s="170"/>
      <c r="D774" s="170"/>
      <c r="E774" s="170"/>
      <c r="F774" s="170"/>
      <c r="G774" s="170"/>
      <c r="H774" s="170"/>
      <c r="I774" s="170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70"/>
      <c r="C775" s="170"/>
      <c r="D775" s="170"/>
      <c r="E775" s="170"/>
      <c r="F775" s="170"/>
      <c r="G775" s="170"/>
      <c r="H775" s="170"/>
      <c r="I775" s="170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70"/>
      <c r="C776" s="170"/>
      <c r="D776" s="170"/>
      <c r="E776" s="170"/>
      <c r="F776" s="170"/>
      <c r="G776" s="170"/>
      <c r="H776" s="170"/>
      <c r="I776" s="170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70"/>
      <c r="C777" s="170"/>
      <c r="D777" s="170"/>
      <c r="E777" s="170"/>
      <c r="F777" s="170"/>
      <c r="G777" s="170"/>
      <c r="H777" s="170"/>
      <c r="I777" s="170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70"/>
      <c r="C778" s="170"/>
      <c r="D778" s="170"/>
      <c r="E778" s="170"/>
      <c r="F778" s="170"/>
      <c r="G778" s="170"/>
      <c r="H778" s="170"/>
      <c r="I778" s="170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70"/>
      <c r="C779" s="170"/>
      <c r="D779" s="170"/>
      <c r="E779" s="170"/>
      <c r="F779" s="170"/>
      <c r="G779" s="170"/>
      <c r="H779" s="170"/>
      <c r="I779" s="170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70"/>
      <c r="C780" s="170"/>
      <c r="D780" s="170"/>
      <c r="E780" s="170"/>
      <c r="F780" s="170"/>
      <c r="G780" s="170"/>
      <c r="H780" s="170"/>
      <c r="I780" s="170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70"/>
      <c r="C781" s="170"/>
      <c r="D781" s="170"/>
      <c r="E781" s="170"/>
      <c r="F781" s="170"/>
      <c r="G781" s="170"/>
      <c r="H781" s="170"/>
      <c r="I781" s="170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70"/>
      <c r="C782" s="170"/>
      <c r="D782" s="170"/>
      <c r="E782" s="170"/>
      <c r="F782" s="170"/>
      <c r="G782" s="170"/>
      <c r="H782" s="170"/>
      <c r="I782" s="170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70"/>
      <c r="C783" s="170"/>
      <c r="D783" s="170"/>
      <c r="E783" s="170"/>
      <c r="F783" s="170"/>
      <c r="G783" s="170"/>
      <c r="H783" s="170"/>
      <c r="I783" s="170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70"/>
      <c r="C784" s="170"/>
      <c r="D784" s="170"/>
      <c r="E784" s="170"/>
      <c r="F784" s="170"/>
      <c r="G784" s="170"/>
      <c r="H784" s="170"/>
      <c r="I784" s="170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70"/>
      <c r="C785" s="170"/>
      <c r="D785" s="170"/>
      <c r="E785" s="170"/>
      <c r="F785" s="170"/>
      <c r="G785" s="170"/>
      <c r="H785" s="170"/>
      <c r="I785" s="170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70"/>
      <c r="C786" s="170"/>
      <c r="D786" s="170"/>
      <c r="E786" s="170"/>
      <c r="F786" s="170"/>
      <c r="G786" s="170"/>
      <c r="H786" s="170"/>
      <c r="I786" s="170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70"/>
      <c r="C787" s="170"/>
      <c r="D787" s="170"/>
      <c r="E787" s="170"/>
      <c r="F787" s="170"/>
      <c r="G787" s="170"/>
      <c r="H787" s="170"/>
      <c r="I787" s="170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70"/>
      <c r="C788" s="170"/>
      <c r="D788" s="170"/>
      <c r="E788" s="170"/>
      <c r="F788" s="170"/>
      <c r="G788" s="170"/>
      <c r="H788" s="170"/>
      <c r="I788" s="170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70"/>
      <c r="C789" s="170"/>
      <c r="D789" s="170"/>
      <c r="E789" s="170"/>
      <c r="F789" s="170"/>
      <c r="G789" s="170"/>
      <c r="H789" s="170"/>
      <c r="I789" s="170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70"/>
      <c r="C790" s="170"/>
      <c r="D790" s="170"/>
      <c r="E790" s="170"/>
      <c r="F790" s="170"/>
      <c r="G790" s="170"/>
      <c r="H790" s="170"/>
      <c r="I790" s="170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70"/>
      <c r="C791" s="170"/>
      <c r="D791" s="170"/>
      <c r="E791" s="170"/>
      <c r="F791" s="170"/>
      <c r="G791" s="170"/>
      <c r="H791" s="170"/>
      <c r="I791" s="170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70"/>
      <c r="C792" s="170"/>
      <c r="D792" s="170"/>
      <c r="E792" s="170"/>
      <c r="F792" s="170"/>
      <c r="G792" s="170"/>
      <c r="H792" s="170"/>
      <c r="I792" s="170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70"/>
      <c r="C793" s="170"/>
      <c r="D793" s="170"/>
      <c r="E793" s="170"/>
      <c r="F793" s="170"/>
      <c r="G793" s="170"/>
      <c r="H793" s="170"/>
      <c r="I793" s="170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70"/>
      <c r="C794" s="170"/>
      <c r="D794" s="170"/>
      <c r="E794" s="170"/>
      <c r="F794" s="170"/>
      <c r="G794" s="170"/>
      <c r="H794" s="170"/>
      <c r="I794" s="170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70"/>
      <c r="C795" s="170"/>
      <c r="D795" s="170"/>
      <c r="E795" s="170"/>
      <c r="F795" s="170"/>
      <c r="G795" s="170"/>
      <c r="H795" s="170"/>
      <c r="I795" s="170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70"/>
      <c r="C796" s="170"/>
      <c r="D796" s="170"/>
      <c r="E796" s="170"/>
      <c r="F796" s="170"/>
      <c r="G796" s="170"/>
      <c r="H796" s="170"/>
      <c r="I796" s="170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70"/>
      <c r="C797" s="170"/>
      <c r="D797" s="170"/>
      <c r="E797" s="170"/>
      <c r="F797" s="170"/>
      <c r="G797" s="170"/>
      <c r="H797" s="170"/>
      <c r="I797" s="170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70"/>
      <c r="C798" s="170"/>
      <c r="D798" s="170"/>
      <c r="E798" s="170"/>
      <c r="F798" s="170"/>
      <c r="G798" s="170"/>
      <c r="H798" s="170"/>
      <c r="I798" s="170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70"/>
      <c r="C799" s="170"/>
      <c r="D799" s="170"/>
      <c r="E799" s="170"/>
      <c r="F799" s="170"/>
      <c r="G799" s="170"/>
      <c r="H799" s="170"/>
      <c r="I799" s="170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70"/>
      <c r="C800" s="170"/>
      <c r="D800" s="170"/>
      <c r="E800" s="170"/>
      <c r="F800" s="170"/>
      <c r="G800" s="170"/>
      <c r="H800" s="170"/>
      <c r="I800" s="170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70"/>
      <c r="C801" s="170"/>
      <c r="D801" s="170"/>
      <c r="E801" s="170"/>
      <c r="F801" s="170"/>
      <c r="G801" s="170"/>
      <c r="H801" s="170"/>
      <c r="I801" s="170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70"/>
      <c r="C802" s="170"/>
      <c r="D802" s="170"/>
      <c r="E802" s="170"/>
      <c r="F802" s="170"/>
      <c r="G802" s="170"/>
      <c r="H802" s="170"/>
      <c r="I802" s="170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70"/>
      <c r="C803" s="170"/>
      <c r="D803" s="170"/>
      <c r="E803" s="170"/>
      <c r="F803" s="170"/>
      <c r="G803" s="170"/>
      <c r="H803" s="170"/>
      <c r="I803" s="170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70"/>
      <c r="C804" s="170"/>
      <c r="D804" s="170"/>
      <c r="E804" s="170"/>
      <c r="F804" s="170"/>
      <c r="G804" s="170"/>
      <c r="H804" s="170"/>
      <c r="I804" s="170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70"/>
      <c r="C805" s="170"/>
      <c r="D805" s="170"/>
      <c r="E805" s="170"/>
      <c r="F805" s="170"/>
      <c r="G805" s="170"/>
      <c r="H805" s="170"/>
      <c r="I805" s="170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70"/>
      <c r="C806" s="170"/>
      <c r="D806" s="170"/>
      <c r="E806" s="170"/>
      <c r="F806" s="170"/>
      <c r="G806" s="170"/>
      <c r="H806" s="170"/>
      <c r="I806" s="170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70"/>
      <c r="C807" s="170"/>
      <c r="D807" s="170"/>
      <c r="E807" s="170"/>
      <c r="F807" s="170"/>
      <c r="G807" s="170"/>
      <c r="H807" s="170"/>
      <c r="I807" s="170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70"/>
      <c r="C808" s="170"/>
      <c r="D808" s="170"/>
      <c r="E808" s="170"/>
      <c r="F808" s="170"/>
      <c r="G808" s="170"/>
      <c r="H808" s="170"/>
      <c r="I808" s="170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70"/>
      <c r="C809" s="170"/>
      <c r="D809" s="170"/>
      <c r="E809" s="170"/>
      <c r="F809" s="170"/>
      <c r="G809" s="170"/>
      <c r="H809" s="170"/>
      <c r="I809" s="170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70"/>
      <c r="C810" s="170"/>
      <c r="D810" s="170"/>
      <c r="E810" s="170"/>
      <c r="F810" s="170"/>
      <c r="G810" s="170"/>
      <c r="H810" s="170"/>
      <c r="I810" s="170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70"/>
      <c r="C811" s="170"/>
      <c r="D811" s="170"/>
      <c r="E811" s="170"/>
      <c r="F811" s="170"/>
      <c r="G811" s="170"/>
      <c r="H811" s="170"/>
      <c r="I811" s="170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70"/>
      <c r="C812" s="170"/>
      <c r="D812" s="170"/>
      <c r="E812" s="170"/>
      <c r="F812" s="170"/>
      <c r="G812" s="170"/>
      <c r="H812" s="170"/>
      <c r="I812" s="170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70"/>
      <c r="C813" s="170"/>
      <c r="D813" s="170"/>
      <c r="E813" s="170"/>
      <c r="F813" s="170"/>
      <c r="G813" s="170"/>
      <c r="H813" s="170"/>
      <c r="I813" s="170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70"/>
      <c r="C814" s="170"/>
      <c r="D814" s="170"/>
      <c r="E814" s="170"/>
      <c r="F814" s="170"/>
      <c r="G814" s="170"/>
      <c r="H814" s="170"/>
      <c r="I814" s="170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70"/>
      <c r="C815" s="170"/>
      <c r="D815" s="170"/>
      <c r="E815" s="170"/>
      <c r="F815" s="170"/>
      <c r="G815" s="170"/>
      <c r="H815" s="170"/>
      <c r="I815" s="170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70"/>
      <c r="C816" s="170"/>
      <c r="D816" s="170"/>
      <c r="E816" s="170"/>
      <c r="F816" s="170"/>
      <c r="G816" s="170"/>
      <c r="H816" s="170"/>
      <c r="I816" s="170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70"/>
      <c r="C817" s="170"/>
      <c r="D817" s="170"/>
      <c r="E817" s="170"/>
      <c r="F817" s="170"/>
      <c r="G817" s="170"/>
      <c r="H817" s="170"/>
      <c r="I817" s="170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70"/>
      <c r="C818" s="170"/>
      <c r="D818" s="170"/>
      <c r="E818" s="170"/>
      <c r="F818" s="170"/>
      <c r="G818" s="170"/>
      <c r="H818" s="170"/>
      <c r="I818" s="170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70"/>
      <c r="C819" s="170"/>
      <c r="D819" s="170"/>
      <c r="E819" s="170"/>
      <c r="F819" s="170"/>
      <c r="G819" s="170"/>
      <c r="H819" s="170"/>
      <c r="I819" s="170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70"/>
      <c r="C820" s="170"/>
      <c r="D820" s="170"/>
      <c r="E820" s="170"/>
      <c r="F820" s="170"/>
      <c r="G820" s="170"/>
      <c r="H820" s="170"/>
      <c r="I820" s="170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70"/>
      <c r="C821" s="170"/>
      <c r="D821" s="170"/>
      <c r="E821" s="170"/>
      <c r="F821" s="170"/>
      <c r="G821" s="170"/>
      <c r="H821" s="170"/>
      <c r="I821" s="170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70"/>
      <c r="C822" s="170"/>
      <c r="D822" s="170"/>
      <c r="E822" s="170"/>
      <c r="F822" s="170"/>
      <c r="G822" s="170"/>
      <c r="H822" s="170"/>
      <c r="I822" s="170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70"/>
      <c r="C823" s="170"/>
      <c r="D823" s="170"/>
      <c r="E823" s="170"/>
      <c r="F823" s="170"/>
      <c r="G823" s="170"/>
      <c r="H823" s="170"/>
      <c r="I823" s="170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70"/>
      <c r="C824" s="170"/>
      <c r="D824" s="170"/>
      <c r="E824" s="170"/>
      <c r="F824" s="170"/>
      <c r="G824" s="170"/>
      <c r="H824" s="170"/>
      <c r="I824" s="170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70"/>
      <c r="C825" s="170"/>
      <c r="D825" s="170"/>
      <c r="E825" s="170"/>
      <c r="F825" s="170"/>
      <c r="G825" s="170"/>
      <c r="H825" s="170"/>
      <c r="I825" s="170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70"/>
      <c r="C826" s="170"/>
      <c r="D826" s="170"/>
      <c r="E826" s="170"/>
      <c r="F826" s="170"/>
      <c r="G826" s="170"/>
      <c r="H826" s="170"/>
      <c r="I826" s="170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70"/>
      <c r="C827" s="170"/>
      <c r="D827" s="170"/>
      <c r="E827" s="170"/>
      <c r="F827" s="170"/>
      <c r="G827" s="170"/>
      <c r="H827" s="170"/>
      <c r="I827" s="170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70"/>
      <c r="C828" s="170"/>
      <c r="D828" s="170"/>
      <c r="E828" s="170"/>
      <c r="F828" s="170"/>
      <c r="G828" s="170"/>
      <c r="H828" s="170"/>
      <c r="I828" s="170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70"/>
      <c r="C829" s="170"/>
      <c r="D829" s="170"/>
      <c r="E829" s="170"/>
      <c r="F829" s="170"/>
      <c r="G829" s="170"/>
      <c r="H829" s="170"/>
      <c r="I829" s="170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70"/>
      <c r="C830" s="170"/>
      <c r="D830" s="170"/>
      <c r="E830" s="170"/>
      <c r="F830" s="170"/>
      <c r="G830" s="170"/>
      <c r="H830" s="170"/>
      <c r="I830" s="170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70"/>
      <c r="C831" s="170"/>
      <c r="D831" s="170"/>
      <c r="E831" s="170"/>
      <c r="F831" s="170"/>
      <c r="G831" s="170"/>
      <c r="H831" s="170"/>
      <c r="I831" s="170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70"/>
      <c r="C832" s="170"/>
      <c r="D832" s="170"/>
      <c r="E832" s="170"/>
      <c r="F832" s="170"/>
      <c r="G832" s="170"/>
      <c r="H832" s="170"/>
      <c r="I832" s="170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70"/>
      <c r="C833" s="170"/>
      <c r="D833" s="170"/>
      <c r="E833" s="170"/>
      <c r="F833" s="170"/>
      <c r="G833" s="170"/>
      <c r="H833" s="170"/>
      <c r="I833" s="170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70"/>
      <c r="C834" s="170"/>
      <c r="D834" s="170"/>
      <c r="E834" s="170"/>
      <c r="F834" s="170"/>
      <c r="G834" s="170"/>
      <c r="H834" s="170"/>
      <c r="I834" s="170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70"/>
      <c r="C835" s="170"/>
      <c r="D835" s="170"/>
      <c r="E835" s="170"/>
      <c r="F835" s="170"/>
      <c r="G835" s="170"/>
      <c r="H835" s="170"/>
      <c r="I835" s="170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70"/>
      <c r="C836" s="170"/>
      <c r="D836" s="170"/>
      <c r="E836" s="170"/>
      <c r="F836" s="170"/>
      <c r="G836" s="170"/>
      <c r="H836" s="170"/>
      <c r="I836" s="170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70"/>
      <c r="C837" s="170"/>
      <c r="D837" s="170"/>
      <c r="E837" s="170"/>
      <c r="F837" s="170"/>
      <c r="G837" s="170"/>
      <c r="H837" s="170"/>
      <c r="I837" s="170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70"/>
      <c r="C838" s="170"/>
      <c r="D838" s="170"/>
      <c r="E838" s="170"/>
      <c r="F838" s="170"/>
      <c r="G838" s="170"/>
      <c r="H838" s="170"/>
      <c r="I838" s="170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70"/>
      <c r="C839" s="170"/>
      <c r="D839" s="170"/>
      <c r="E839" s="170"/>
      <c r="F839" s="170"/>
      <c r="G839" s="170"/>
      <c r="H839" s="170"/>
      <c r="I839" s="170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70"/>
      <c r="C840" s="170"/>
      <c r="D840" s="170"/>
      <c r="E840" s="170"/>
      <c r="F840" s="170"/>
      <c r="G840" s="170"/>
      <c r="H840" s="170"/>
      <c r="I840" s="170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70"/>
      <c r="C841" s="170"/>
      <c r="D841" s="170"/>
      <c r="E841" s="170"/>
      <c r="F841" s="170"/>
      <c r="G841" s="170"/>
      <c r="H841" s="170"/>
      <c r="I841" s="170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70"/>
      <c r="C842" s="170"/>
      <c r="D842" s="170"/>
      <c r="E842" s="170"/>
      <c r="F842" s="170"/>
      <c r="G842" s="170"/>
      <c r="H842" s="170"/>
      <c r="I842" s="170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70"/>
      <c r="C843" s="170"/>
      <c r="D843" s="170"/>
      <c r="E843" s="170"/>
      <c r="F843" s="170"/>
      <c r="G843" s="170"/>
      <c r="H843" s="170"/>
      <c r="I843" s="170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70"/>
      <c r="C844" s="170"/>
      <c r="D844" s="170"/>
      <c r="E844" s="170"/>
      <c r="F844" s="170"/>
      <c r="G844" s="170"/>
      <c r="H844" s="170"/>
      <c r="I844" s="170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70"/>
      <c r="C845" s="170"/>
      <c r="D845" s="170"/>
      <c r="E845" s="170"/>
      <c r="F845" s="170"/>
      <c r="G845" s="170"/>
      <c r="H845" s="170"/>
      <c r="I845" s="170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70"/>
      <c r="C846" s="170"/>
      <c r="D846" s="170"/>
      <c r="E846" s="170"/>
      <c r="F846" s="170"/>
      <c r="G846" s="170"/>
      <c r="H846" s="170"/>
      <c r="I846" s="170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70"/>
      <c r="C847" s="170"/>
      <c r="D847" s="170"/>
      <c r="E847" s="170"/>
      <c r="F847" s="170"/>
      <c r="G847" s="170"/>
      <c r="H847" s="170"/>
      <c r="I847" s="170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70"/>
      <c r="C848" s="170"/>
      <c r="D848" s="170"/>
      <c r="E848" s="170"/>
      <c r="F848" s="170"/>
      <c r="G848" s="170"/>
      <c r="H848" s="170"/>
      <c r="I848" s="170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70"/>
      <c r="C849" s="170"/>
      <c r="D849" s="170"/>
      <c r="E849" s="170"/>
      <c r="F849" s="170"/>
      <c r="G849" s="170"/>
      <c r="H849" s="170"/>
      <c r="I849" s="170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70"/>
      <c r="C850" s="170"/>
      <c r="D850" s="170"/>
      <c r="E850" s="170"/>
      <c r="F850" s="170"/>
      <c r="G850" s="170"/>
      <c r="H850" s="170"/>
      <c r="I850" s="170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70"/>
      <c r="C851" s="170"/>
      <c r="D851" s="170"/>
      <c r="E851" s="170"/>
      <c r="F851" s="170"/>
      <c r="G851" s="170"/>
      <c r="H851" s="170"/>
      <c r="I851" s="170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70"/>
      <c r="C852" s="170"/>
      <c r="D852" s="170"/>
      <c r="E852" s="170"/>
      <c r="F852" s="170"/>
      <c r="G852" s="170"/>
      <c r="H852" s="170"/>
      <c r="I852" s="170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70"/>
      <c r="C853" s="170"/>
      <c r="D853" s="170"/>
      <c r="E853" s="170"/>
      <c r="F853" s="170"/>
      <c r="G853" s="170"/>
      <c r="H853" s="170"/>
      <c r="I853" s="170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70"/>
      <c r="C854" s="170"/>
      <c r="D854" s="170"/>
      <c r="E854" s="170"/>
      <c r="F854" s="170"/>
      <c r="G854" s="170"/>
      <c r="H854" s="170"/>
      <c r="I854" s="170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70"/>
      <c r="C855" s="170"/>
      <c r="D855" s="170"/>
      <c r="E855" s="170"/>
      <c r="F855" s="170"/>
      <c r="G855" s="170"/>
      <c r="H855" s="170"/>
      <c r="I855" s="170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70"/>
      <c r="C856" s="170"/>
      <c r="D856" s="170"/>
      <c r="E856" s="170"/>
      <c r="F856" s="170"/>
      <c r="G856" s="170"/>
      <c r="H856" s="170"/>
      <c r="I856" s="170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70"/>
      <c r="C857" s="170"/>
      <c r="D857" s="170"/>
      <c r="E857" s="170"/>
      <c r="F857" s="170"/>
      <c r="G857" s="170"/>
      <c r="H857" s="170"/>
      <c r="I857" s="170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70"/>
      <c r="C858" s="170"/>
      <c r="D858" s="170"/>
      <c r="E858" s="170"/>
      <c r="F858" s="170"/>
      <c r="G858" s="170"/>
      <c r="H858" s="170"/>
      <c r="I858" s="170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70"/>
      <c r="C859" s="170"/>
      <c r="D859" s="170"/>
      <c r="E859" s="170"/>
      <c r="F859" s="170"/>
      <c r="G859" s="170"/>
      <c r="H859" s="170"/>
      <c r="I859" s="170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70"/>
      <c r="C860" s="170"/>
      <c r="D860" s="170"/>
      <c r="E860" s="170"/>
      <c r="F860" s="170"/>
      <c r="G860" s="170"/>
      <c r="H860" s="170"/>
      <c r="I860" s="170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70"/>
      <c r="C861" s="170"/>
      <c r="D861" s="170"/>
      <c r="E861" s="170"/>
      <c r="F861" s="170"/>
      <c r="G861" s="170"/>
      <c r="H861" s="170"/>
      <c r="I861" s="170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70"/>
      <c r="C862" s="170"/>
      <c r="D862" s="170"/>
      <c r="E862" s="170"/>
      <c r="F862" s="170"/>
      <c r="G862" s="170"/>
      <c r="H862" s="170"/>
      <c r="I862" s="170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70"/>
      <c r="C863" s="170"/>
      <c r="D863" s="170"/>
      <c r="E863" s="170"/>
      <c r="F863" s="170"/>
      <c r="G863" s="170"/>
      <c r="H863" s="170"/>
      <c r="I863" s="170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70"/>
      <c r="C864" s="170"/>
      <c r="D864" s="170"/>
      <c r="E864" s="170"/>
      <c r="F864" s="170"/>
      <c r="G864" s="170"/>
      <c r="H864" s="170"/>
      <c r="I864" s="170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70"/>
      <c r="C865" s="170"/>
      <c r="D865" s="170"/>
      <c r="E865" s="170"/>
      <c r="F865" s="170"/>
      <c r="G865" s="170"/>
      <c r="H865" s="170"/>
      <c r="I865" s="170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70"/>
      <c r="C866" s="170"/>
      <c r="D866" s="170"/>
      <c r="E866" s="170"/>
      <c r="F866" s="170"/>
      <c r="G866" s="170"/>
      <c r="H866" s="170"/>
      <c r="I866" s="170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70"/>
      <c r="C867" s="170"/>
      <c r="D867" s="170"/>
      <c r="E867" s="170"/>
      <c r="F867" s="170"/>
      <c r="G867" s="170"/>
      <c r="H867" s="170"/>
      <c r="I867" s="170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70"/>
      <c r="C868" s="170"/>
      <c r="D868" s="170"/>
      <c r="E868" s="170"/>
      <c r="F868" s="170"/>
      <c r="G868" s="170"/>
      <c r="H868" s="170"/>
      <c r="I868" s="170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70"/>
      <c r="C869" s="170"/>
      <c r="D869" s="170"/>
      <c r="E869" s="170"/>
      <c r="F869" s="170"/>
      <c r="G869" s="170"/>
      <c r="H869" s="170"/>
      <c r="I869" s="170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70"/>
      <c r="C870" s="170"/>
      <c r="D870" s="170"/>
      <c r="E870" s="170"/>
      <c r="F870" s="170"/>
      <c r="G870" s="170"/>
      <c r="H870" s="170"/>
      <c r="I870" s="170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70"/>
      <c r="C871" s="170"/>
      <c r="D871" s="170"/>
      <c r="E871" s="170"/>
      <c r="F871" s="170"/>
      <c r="G871" s="170"/>
      <c r="H871" s="170"/>
      <c r="I871" s="170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70"/>
      <c r="C872" s="170"/>
      <c r="D872" s="170"/>
      <c r="E872" s="170"/>
      <c r="F872" s="170"/>
      <c r="G872" s="170"/>
      <c r="H872" s="170"/>
      <c r="I872" s="170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70"/>
      <c r="C873" s="170"/>
      <c r="D873" s="170"/>
      <c r="E873" s="170"/>
      <c r="F873" s="170"/>
      <c r="G873" s="170"/>
      <c r="H873" s="170"/>
      <c r="I873" s="170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70"/>
      <c r="C874" s="170"/>
      <c r="D874" s="170"/>
      <c r="E874" s="170"/>
      <c r="F874" s="170"/>
      <c r="G874" s="170"/>
      <c r="H874" s="170"/>
      <c r="I874" s="170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70"/>
      <c r="C875" s="170"/>
      <c r="D875" s="170"/>
      <c r="E875" s="170"/>
      <c r="F875" s="170"/>
      <c r="G875" s="170"/>
      <c r="H875" s="170"/>
      <c r="I875" s="170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70"/>
      <c r="C876" s="170"/>
      <c r="D876" s="170"/>
      <c r="E876" s="170"/>
      <c r="F876" s="170"/>
      <c r="G876" s="170"/>
      <c r="H876" s="170"/>
      <c r="I876" s="170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70"/>
      <c r="C877" s="170"/>
      <c r="D877" s="170"/>
      <c r="E877" s="170"/>
      <c r="F877" s="170"/>
      <c r="G877" s="170"/>
      <c r="H877" s="170"/>
      <c r="I877" s="170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70"/>
      <c r="C878" s="170"/>
      <c r="D878" s="170"/>
      <c r="E878" s="170"/>
      <c r="F878" s="170"/>
      <c r="G878" s="170"/>
      <c r="H878" s="170"/>
      <c r="I878" s="170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70"/>
      <c r="C879" s="170"/>
      <c r="D879" s="170"/>
      <c r="E879" s="170"/>
      <c r="F879" s="170"/>
      <c r="G879" s="170"/>
      <c r="H879" s="170"/>
      <c r="I879" s="170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70"/>
      <c r="C880" s="170"/>
      <c r="D880" s="170"/>
      <c r="E880" s="170"/>
      <c r="F880" s="170"/>
      <c r="G880" s="170"/>
      <c r="H880" s="170"/>
      <c r="I880" s="170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70"/>
      <c r="C881" s="170"/>
      <c r="D881" s="170"/>
      <c r="E881" s="170"/>
      <c r="F881" s="170"/>
      <c r="G881" s="170"/>
      <c r="H881" s="170"/>
      <c r="I881" s="170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70"/>
      <c r="C882" s="170"/>
      <c r="D882" s="170"/>
      <c r="E882" s="170"/>
      <c r="F882" s="170"/>
      <c r="G882" s="170"/>
      <c r="H882" s="170"/>
      <c r="I882" s="170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70"/>
      <c r="C883" s="170"/>
      <c r="D883" s="170"/>
      <c r="E883" s="170"/>
      <c r="F883" s="170"/>
      <c r="G883" s="170"/>
      <c r="H883" s="170"/>
      <c r="I883" s="170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70"/>
      <c r="C884" s="170"/>
      <c r="D884" s="170"/>
      <c r="E884" s="170"/>
      <c r="F884" s="170"/>
      <c r="G884" s="170"/>
      <c r="H884" s="170"/>
      <c r="I884" s="170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70"/>
      <c r="C885" s="170"/>
      <c r="D885" s="170"/>
      <c r="E885" s="170"/>
      <c r="F885" s="170"/>
      <c r="G885" s="170"/>
      <c r="H885" s="170"/>
      <c r="I885" s="170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70"/>
      <c r="C886" s="170"/>
      <c r="D886" s="170"/>
      <c r="E886" s="170"/>
      <c r="F886" s="170"/>
      <c r="G886" s="170"/>
      <c r="H886" s="170"/>
      <c r="I886" s="170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70"/>
      <c r="C887" s="170"/>
      <c r="D887" s="170"/>
      <c r="E887" s="170"/>
      <c r="F887" s="170"/>
      <c r="G887" s="170"/>
      <c r="H887" s="170"/>
      <c r="I887" s="170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70"/>
      <c r="C888" s="170"/>
      <c r="D888" s="170"/>
      <c r="E888" s="170"/>
      <c r="F888" s="170"/>
      <c r="G888" s="170"/>
      <c r="H888" s="170"/>
      <c r="I888" s="170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70"/>
      <c r="C889" s="170"/>
      <c r="D889" s="170"/>
      <c r="E889" s="170"/>
      <c r="F889" s="170"/>
      <c r="G889" s="170"/>
      <c r="H889" s="170"/>
      <c r="I889" s="170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70"/>
      <c r="C890" s="170"/>
      <c r="D890" s="170"/>
      <c r="E890" s="170"/>
      <c r="F890" s="170"/>
      <c r="G890" s="170"/>
      <c r="H890" s="170"/>
      <c r="I890" s="170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70"/>
      <c r="C891" s="170"/>
      <c r="D891" s="170"/>
      <c r="E891" s="170"/>
      <c r="F891" s="170"/>
      <c r="G891" s="170"/>
      <c r="H891" s="170"/>
      <c r="I891" s="170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70"/>
      <c r="C892" s="170"/>
      <c r="D892" s="170"/>
      <c r="E892" s="170"/>
      <c r="F892" s="170"/>
      <c r="G892" s="170"/>
      <c r="H892" s="170"/>
      <c r="I892" s="170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70"/>
      <c r="C893" s="170"/>
      <c r="D893" s="170"/>
      <c r="E893" s="170"/>
      <c r="F893" s="170"/>
      <c r="G893" s="170"/>
      <c r="H893" s="170"/>
      <c r="I893" s="170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70"/>
      <c r="C894" s="170"/>
      <c r="D894" s="170"/>
      <c r="E894" s="170"/>
      <c r="F894" s="170"/>
      <c r="G894" s="170"/>
      <c r="H894" s="170"/>
      <c r="I894" s="170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70"/>
      <c r="C895" s="170"/>
      <c r="D895" s="170"/>
      <c r="E895" s="170"/>
      <c r="F895" s="170"/>
      <c r="G895" s="170"/>
      <c r="H895" s="170"/>
      <c r="I895" s="170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70"/>
      <c r="C896" s="170"/>
      <c r="D896" s="170"/>
      <c r="E896" s="170"/>
      <c r="F896" s="170"/>
      <c r="G896" s="170"/>
      <c r="H896" s="170"/>
      <c r="I896" s="170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70"/>
      <c r="C897" s="170"/>
      <c r="D897" s="170"/>
      <c r="E897" s="170"/>
      <c r="F897" s="170"/>
      <c r="G897" s="170"/>
      <c r="H897" s="170"/>
      <c r="I897" s="170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70"/>
      <c r="C898" s="170"/>
      <c r="D898" s="170"/>
      <c r="E898" s="170"/>
      <c r="F898" s="170"/>
      <c r="G898" s="170"/>
      <c r="H898" s="170"/>
      <c r="I898" s="170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70"/>
      <c r="C899" s="170"/>
      <c r="D899" s="170"/>
      <c r="E899" s="170"/>
      <c r="F899" s="170"/>
      <c r="G899" s="170"/>
      <c r="H899" s="170"/>
      <c r="I899" s="170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70"/>
      <c r="C900" s="170"/>
      <c r="D900" s="170"/>
      <c r="E900" s="170"/>
      <c r="F900" s="170"/>
      <c r="G900" s="170"/>
      <c r="H900" s="170"/>
      <c r="I900" s="170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70"/>
      <c r="C901" s="170"/>
      <c r="D901" s="170"/>
      <c r="E901" s="170"/>
      <c r="F901" s="170"/>
      <c r="G901" s="170"/>
      <c r="H901" s="170"/>
      <c r="I901" s="170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70"/>
      <c r="C902" s="170"/>
      <c r="D902" s="170"/>
      <c r="E902" s="170"/>
      <c r="F902" s="170"/>
      <c r="G902" s="170"/>
      <c r="H902" s="170"/>
      <c r="I902" s="170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70"/>
      <c r="C903" s="170"/>
      <c r="D903" s="170"/>
      <c r="E903" s="170"/>
      <c r="F903" s="170"/>
      <c r="G903" s="170"/>
      <c r="H903" s="170"/>
      <c r="I903" s="170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70"/>
      <c r="C904" s="170"/>
      <c r="D904" s="170"/>
      <c r="E904" s="170"/>
      <c r="F904" s="170"/>
      <c r="G904" s="170"/>
      <c r="H904" s="170"/>
      <c r="I904" s="170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70"/>
      <c r="C905" s="170"/>
      <c r="D905" s="170"/>
      <c r="E905" s="170"/>
      <c r="F905" s="170"/>
      <c r="G905" s="170"/>
      <c r="H905" s="170"/>
      <c r="I905" s="170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70"/>
      <c r="C906" s="170"/>
      <c r="D906" s="170"/>
      <c r="E906" s="170"/>
      <c r="F906" s="170"/>
      <c r="G906" s="170"/>
      <c r="H906" s="170"/>
      <c r="I906" s="170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70"/>
      <c r="C907" s="170"/>
      <c r="D907" s="170"/>
      <c r="E907" s="170"/>
      <c r="F907" s="170"/>
      <c r="G907" s="170"/>
      <c r="H907" s="170"/>
      <c r="I907" s="170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70"/>
      <c r="C908" s="170"/>
      <c r="D908" s="170"/>
      <c r="E908" s="170"/>
      <c r="F908" s="170"/>
      <c r="G908" s="170"/>
      <c r="H908" s="170"/>
      <c r="I908" s="170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70"/>
      <c r="C909" s="170"/>
      <c r="D909" s="170"/>
      <c r="E909" s="170"/>
      <c r="F909" s="170"/>
      <c r="G909" s="170"/>
      <c r="H909" s="170"/>
      <c r="I909" s="170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70"/>
      <c r="C910" s="170"/>
      <c r="D910" s="170"/>
      <c r="E910" s="170"/>
      <c r="F910" s="170"/>
      <c r="G910" s="170"/>
      <c r="H910" s="170"/>
      <c r="I910" s="170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70"/>
      <c r="C911" s="170"/>
      <c r="D911" s="170"/>
      <c r="E911" s="170"/>
      <c r="F911" s="170"/>
      <c r="G911" s="170"/>
      <c r="H911" s="170"/>
      <c r="I911" s="170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70"/>
      <c r="C912" s="170"/>
      <c r="D912" s="170"/>
      <c r="E912" s="170"/>
      <c r="F912" s="170"/>
      <c r="G912" s="170"/>
      <c r="H912" s="170"/>
      <c r="I912" s="170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70"/>
      <c r="C913" s="170"/>
      <c r="D913" s="170"/>
      <c r="E913" s="170"/>
      <c r="F913" s="170"/>
      <c r="G913" s="170"/>
      <c r="H913" s="170"/>
      <c r="I913" s="170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70"/>
      <c r="C914" s="170"/>
      <c r="D914" s="170"/>
      <c r="E914" s="170"/>
      <c r="F914" s="170"/>
      <c r="G914" s="170"/>
      <c r="H914" s="170"/>
      <c r="I914" s="170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70"/>
      <c r="C915" s="170"/>
      <c r="D915" s="170"/>
      <c r="E915" s="170"/>
      <c r="F915" s="170"/>
      <c r="G915" s="170"/>
      <c r="H915" s="170"/>
      <c r="I915" s="170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70"/>
      <c r="C916" s="170"/>
      <c r="D916" s="170"/>
      <c r="E916" s="170"/>
      <c r="F916" s="170"/>
      <c r="G916" s="170"/>
      <c r="H916" s="170"/>
      <c r="I916" s="170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70"/>
      <c r="C917" s="170"/>
      <c r="D917" s="170"/>
      <c r="E917" s="170"/>
      <c r="F917" s="170"/>
      <c r="G917" s="170"/>
      <c r="H917" s="170"/>
      <c r="I917" s="170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70"/>
      <c r="C918" s="170"/>
      <c r="D918" s="170"/>
      <c r="E918" s="170"/>
      <c r="F918" s="170"/>
      <c r="G918" s="170"/>
      <c r="H918" s="170"/>
      <c r="I918" s="170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70"/>
      <c r="C919" s="170"/>
      <c r="D919" s="170"/>
      <c r="E919" s="170"/>
      <c r="F919" s="170"/>
      <c r="G919" s="170"/>
      <c r="H919" s="170"/>
      <c r="I919" s="170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70"/>
      <c r="C920" s="170"/>
      <c r="D920" s="170"/>
      <c r="E920" s="170"/>
      <c r="F920" s="170"/>
      <c r="G920" s="170"/>
      <c r="H920" s="170"/>
      <c r="I920" s="170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70"/>
      <c r="C921" s="170"/>
      <c r="D921" s="170"/>
      <c r="E921" s="170"/>
      <c r="F921" s="170"/>
      <c r="G921" s="170"/>
      <c r="H921" s="170"/>
      <c r="I921" s="170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70"/>
      <c r="C922" s="170"/>
      <c r="D922" s="170"/>
      <c r="E922" s="170"/>
      <c r="F922" s="170"/>
      <c r="G922" s="170"/>
      <c r="H922" s="170"/>
      <c r="I922" s="170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70"/>
      <c r="C923" s="170"/>
      <c r="D923" s="170"/>
      <c r="E923" s="170"/>
      <c r="F923" s="170"/>
      <c r="G923" s="170"/>
      <c r="H923" s="170"/>
      <c r="I923" s="170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70"/>
      <c r="C924" s="170"/>
      <c r="D924" s="170"/>
      <c r="E924" s="170"/>
      <c r="F924" s="170"/>
      <c r="G924" s="170"/>
      <c r="H924" s="170"/>
      <c r="I924" s="170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70"/>
      <c r="C925" s="170"/>
      <c r="D925" s="170"/>
      <c r="E925" s="170"/>
      <c r="F925" s="170"/>
      <c r="G925" s="170"/>
      <c r="H925" s="170"/>
      <c r="I925" s="170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70"/>
      <c r="C926" s="170"/>
      <c r="D926" s="170"/>
      <c r="E926" s="170"/>
      <c r="F926" s="170"/>
      <c r="G926" s="170"/>
      <c r="H926" s="170"/>
      <c r="I926" s="170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70"/>
      <c r="C927" s="170"/>
      <c r="D927" s="170"/>
      <c r="E927" s="170"/>
      <c r="F927" s="170"/>
      <c r="G927" s="170"/>
      <c r="H927" s="170"/>
      <c r="I927" s="170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70"/>
      <c r="C928" s="170"/>
      <c r="D928" s="170"/>
      <c r="E928" s="170"/>
      <c r="F928" s="170"/>
      <c r="G928" s="170"/>
      <c r="H928" s="170"/>
      <c r="I928" s="170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70"/>
      <c r="C929" s="170"/>
      <c r="D929" s="170"/>
      <c r="E929" s="170"/>
      <c r="F929" s="170"/>
      <c r="G929" s="170"/>
      <c r="H929" s="170"/>
      <c r="I929" s="170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70"/>
      <c r="C930" s="170"/>
      <c r="D930" s="170"/>
      <c r="E930" s="170"/>
      <c r="F930" s="170"/>
      <c r="G930" s="170"/>
      <c r="H930" s="170"/>
      <c r="I930" s="170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70"/>
      <c r="C931" s="170"/>
      <c r="D931" s="170"/>
      <c r="E931" s="170"/>
      <c r="F931" s="170"/>
      <c r="G931" s="170"/>
      <c r="H931" s="170"/>
      <c r="I931" s="170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70"/>
      <c r="C932" s="170"/>
      <c r="D932" s="170"/>
      <c r="E932" s="170"/>
      <c r="F932" s="170"/>
      <c r="G932" s="170"/>
      <c r="H932" s="170"/>
      <c r="I932" s="170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70"/>
      <c r="C933" s="170"/>
      <c r="D933" s="170"/>
      <c r="E933" s="170"/>
      <c r="F933" s="170"/>
      <c r="G933" s="170"/>
      <c r="H933" s="170"/>
      <c r="I933" s="170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70"/>
      <c r="C934" s="170"/>
      <c r="D934" s="170"/>
      <c r="E934" s="170"/>
      <c r="F934" s="170"/>
      <c r="G934" s="170"/>
      <c r="H934" s="170"/>
      <c r="I934" s="170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70"/>
      <c r="C935" s="170"/>
      <c r="D935" s="170"/>
      <c r="E935" s="170"/>
      <c r="F935" s="170"/>
      <c r="G935" s="170"/>
      <c r="H935" s="170"/>
      <c r="I935" s="170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70"/>
      <c r="C936" s="170"/>
      <c r="D936" s="170"/>
      <c r="E936" s="170"/>
      <c r="F936" s="170"/>
      <c r="G936" s="170"/>
      <c r="H936" s="170"/>
      <c r="I936" s="170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70"/>
      <c r="C937" s="170"/>
      <c r="D937" s="170"/>
      <c r="E937" s="170"/>
      <c r="F937" s="170"/>
      <c r="G937" s="170"/>
      <c r="H937" s="170"/>
      <c r="I937" s="170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70"/>
      <c r="C938" s="170"/>
      <c r="D938" s="170"/>
      <c r="E938" s="170"/>
      <c r="F938" s="170"/>
      <c r="G938" s="170"/>
      <c r="H938" s="170"/>
      <c r="I938" s="170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70"/>
      <c r="C939" s="170"/>
      <c r="D939" s="170"/>
      <c r="E939" s="170"/>
      <c r="F939" s="170"/>
      <c r="G939" s="170"/>
      <c r="H939" s="170"/>
      <c r="I939" s="170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70"/>
      <c r="C940" s="170"/>
      <c r="D940" s="170"/>
      <c r="E940" s="170"/>
      <c r="F940" s="170"/>
      <c r="G940" s="170"/>
      <c r="H940" s="170"/>
      <c r="I940" s="170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70"/>
      <c r="C941" s="170"/>
      <c r="D941" s="170"/>
      <c r="E941" s="170"/>
      <c r="F941" s="170"/>
      <c r="G941" s="170"/>
      <c r="H941" s="170"/>
      <c r="I941" s="170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70"/>
      <c r="C942" s="170"/>
      <c r="D942" s="170"/>
      <c r="E942" s="170"/>
      <c r="F942" s="170"/>
      <c r="G942" s="170"/>
      <c r="H942" s="170"/>
      <c r="I942" s="170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70"/>
      <c r="C943" s="170"/>
      <c r="D943" s="170"/>
      <c r="E943" s="170"/>
      <c r="F943" s="170"/>
      <c r="G943" s="170"/>
      <c r="H943" s="170"/>
      <c r="I943" s="170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70"/>
      <c r="C944" s="170"/>
      <c r="D944" s="170"/>
      <c r="E944" s="170"/>
      <c r="F944" s="170"/>
      <c r="G944" s="170"/>
      <c r="H944" s="170"/>
      <c r="I944" s="170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70"/>
      <c r="C945" s="170"/>
      <c r="D945" s="170"/>
      <c r="E945" s="170"/>
      <c r="F945" s="170"/>
      <c r="G945" s="170"/>
      <c r="H945" s="170"/>
      <c r="I945" s="170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70"/>
      <c r="C946" s="170"/>
      <c r="D946" s="170"/>
      <c r="E946" s="170"/>
      <c r="F946" s="170"/>
      <c r="G946" s="170"/>
      <c r="H946" s="170"/>
      <c r="I946" s="170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70"/>
      <c r="C947" s="170"/>
      <c r="D947" s="170"/>
      <c r="E947" s="170"/>
      <c r="F947" s="170"/>
      <c r="G947" s="170"/>
      <c r="H947" s="170"/>
      <c r="I947" s="170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70"/>
      <c r="C948" s="170"/>
      <c r="D948" s="170"/>
      <c r="E948" s="170"/>
      <c r="F948" s="170"/>
      <c r="G948" s="170"/>
      <c r="H948" s="170"/>
      <c r="I948" s="170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70"/>
      <c r="C949" s="170"/>
      <c r="D949" s="170"/>
      <c r="E949" s="170"/>
      <c r="F949" s="170"/>
      <c r="G949" s="170"/>
      <c r="H949" s="170"/>
      <c r="I949" s="170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70"/>
      <c r="C950" s="170"/>
      <c r="D950" s="170"/>
      <c r="E950" s="170"/>
      <c r="F950" s="170"/>
      <c r="G950" s="170"/>
      <c r="H950" s="170"/>
      <c r="I950" s="170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70"/>
      <c r="C951" s="170"/>
      <c r="D951" s="170"/>
      <c r="E951" s="170"/>
      <c r="F951" s="170"/>
      <c r="G951" s="170"/>
      <c r="H951" s="170"/>
      <c r="I951" s="170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70"/>
      <c r="C952" s="170"/>
      <c r="D952" s="170"/>
      <c r="E952" s="170"/>
      <c r="F952" s="170"/>
      <c r="G952" s="170"/>
      <c r="H952" s="170"/>
      <c r="I952" s="170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70"/>
      <c r="C953" s="170"/>
      <c r="D953" s="170"/>
      <c r="E953" s="170"/>
      <c r="F953" s="170"/>
      <c r="G953" s="170"/>
      <c r="H953" s="170"/>
      <c r="I953" s="170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70"/>
      <c r="C954" s="170"/>
      <c r="D954" s="170"/>
      <c r="E954" s="170"/>
      <c r="F954" s="170"/>
      <c r="G954" s="170"/>
      <c r="H954" s="170"/>
      <c r="I954" s="170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70"/>
      <c r="C955" s="170"/>
      <c r="D955" s="170"/>
      <c r="E955" s="170"/>
      <c r="F955" s="170"/>
      <c r="G955" s="170"/>
      <c r="H955" s="170"/>
      <c r="I955" s="170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70"/>
      <c r="C956" s="170"/>
      <c r="D956" s="170"/>
      <c r="E956" s="170"/>
      <c r="F956" s="170"/>
      <c r="G956" s="170"/>
      <c r="H956" s="170"/>
      <c r="I956" s="170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70"/>
      <c r="C957" s="170"/>
      <c r="D957" s="170"/>
      <c r="E957" s="170"/>
      <c r="F957" s="170"/>
      <c r="G957" s="170"/>
      <c r="H957" s="170"/>
      <c r="I957" s="170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70"/>
      <c r="C958" s="170"/>
      <c r="D958" s="170"/>
      <c r="E958" s="170"/>
      <c r="F958" s="170"/>
      <c r="G958" s="170"/>
      <c r="H958" s="170"/>
      <c r="I958" s="170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70"/>
      <c r="C959" s="170"/>
      <c r="D959" s="170"/>
      <c r="E959" s="170"/>
      <c r="F959" s="170"/>
      <c r="G959" s="170"/>
      <c r="H959" s="170"/>
      <c r="I959" s="170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70"/>
      <c r="C960" s="170"/>
      <c r="D960" s="170"/>
      <c r="E960" s="170"/>
      <c r="F960" s="170"/>
      <c r="G960" s="170"/>
      <c r="H960" s="170"/>
      <c r="I960" s="170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70"/>
      <c r="C961" s="170"/>
      <c r="D961" s="170"/>
      <c r="E961" s="170"/>
      <c r="F961" s="170"/>
      <c r="G961" s="170"/>
      <c r="H961" s="170"/>
      <c r="I961" s="170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70"/>
      <c r="C962" s="170"/>
      <c r="D962" s="170"/>
      <c r="E962" s="170"/>
      <c r="F962" s="170"/>
      <c r="G962" s="170"/>
      <c r="H962" s="170"/>
      <c r="I962" s="170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70"/>
      <c r="C963" s="170"/>
      <c r="D963" s="170"/>
      <c r="E963" s="170"/>
      <c r="F963" s="170"/>
      <c r="G963" s="170"/>
      <c r="H963" s="170"/>
      <c r="I963" s="170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70"/>
      <c r="C964" s="170"/>
      <c r="D964" s="170"/>
      <c r="E964" s="170"/>
      <c r="F964" s="170"/>
      <c r="G964" s="170"/>
      <c r="H964" s="170"/>
      <c r="I964" s="170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70"/>
      <c r="C965" s="170"/>
      <c r="D965" s="170"/>
      <c r="E965" s="170"/>
      <c r="F965" s="170"/>
      <c r="G965" s="170"/>
      <c r="H965" s="170"/>
      <c r="I965" s="170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70"/>
      <c r="C966" s="170"/>
      <c r="D966" s="170"/>
      <c r="E966" s="170"/>
      <c r="F966" s="170"/>
      <c r="G966" s="170"/>
      <c r="H966" s="170"/>
      <c r="I966" s="170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70"/>
      <c r="C967" s="170"/>
      <c r="D967" s="170"/>
      <c r="E967" s="170"/>
      <c r="F967" s="170"/>
      <c r="G967" s="170"/>
      <c r="H967" s="170"/>
      <c r="I967" s="170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70"/>
      <c r="C968" s="170"/>
      <c r="D968" s="170"/>
      <c r="E968" s="170"/>
      <c r="F968" s="170"/>
      <c r="G968" s="170"/>
      <c r="H968" s="170"/>
      <c r="I968" s="170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70"/>
      <c r="C969" s="170"/>
      <c r="D969" s="170"/>
      <c r="E969" s="170"/>
      <c r="F969" s="170"/>
      <c r="G969" s="170"/>
      <c r="H969" s="170"/>
      <c r="I969" s="170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70"/>
      <c r="C970" s="170"/>
      <c r="D970" s="170"/>
      <c r="E970" s="170"/>
      <c r="F970" s="170"/>
      <c r="G970" s="170"/>
      <c r="H970" s="170"/>
      <c r="I970" s="170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70"/>
      <c r="C971" s="170"/>
      <c r="D971" s="170"/>
      <c r="E971" s="170"/>
      <c r="F971" s="170"/>
      <c r="G971" s="170"/>
      <c r="H971" s="170"/>
      <c r="I971" s="170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70"/>
      <c r="C972" s="170"/>
      <c r="D972" s="170"/>
      <c r="E972" s="170"/>
      <c r="F972" s="170"/>
      <c r="G972" s="170"/>
      <c r="H972" s="170"/>
      <c r="I972" s="170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70"/>
      <c r="C973" s="170"/>
      <c r="D973" s="170"/>
      <c r="E973" s="170"/>
      <c r="F973" s="170"/>
      <c r="G973" s="170"/>
      <c r="H973" s="170"/>
      <c r="I973" s="170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70"/>
      <c r="C974" s="170"/>
      <c r="D974" s="170"/>
      <c r="E974" s="170"/>
      <c r="F974" s="170"/>
      <c r="G974" s="170"/>
      <c r="H974" s="170"/>
      <c r="I974" s="170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70"/>
      <c r="C975" s="170"/>
      <c r="D975" s="170"/>
      <c r="E975" s="170"/>
      <c r="F975" s="170"/>
      <c r="G975" s="170"/>
      <c r="H975" s="170"/>
      <c r="I975" s="170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70"/>
      <c r="C976" s="170"/>
      <c r="D976" s="170"/>
      <c r="E976" s="170"/>
      <c r="F976" s="170"/>
      <c r="G976" s="170"/>
      <c r="H976" s="170"/>
      <c r="I976" s="170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70"/>
      <c r="C977" s="170"/>
      <c r="D977" s="170"/>
      <c r="E977" s="170"/>
      <c r="F977" s="170"/>
      <c r="G977" s="170"/>
      <c r="H977" s="170"/>
      <c r="I977" s="170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70"/>
      <c r="C978" s="170"/>
      <c r="D978" s="170"/>
      <c r="E978" s="170"/>
      <c r="F978" s="170"/>
      <c r="G978" s="170"/>
      <c r="H978" s="170"/>
      <c r="I978" s="170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70"/>
      <c r="C979" s="170"/>
      <c r="D979" s="170"/>
      <c r="E979" s="170"/>
      <c r="F979" s="170"/>
      <c r="G979" s="170"/>
      <c r="H979" s="170"/>
      <c r="I979" s="170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70"/>
      <c r="C980" s="170"/>
      <c r="D980" s="170"/>
      <c r="E980" s="170"/>
      <c r="F980" s="170"/>
      <c r="G980" s="170"/>
      <c r="H980" s="170"/>
      <c r="I980" s="170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70"/>
      <c r="C981" s="170"/>
      <c r="D981" s="170"/>
      <c r="E981" s="170"/>
      <c r="F981" s="170"/>
      <c r="G981" s="170"/>
      <c r="H981" s="170"/>
      <c r="I981" s="170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70"/>
      <c r="C982" s="170"/>
      <c r="D982" s="170"/>
      <c r="E982" s="170"/>
      <c r="F982" s="170"/>
      <c r="G982" s="170"/>
      <c r="H982" s="170"/>
      <c r="I982" s="170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70"/>
      <c r="C983" s="170"/>
      <c r="D983" s="170"/>
      <c r="E983" s="170"/>
      <c r="F983" s="170"/>
      <c r="G983" s="170"/>
      <c r="H983" s="170"/>
      <c r="I983" s="170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70"/>
      <c r="C984" s="170"/>
      <c r="D984" s="170"/>
      <c r="E984" s="170"/>
      <c r="F984" s="170"/>
      <c r="G984" s="170"/>
      <c r="H984" s="170"/>
      <c r="I984" s="170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70"/>
      <c r="C985" s="170"/>
      <c r="D985" s="170"/>
      <c r="E985" s="170"/>
      <c r="F985" s="170"/>
      <c r="G985" s="170"/>
      <c r="H985" s="170"/>
      <c r="I985" s="170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70"/>
      <c r="C986" s="170"/>
      <c r="D986" s="170"/>
      <c r="E986" s="170"/>
      <c r="F986" s="170"/>
      <c r="G986" s="170"/>
      <c r="H986" s="170"/>
      <c r="I986" s="170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70"/>
      <c r="C987" s="170"/>
      <c r="D987" s="170"/>
      <c r="E987" s="170"/>
      <c r="F987" s="170"/>
      <c r="G987" s="170"/>
      <c r="H987" s="170"/>
      <c r="I987" s="170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70"/>
      <c r="C988" s="170"/>
      <c r="D988" s="170"/>
      <c r="E988" s="170"/>
      <c r="F988" s="170"/>
      <c r="G988" s="170"/>
      <c r="H988" s="170"/>
      <c r="I988" s="170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70"/>
      <c r="C989" s="170"/>
      <c r="D989" s="170"/>
      <c r="E989" s="170"/>
      <c r="F989" s="170"/>
      <c r="G989" s="170"/>
      <c r="H989" s="170"/>
      <c r="I989" s="170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70"/>
      <c r="C990" s="170"/>
      <c r="D990" s="170"/>
      <c r="E990" s="170"/>
      <c r="F990" s="170"/>
      <c r="G990" s="170"/>
      <c r="H990" s="170"/>
      <c r="I990" s="170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70"/>
      <c r="C991" s="170"/>
      <c r="D991" s="170"/>
      <c r="E991" s="170"/>
      <c r="F991" s="170"/>
      <c r="G991" s="170"/>
      <c r="H991" s="170"/>
      <c r="I991" s="170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70"/>
      <c r="C992" s="170"/>
      <c r="D992" s="170"/>
      <c r="E992" s="170"/>
      <c r="F992" s="170"/>
      <c r="G992" s="170"/>
      <c r="H992" s="170"/>
      <c r="I992" s="170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70"/>
      <c r="C993" s="170"/>
      <c r="D993" s="170"/>
      <c r="E993" s="170"/>
      <c r="F993" s="170"/>
      <c r="G993" s="170"/>
      <c r="H993" s="170"/>
      <c r="I993" s="170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70"/>
      <c r="C994" s="170"/>
      <c r="D994" s="170"/>
      <c r="E994" s="170"/>
      <c r="F994" s="170"/>
      <c r="G994" s="170"/>
      <c r="H994" s="170"/>
      <c r="I994" s="170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70"/>
      <c r="C995" s="170"/>
      <c r="D995" s="170"/>
      <c r="E995" s="170"/>
      <c r="F995" s="170"/>
      <c r="G995" s="170"/>
      <c r="H995" s="170"/>
      <c r="I995" s="170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70"/>
      <c r="C996" s="170"/>
      <c r="D996" s="170"/>
      <c r="E996" s="170"/>
      <c r="F996" s="170"/>
      <c r="G996" s="170"/>
      <c r="H996" s="170"/>
      <c r="I996" s="170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70"/>
      <c r="C997" s="170"/>
      <c r="D997" s="170"/>
      <c r="E997" s="170"/>
      <c r="F997" s="170"/>
      <c r="G997" s="170"/>
      <c r="H997" s="170"/>
      <c r="I997" s="170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70"/>
      <c r="C998" s="170"/>
      <c r="D998" s="170"/>
      <c r="E998" s="170"/>
      <c r="F998" s="170"/>
      <c r="G998" s="170"/>
      <c r="H998" s="170"/>
      <c r="I998" s="170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70"/>
      <c r="C999" s="170"/>
      <c r="D999" s="170"/>
      <c r="E999" s="170"/>
      <c r="F999" s="170"/>
      <c r="G999" s="170"/>
      <c r="H999" s="170"/>
      <c r="I999" s="170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70"/>
      <c r="C1000" s="170"/>
      <c r="D1000" s="170"/>
      <c r="E1000" s="170"/>
      <c r="F1000" s="170"/>
      <c r="G1000" s="170"/>
      <c r="H1000" s="170"/>
      <c r="I1000" s="170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  <row r="1001" ht="15.75" customHeight="1">
      <c r="A1001" s="14"/>
      <c r="B1001" s="170"/>
      <c r="C1001" s="170"/>
      <c r="D1001" s="170"/>
      <c r="E1001" s="170"/>
      <c r="F1001" s="170"/>
      <c r="G1001" s="170"/>
      <c r="H1001" s="170"/>
      <c r="I1001" s="170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14"/>
      <c r="B1002" s="170"/>
      <c r="C1002" s="170"/>
      <c r="D1002" s="170"/>
      <c r="E1002" s="170"/>
      <c r="F1002" s="170"/>
      <c r="G1002" s="170"/>
      <c r="H1002" s="170"/>
      <c r="I1002" s="170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</row>
    <row r="1003" ht="15.75" customHeight="1">
      <c r="A1003" s="14"/>
      <c r="B1003" s="170"/>
      <c r="C1003" s="170"/>
      <c r="D1003" s="170"/>
      <c r="E1003" s="170"/>
      <c r="F1003" s="170"/>
      <c r="G1003" s="170"/>
      <c r="H1003" s="170"/>
      <c r="I1003" s="170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</row>
    <row r="1004" ht="15.75" customHeight="1">
      <c r="A1004" s="14"/>
      <c r="B1004" s="170"/>
      <c r="C1004" s="170"/>
      <c r="D1004" s="170"/>
      <c r="E1004" s="170"/>
      <c r="F1004" s="170"/>
      <c r="G1004" s="170"/>
      <c r="H1004" s="170"/>
      <c r="I1004" s="170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</row>
    <row r="1005" ht="15.75" customHeight="1">
      <c r="A1005" s="14"/>
      <c r="B1005" s="170"/>
      <c r="C1005" s="170"/>
      <c r="D1005" s="170"/>
      <c r="E1005" s="170"/>
      <c r="F1005" s="170"/>
      <c r="G1005" s="170"/>
      <c r="H1005" s="170"/>
      <c r="I1005" s="170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</row>
    <row r="1006" ht="15.75" customHeight="1">
      <c r="A1006" s="14"/>
      <c r="B1006" s="170"/>
      <c r="C1006" s="170"/>
      <c r="D1006" s="170"/>
      <c r="E1006" s="170"/>
      <c r="F1006" s="170"/>
      <c r="G1006" s="170"/>
      <c r="H1006" s="170"/>
      <c r="I1006" s="170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</row>
    <row r="1007" ht="15.75" customHeight="1">
      <c r="A1007" s="14"/>
      <c r="B1007" s="170"/>
      <c r="C1007" s="170"/>
      <c r="D1007" s="170"/>
      <c r="E1007" s="170"/>
      <c r="F1007" s="170"/>
      <c r="G1007" s="170"/>
      <c r="H1007" s="170"/>
      <c r="I1007" s="170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</row>
    <row r="1008" ht="15.75" customHeight="1">
      <c r="A1008" s="14"/>
      <c r="B1008" s="170"/>
      <c r="C1008" s="170"/>
      <c r="D1008" s="170"/>
      <c r="E1008" s="170"/>
      <c r="F1008" s="170"/>
      <c r="G1008" s="170"/>
      <c r="H1008" s="170"/>
      <c r="I1008" s="170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</row>
    <row r="1009" ht="15.75" customHeight="1">
      <c r="A1009" s="14"/>
      <c r="B1009" s="170"/>
      <c r="C1009" s="170"/>
      <c r="D1009" s="170"/>
      <c r="E1009" s="170"/>
      <c r="F1009" s="170"/>
      <c r="G1009" s="170"/>
      <c r="H1009" s="170"/>
      <c r="I1009" s="170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</row>
    <row r="1010" ht="15.75" customHeight="1">
      <c r="A1010" s="14"/>
      <c r="B1010" s="170"/>
      <c r="C1010" s="170"/>
      <c r="D1010" s="170"/>
      <c r="E1010" s="170"/>
      <c r="F1010" s="170"/>
      <c r="G1010" s="170"/>
      <c r="H1010" s="170"/>
      <c r="I1010" s="170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</row>
    <row r="1011" ht="15.75" customHeight="1">
      <c r="A1011" s="14"/>
      <c r="B1011" s="170"/>
      <c r="C1011" s="170"/>
      <c r="D1011" s="170"/>
      <c r="E1011" s="170"/>
      <c r="F1011" s="170"/>
      <c r="G1011" s="170"/>
      <c r="H1011" s="170"/>
      <c r="I1011" s="170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</row>
    <row r="1012" ht="15.75" customHeight="1">
      <c r="A1012" s="14"/>
      <c r="B1012" s="170"/>
      <c r="C1012" s="170"/>
      <c r="D1012" s="170"/>
      <c r="E1012" s="170"/>
      <c r="F1012" s="170"/>
      <c r="G1012" s="170"/>
      <c r="H1012" s="170"/>
      <c r="I1012" s="170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</row>
    <row r="1013" ht="15.75" customHeight="1">
      <c r="A1013" s="14"/>
      <c r="B1013" s="170"/>
      <c r="C1013" s="170"/>
      <c r="D1013" s="170"/>
      <c r="E1013" s="170"/>
      <c r="F1013" s="170"/>
      <c r="G1013" s="170"/>
      <c r="H1013" s="170"/>
      <c r="I1013" s="170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</row>
    <row r="1014" ht="15.75" customHeight="1">
      <c r="A1014" s="14"/>
      <c r="B1014" s="170"/>
      <c r="C1014" s="170"/>
      <c r="D1014" s="170"/>
      <c r="E1014" s="170"/>
      <c r="F1014" s="170"/>
      <c r="G1014" s="170"/>
      <c r="H1014" s="170"/>
      <c r="I1014" s="170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</row>
    <row r="1015" ht="15.75" customHeight="1">
      <c r="A1015" s="14"/>
      <c r="B1015" s="170"/>
      <c r="C1015" s="170"/>
      <c r="D1015" s="170"/>
      <c r="E1015" s="170"/>
      <c r="F1015" s="170"/>
      <c r="G1015" s="170"/>
      <c r="H1015" s="170"/>
      <c r="I1015" s="170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</row>
    <row r="1016" ht="15.75" customHeight="1">
      <c r="A1016" s="14"/>
      <c r="B1016" s="170"/>
      <c r="C1016" s="170"/>
      <c r="D1016" s="170"/>
      <c r="E1016" s="170"/>
      <c r="F1016" s="170"/>
      <c r="G1016" s="170"/>
      <c r="H1016" s="170"/>
      <c r="I1016" s="170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</row>
    <row r="1017" ht="15.75" customHeight="1">
      <c r="A1017" s="14"/>
      <c r="B1017" s="170"/>
      <c r="C1017" s="170"/>
      <c r="D1017" s="170"/>
      <c r="E1017" s="170"/>
      <c r="F1017" s="170"/>
      <c r="G1017" s="170"/>
      <c r="H1017" s="170"/>
      <c r="I1017" s="170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</row>
    <row r="1018" ht="15.75" customHeight="1">
      <c r="A1018" s="14"/>
      <c r="B1018" s="170"/>
      <c r="C1018" s="170"/>
      <c r="D1018" s="170"/>
      <c r="E1018" s="170"/>
      <c r="F1018" s="170"/>
      <c r="G1018" s="170"/>
      <c r="H1018" s="170"/>
      <c r="I1018" s="170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</row>
    <row r="1019" ht="15.75" customHeight="1">
      <c r="A1019" s="14"/>
      <c r="B1019" s="170"/>
      <c r="C1019" s="170"/>
      <c r="D1019" s="170"/>
      <c r="E1019" s="170"/>
      <c r="F1019" s="170"/>
      <c r="G1019" s="170"/>
      <c r="H1019" s="170"/>
      <c r="I1019" s="170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</row>
    <row r="1020" ht="15.75" customHeight="1">
      <c r="A1020" s="14"/>
      <c r="B1020" s="170"/>
      <c r="C1020" s="170"/>
      <c r="D1020" s="170"/>
      <c r="E1020" s="170"/>
      <c r="F1020" s="170"/>
      <c r="G1020" s="170"/>
      <c r="H1020" s="170"/>
      <c r="I1020" s="170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</row>
    <row r="1021" ht="15.75" customHeight="1">
      <c r="A1021" s="14"/>
      <c r="B1021" s="170"/>
      <c r="C1021" s="170"/>
      <c r="D1021" s="170"/>
      <c r="E1021" s="170"/>
      <c r="F1021" s="170"/>
      <c r="G1021" s="170"/>
      <c r="H1021" s="170"/>
      <c r="I1021" s="170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</row>
    <row r="1022" ht="15.75" customHeight="1">
      <c r="A1022" s="14"/>
      <c r="B1022" s="170"/>
      <c r="C1022" s="170"/>
      <c r="D1022" s="170"/>
      <c r="E1022" s="170"/>
      <c r="F1022" s="170"/>
      <c r="G1022" s="170"/>
      <c r="H1022" s="170"/>
      <c r="I1022" s="170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</row>
    <row r="1023" ht="15.75" customHeight="1">
      <c r="A1023" s="14"/>
      <c r="B1023" s="170"/>
      <c r="C1023" s="170"/>
      <c r="D1023" s="170"/>
      <c r="E1023" s="170"/>
      <c r="F1023" s="170"/>
      <c r="G1023" s="170"/>
      <c r="H1023" s="170"/>
      <c r="I1023" s="170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</row>
    <row r="1024" ht="15.75" customHeight="1">
      <c r="A1024" s="14"/>
      <c r="B1024" s="170"/>
      <c r="C1024" s="170"/>
      <c r="D1024" s="170"/>
      <c r="E1024" s="170"/>
      <c r="F1024" s="170"/>
      <c r="G1024" s="170"/>
      <c r="H1024" s="170"/>
      <c r="I1024" s="170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</row>
  </sheetData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5.0"/>
    <col customWidth="1" min="2" max="2" width="16.86"/>
    <col customWidth="1" min="3" max="3" width="12.71"/>
    <col customWidth="1" min="4" max="10" width="15.43"/>
  </cols>
  <sheetData>
    <row r="1">
      <c r="A1" s="233" t="s">
        <v>558</v>
      </c>
      <c r="B1" s="2"/>
      <c r="C1" s="2"/>
      <c r="D1" s="2"/>
      <c r="E1" s="2"/>
      <c r="F1" s="2"/>
      <c r="G1" s="2"/>
      <c r="H1" s="2"/>
      <c r="I1" s="2"/>
      <c r="J1" s="3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15.0" customHeight="1">
      <c r="A2" s="12" t="s">
        <v>560</v>
      </c>
      <c r="B2" s="2"/>
      <c r="C2" s="2"/>
      <c r="D2" s="2"/>
      <c r="E2" s="2"/>
      <c r="F2" s="2"/>
      <c r="G2" s="2"/>
      <c r="H2" s="2"/>
      <c r="I2" s="2"/>
      <c r="J2" s="3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15.0" customHeight="1">
      <c r="A3" s="22" t="s">
        <v>10</v>
      </c>
      <c r="B3" s="22" t="s">
        <v>561</v>
      </c>
      <c r="C3" s="22" t="s">
        <v>23</v>
      </c>
      <c r="D3" s="235" t="s">
        <v>562</v>
      </c>
      <c r="E3" s="235" t="s">
        <v>565</v>
      </c>
      <c r="F3" s="235" t="s">
        <v>566</v>
      </c>
      <c r="G3" s="235" t="s">
        <v>567</v>
      </c>
      <c r="H3" s="235" t="s">
        <v>568</v>
      </c>
      <c r="I3" s="235" t="s">
        <v>569</v>
      </c>
      <c r="J3" s="235" t="s">
        <v>570</v>
      </c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15.0" customHeight="1">
      <c r="A4" s="236">
        <v>1.0</v>
      </c>
      <c r="B4" s="29" t="str">
        <f>'🏅 RANKING'!B4</f>
        <v>Kovach, Ludmila</v>
      </c>
      <c r="C4" s="237" t="str">
        <f>'🏅 RANKING'!C4</f>
        <v>Grupo 1</v>
      </c>
      <c r="D4" s="238" t="s">
        <v>45</v>
      </c>
      <c r="E4" s="239" t="s">
        <v>57</v>
      </c>
      <c r="F4" s="240" t="s">
        <v>575</v>
      </c>
      <c r="G4" s="241" t="s">
        <v>50</v>
      </c>
      <c r="H4" s="242" t="s">
        <v>576</v>
      </c>
      <c r="I4" s="243" t="s">
        <v>577</v>
      </c>
      <c r="J4" s="238" t="s">
        <v>45</v>
      </c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5.0" customHeight="1">
      <c r="A5" s="236">
        <v>2.0</v>
      </c>
      <c r="B5" s="29" t="str">
        <f>'🏅 RANKING'!B5</f>
        <v>Terraza, Brian</v>
      </c>
      <c r="C5" s="237" t="str">
        <f>'🏅 RANKING'!C5</f>
        <v>Grupo 1</v>
      </c>
      <c r="D5" s="239" t="s">
        <v>57</v>
      </c>
      <c r="E5" s="240" t="s">
        <v>575</v>
      </c>
      <c r="F5" s="241" t="s">
        <v>50</v>
      </c>
      <c r="G5" s="242" t="s">
        <v>576</v>
      </c>
      <c r="H5" s="243" t="s">
        <v>577</v>
      </c>
      <c r="I5" s="238" t="s">
        <v>45</v>
      </c>
      <c r="J5" s="239" t="s">
        <v>57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0" customHeight="1">
      <c r="A6" s="236">
        <v>3.0</v>
      </c>
      <c r="B6" s="29" t="str">
        <f>'🏅 RANKING'!B6</f>
        <v>Pedrozo, Lorena</v>
      </c>
      <c r="C6" s="237" t="str">
        <f>'🏅 RANKING'!C6</f>
        <v>Grupo 1</v>
      </c>
      <c r="D6" s="240" t="s">
        <v>575</v>
      </c>
      <c r="E6" s="241" t="s">
        <v>50</v>
      </c>
      <c r="F6" s="242" t="s">
        <v>576</v>
      </c>
      <c r="G6" s="243" t="s">
        <v>577</v>
      </c>
      <c r="H6" s="238" t="s">
        <v>45</v>
      </c>
      <c r="I6" s="239" t="s">
        <v>57</v>
      </c>
      <c r="J6" s="240" t="s">
        <v>575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0" customHeight="1">
      <c r="A7" s="236">
        <v>4.0</v>
      </c>
      <c r="B7" s="29" t="str">
        <f>'🏅 RANKING'!B7</f>
        <v>Cáceres, Santiago</v>
      </c>
      <c r="C7" s="237" t="str">
        <f>'🏅 RANKING'!C7</f>
        <v>Grupo 1</v>
      </c>
      <c r="D7" s="241" t="s">
        <v>50</v>
      </c>
      <c r="E7" s="242" t="s">
        <v>576</v>
      </c>
      <c r="F7" s="243" t="s">
        <v>577</v>
      </c>
      <c r="G7" s="238" t="s">
        <v>45</v>
      </c>
      <c r="H7" s="239" t="s">
        <v>57</v>
      </c>
      <c r="I7" s="240" t="s">
        <v>575</v>
      </c>
      <c r="J7" s="241" t="s">
        <v>50</v>
      </c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5.0" customHeight="1">
      <c r="A8" s="236">
        <v>5.0</v>
      </c>
      <c r="B8" s="29" t="str">
        <f>'🏅 RANKING'!B8</f>
        <v>Aguilera, Thiago</v>
      </c>
      <c r="C8" s="237" t="str">
        <f>'🏅 RANKING'!C8</f>
        <v>Grupo 1</v>
      </c>
      <c r="D8" s="242" t="s">
        <v>576</v>
      </c>
      <c r="E8" s="243" t="s">
        <v>577</v>
      </c>
      <c r="F8" s="238" t="s">
        <v>45</v>
      </c>
      <c r="G8" s="239" t="s">
        <v>57</v>
      </c>
      <c r="H8" s="240" t="s">
        <v>575</v>
      </c>
      <c r="I8" s="241" t="s">
        <v>50</v>
      </c>
      <c r="J8" s="242" t="s">
        <v>576</v>
      </c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5.0" customHeight="1">
      <c r="A9" s="236">
        <v>6.0</v>
      </c>
      <c r="B9" s="29" t="str">
        <f>'🏅 RANKING'!B9</f>
        <v>Simonetti, Tomás</v>
      </c>
      <c r="C9" s="237" t="str">
        <f>'🏅 RANKING'!C9</f>
        <v>Grupo 1</v>
      </c>
      <c r="D9" s="243" t="s">
        <v>577</v>
      </c>
      <c r="E9" s="238" t="s">
        <v>45</v>
      </c>
      <c r="F9" s="239" t="s">
        <v>57</v>
      </c>
      <c r="G9" s="240" t="s">
        <v>575</v>
      </c>
      <c r="H9" s="241" t="s">
        <v>50</v>
      </c>
      <c r="I9" s="242" t="s">
        <v>576</v>
      </c>
      <c r="J9" s="243" t="s">
        <v>577</v>
      </c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0" customHeight="1">
      <c r="A10" s="236">
        <v>7.0</v>
      </c>
      <c r="B10" s="29" t="str">
        <f>'🏅 RANKING'!B10</f>
        <v>Pinilla, Alexis</v>
      </c>
      <c r="C10" s="244" t="str">
        <f>'🏅 RANKING'!C10</f>
        <v>Grupo 2</v>
      </c>
      <c r="D10" s="238" t="s">
        <v>45</v>
      </c>
      <c r="E10" s="239" t="s">
        <v>57</v>
      </c>
      <c r="F10" s="245" t="s">
        <v>575</v>
      </c>
      <c r="G10" s="241" t="s">
        <v>50</v>
      </c>
      <c r="H10" s="242" t="s">
        <v>576</v>
      </c>
      <c r="I10" s="243" t="s">
        <v>577</v>
      </c>
      <c r="J10" s="238" t="s">
        <v>45</v>
      </c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15.0" customHeight="1">
      <c r="A11" s="236">
        <v>8.0</v>
      </c>
      <c r="B11" s="29" t="str">
        <f>'🏅 RANKING'!B11</f>
        <v>Lorenzetti, Axel</v>
      </c>
      <c r="C11" s="244" t="str">
        <f>'🏅 RANKING'!C11</f>
        <v>Grupo 2</v>
      </c>
      <c r="D11" s="239" t="s">
        <v>57</v>
      </c>
      <c r="E11" s="240" t="s">
        <v>575</v>
      </c>
      <c r="F11" s="241" t="s">
        <v>50</v>
      </c>
      <c r="G11" s="242" t="s">
        <v>576</v>
      </c>
      <c r="H11" s="243" t="s">
        <v>577</v>
      </c>
      <c r="I11" s="238" t="s">
        <v>45</v>
      </c>
      <c r="J11" s="239" t="s">
        <v>57</v>
      </c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15.0" customHeight="1">
      <c r="A12" s="236">
        <v>9.0</v>
      </c>
      <c r="B12" s="29" t="str">
        <f>'🏅 RANKING'!B12</f>
        <v>Leal, Benjamín</v>
      </c>
      <c r="C12" s="244" t="str">
        <f>'🏅 RANKING'!C12</f>
        <v>Grupo 2</v>
      </c>
      <c r="D12" s="240" t="s">
        <v>575</v>
      </c>
      <c r="E12" s="241" t="s">
        <v>50</v>
      </c>
      <c r="F12" s="242" t="s">
        <v>576</v>
      </c>
      <c r="G12" s="243" t="s">
        <v>577</v>
      </c>
      <c r="H12" s="238" t="s">
        <v>45</v>
      </c>
      <c r="I12" s="239" t="s">
        <v>57</v>
      </c>
      <c r="J12" s="240" t="s">
        <v>575</v>
      </c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0" customHeight="1">
      <c r="A13" s="236">
        <v>10.0</v>
      </c>
      <c r="B13" s="29" t="str">
        <f>'🏅 RANKING'!B13</f>
        <v>Calascibetta, Felipe</v>
      </c>
      <c r="C13" s="244" t="str">
        <f>'🏅 RANKING'!C13</f>
        <v>Grupo 2</v>
      </c>
      <c r="D13" s="241" t="s">
        <v>50</v>
      </c>
      <c r="E13" s="242" t="s">
        <v>576</v>
      </c>
      <c r="F13" s="243" t="s">
        <v>577</v>
      </c>
      <c r="G13" s="238" t="s">
        <v>45</v>
      </c>
      <c r="H13" s="239" t="s">
        <v>57</v>
      </c>
      <c r="I13" s="240" t="s">
        <v>575</v>
      </c>
      <c r="J13" s="241" t="s">
        <v>50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0" customHeight="1">
      <c r="A14" s="236">
        <v>11.0</v>
      </c>
      <c r="B14" s="29" t="str">
        <f>'🏅 RANKING'!B14</f>
        <v>Mottin, Francisco</v>
      </c>
      <c r="C14" s="244" t="str">
        <f>'🏅 RANKING'!C14</f>
        <v>Grupo 2</v>
      </c>
      <c r="D14" s="242" t="s">
        <v>576</v>
      </c>
      <c r="E14" s="243" t="s">
        <v>577</v>
      </c>
      <c r="F14" s="238" t="s">
        <v>45</v>
      </c>
      <c r="G14" s="239" t="s">
        <v>57</v>
      </c>
      <c r="H14" s="240" t="s">
        <v>575</v>
      </c>
      <c r="I14" s="241" t="s">
        <v>50</v>
      </c>
      <c r="J14" s="242" t="s">
        <v>576</v>
      </c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15.0" customHeight="1">
      <c r="A15" s="236">
        <v>12.0</v>
      </c>
      <c r="B15" s="29" t="str">
        <f>'🏅 RANKING'!B15</f>
        <v>Cappelletti, Sofía</v>
      </c>
      <c r="C15" s="244" t="str">
        <f>'🏅 RANKING'!C15</f>
        <v>Grupo 2</v>
      </c>
      <c r="D15" s="243" t="s">
        <v>577</v>
      </c>
      <c r="E15" s="238" t="s">
        <v>45</v>
      </c>
      <c r="F15" s="239" t="s">
        <v>57</v>
      </c>
      <c r="G15" s="240" t="s">
        <v>575</v>
      </c>
      <c r="H15" s="241" t="s">
        <v>50</v>
      </c>
      <c r="I15" s="242" t="s">
        <v>576</v>
      </c>
      <c r="J15" s="243" t="s">
        <v>577</v>
      </c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5.0" customHeight="1">
      <c r="A18" s="247" t="s">
        <v>596</v>
      </c>
      <c r="B18" s="2"/>
      <c r="C18" s="2"/>
      <c r="D18" s="2"/>
      <c r="E18" s="2"/>
      <c r="F18" s="2"/>
      <c r="G18" s="2"/>
      <c r="H18" s="2"/>
      <c r="I18" s="2"/>
      <c r="J18" s="3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0" customHeight="1">
      <c r="A19" s="7"/>
      <c r="B19" s="238" t="s">
        <v>45</v>
      </c>
      <c r="C19" s="248" t="s">
        <v>597</v>
      </c>
      <c r="D19" s="249"/>
      <c r="E19" s="249"/>
      <c r="F19" s="249"/>
      <c r="G19" s="249"/>
      <c r="H19" s="249"/>
      <c r="I19" s="249"/>
      <c r="J19" s="250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0" customHeight="1">
      <c r="A20" s="7"/>
      <c r="B20" s="251" t="s">
        <v>57</v>
      </c>
      <c r="C20" s="248" t="s">
        <v>599</v>
      </c>
      <c r="D20" s="249"/>
      <c r="E20" s="249"/>
      <c r="F20" s="249"/>
      <c r="G20" s="249"/>
      <c r="H20" s="249"/>
      <c r="I20" s="249"/>
      <c r="J20" s="250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0" customHeight="1">
      <c r="A21" s="7"/>
      <c r="B21" s="54" t="s">
        <v>575</v>
      </c>
      <c r="C21" s="248" t="s">
        <v>600</v>
      </c>
      <c r="D21" s="249"/>
      <c r="E21" s="249"/>
      <c r="F21" s="249"/>
      <c r="G21" s="249"/>
      <c r="H21" s="249"/>
      <c r="I21" s="249"/>
      <c r="J21" s="250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0" customHeight="1">
      <c r="A22" s="7"/>
      <c r="B22" s="252" t="s">
        <v>50</v>
      </c>
      <c r="C22" s="248" t="s">
        <v>602</v>
      </c>
      <c r="D22" s="249"/>
      <c r="E22" s="249"/>
      <c r="F22" s="249"/>
      <c r="G22" s="249"/>
      <c r="H22" s="249"/>
      <c r="I22" s="249"/>
      <c r="J22" s="250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0" customHeight="1">
      <c r="A23" s="7"/>
      <c r="B23" s="253" t="s">
        <v>576</v>
      </c>
      <c r="C23" s="248" t="s">
        <v>603</v>
      </c>
      <c r="D23" s="249"/>
      <c r="E23" s="249"/>
      <c r="F23" s="249"/>
      <c r="G23" s="249"/>
      <c r="H23" s="249"/>
      <c r="I23" s="249"/>
      <c r="J23" s="250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0" customHeight="1">
      <c r="A24" s="7"/>
      <c r="B24" s="254" t="s">
        <v>577</v>
      </c>
      <c r="C24" s="248" t="s">
        <v>607</v>
      </c>
      <c r="D24" s="249"/>
      <c r="E24" s="249"/>
      <c r="F24" s="249"/>
      <c r="G24" s="249"/>
      <c r="H24" s="249"/>
      <c r="I24" s="249"/>
      <c r="J24" s="250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9">
    <mergeCell ref="C23:J23"/>
    <mergeCell ref="C24:J24"/>
    <mergeCell ref="A1:J1"/>
    <mergeCell ref="A2:J2"/>
    <mergeCell ref="A18:J18"/>
    <mergeCell ref="C19:J19"/>
    <mergeCell ref="C20:J20"/>
    <mergeCell ref="C21:J21"/>
    <mergeCell ref="C22:J2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.29"/>
    <col customWidth="1" min="2" max="2" width="23.14"/>
    <col customWidth="1" min="3" max="3" width="11.86"/>
    <col customWidth="1" min="4" max="4" width="16.0"/>
    <col customWidth="1" min="5" max="5" width="20.57"/>
    <col customWidth="1" min="6" max="6" width="16.29"/>
    <col customWidth="1" min="7" max="7" width="18.29"/>
    <col customWidth="1" min="8" max="8" width="20.14"/>
    <col customWidth="1" min="9" max="9" width="25.57"/>
    <col customWidth="1" min="10" max="10" width="26.71"/>
    <col customWidth="1" min="11" max="11" width="20.71"/>
    <col customWidth="1" min="12" max="12" width="23.57"/>
    <col customWidth="1" min="13" max="13" width="23.71"/>
  </cols>
  <sheetData>
    <row r="1" ht="17.25" customHeight="1">
      <c r="A1" s="329" t="s">
        <v>2475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4"/>
      <c r="O1" s="14"/>
      <c r="P1" s="14"/>
    </row>
    <row r="2" ht="15.0" customHeight="1">
      <c r="A2" s="2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14"/>
      <c r="O2" s="14"/>
      <c r="P2" s="14"/>
    </row>
    <row r="3" ht="24.75" customHeight="1">
      <c r="A3" s="330" t="s">
        <v>10</v>
      </c>
      <c r="B3" s="330" t="s">
        <v>561</v>
      </c>
      <c r="C3" s="330" t="s">
        <v>23</v>
      </c>
      <c r="D3" s="330" t="s">
        <v>790</v>
      </c>
      <c r="E3" s="330" t="s">
        <v>2476</v>
      </c>
      <c r="F3" s="330" t="s">
        <v>2477</v>
      </c>
      <c r="G3" s="330" t="s">
        <v>2478</v>
      </c>
      <c r="H3" s="330" t="s">
        <v>2479</v>
      </c>
      <c r="I3" s="330" t="s">
        <v>2480</v>
      </c>
      <c r="J3" s="330" t="s">
        <v>2481</v>
      </c>
      <c r="K3" s="330" t="s">
        <v>2482</v>
      </c>
      <c r="L3" s="330" t="s">
        <v>2483</v>
      </c>
      <c r="M3" s="330" t="s">
        <v>2484</v>
      </c>
      <c r="N3" s="151"/>
      <c r="O3" s="151"/>
      <c r="P3" s="151"/>
      <c r="Q3" s="331"/>
      <c r="R3" s="331"/>
      <c r="S3" s="331"/>
      <c r="T3" s="331"/>
      <c r="U3" s="331"/>
      <c r="V3" s="331"/>
      <c r="W3" s="331"/>
      <c r="X3" s="331"/>
      <c r="Y3" s="331"/>
      <c r="Z3" s="331"/>
    </row>
    <row r="4" ht="15.0" customHeight="1">
      <c r="A4" s="332">
        <v>1.0</v>
      </c>
      <c r="B4" s="333" t="s">
        <v>30</v>
      </c>
      <c r="C4" s="334" t="s">
        <v>104</v>
      </c>
      <c r="D4" s="335" t="s">
        <v>795</v>
      </c>
      <c r="E4" s="336" t="s">
        <v>576</v>
      </c>
      <c r="F4" s="337">
        <f>COUNTIF('📅 ASISTENCIA'!D$6:D$35, "Presente") + COUNTIF('📅 ASISTENCIA'!D$6:D$35, "Tardanza")</f>
        <v>6</v>
      </c>
      <c r="G4" s="337">
        <f>COUNTIF('📅 ASISTENCIA'!D$6:D$35, "Presente")*10 + COUNTIF('📅 ASISTENCIA'!D$6:D$35, "Tardanza")*5</f>
        <v>55</v>
      </c>
      <c r="H4" s="338">
        <f>IF(F4=0, 0, (COUNTIFS('🔧 OT'!G:G, "Grupo 1", '🔧 OT'!N:N, "Finalizada OK") * 20))</f>
        <v>1000</v>
      </c>
      <c r="I4" s="339">
        <f>COUNTIFS('🏫 TERRITORIO'!$K:$K,B4,'🏫 TERRITORIO'!$L:$L,"Finalizada OK")*20</f>
        <v>0</v>
      </c>
      <c r="J4" s="337">
        <f>COUNTIFS('🏫 TERRITORIO'!$J:$J,C4,'🏫 TERRITORIO'!$L:$L,"Finalizada OK")*15</f>
        <v>0</v>
      </c>
      <c r="K4" s="340">
        <v>10.0</v>
      </c>
      <c r="L4" s="341">
        <f t="shared" ref="L4:L15" si="1">G4 + H4 + I4 + J4 + K4</f>
        <v>1065</v>
      </c>
      <c r="M4" s="342" t="str">
        <f t="shared" ref="M4:M15" si="2">IF(B4="", "", IF(K4="", "🛠️ Técnico en Formación", IF(K4&gt;=9, "🧙‍♂️ Técnico de Élite (Master)", IF(K4&gt;=7, "🔧 Colaborador Valioso", IF(K4&gt;=4, "🛠️ Técnico en Formación", "⚠️ Requiere Seguimiento")))))</f>
        <v>🧙‍♂️ Técnico de Élite (Master)</v>
      </c>
      <c r="N4" s="14"/>
      <c r="O4" s="14"/>
      <c r="P4" s="14"/>
    </row>
    <row r="5" ht="15.0" customHeight="1">
      <c r="A5" s="343">
        <v>2.0</v>
      </c>
      <c r="B5" s="344" t="s">
        <v>32</v>
      </c>
      <c r="C5" s="345" t="s">
        <v>104</v>
      </c>
      <c r="D5" s="346" t="s">
        <v>795</v>
      </c>
      <c r="E5" s="347" t="s">
        <v>577</v>
      </c>
      <c r="F5" s="337">
        <f>COUNTIF('📅 ASISTENCIA'!E$6:E$35, "Presente") + COUNTIF('📅 ASISTENCIA'!E$6:E$35, "Tardanza")</f>
        <v>9</v>
      </c>
      <c r="G5" s="348">
        <f>COUNTIF('📅 ASISTENCIA'!E$6:E$35, "Presente")*10 + COUNTIF('📅 ASISTENCIA'!E$6:E$35, "Tardanza")*5</f>
        <v>90</v>
      </c>
      <c r="H5" s="349">
        <f>IF(F5=0, 0, COUNTIFS('🔧 OT'!G:G, "Grupo 1", '🔧 OT'!N:N, "Finalizada OK") * 20)</f>
        <v>1000</v>
      </c>
      <c r="I5" s="339">
        <f>COUNTIFS('🏫 TERRITORIO'!$K:$K,B5,'🏫 TERRITORIO'!$L:$L,"Finalizada OK")*20</f>
        <v>0</v>
      </c>
      <c r="J5" s="337">
        <f>COUNTIFS('🏫 TERRITORIO'!$J:$J,C5,'🏫 TERRITORIO'!$L:$L,"Finalizada OK")*15</f>
        <v>0</v>
      </c>
      <c r="K5" s="340">
        <v>10.0</v>
      </c>
      <c r="L5" s="341">
        <f t="shared" si="1"/>
        <v>1100</v>
      </c>
      <c r="M5" s="342" t="str">
        <f t="shared" si="2"/>
        <v>🧙‍♂️ Técnico de Élite (Master)</v>
      </c>
      <c r="N5" s="14"/>
      <c r="O5" s="14"/>
      <c r="P5" s="14"/>
    </row>
    <row r="6" ht="15.0" customHeight="1">
      <c r="A6" s="343">
        <v>3.0</v>
      </c>
      <c r="B6" s="344" t="s">
        <v>33</v>
      </c>
      <c r="C6" s="345" t="s">
        <v>104</v>
      </c>
      <c r="D6" s="346" t="s">
        <v>795</v>
      </c>
      <c r="E6" s="347" t="s">
        <v>45</v>
      </c>
      <c r="F6" s="337">
        <f>COUNTIF('📅 ASISTENCIA'!F$6:F$35, "Presente") + COUNTIF('📅 ASISTENCIA'!F$6:F$35, "Tardanza")</f>
        <v>11</v>
      </c>
      <c r="G6" s="348">
        <f>COUNTIF('📅 ASISTENCIA'!F$6:F$35, "Presente")*10 + COUNTIF('📅 ASISTENCIA'!F$6:F$35, "Tardanza")*5</f>
        <v>105</v>
      </c>
      <c r="H6" s="349">
        <f>IF(F6=0, 0, COUNTIFS('🔧 OT'!G:G, "Grupo 1", '🔧 OT'!N:N, "Finalizada OK") * 20)</f>
        <v>1000</v>
      </c>
      <c r="I6" s="339">
        <f>COUNTIFS('🏫 TERRITORIO'!$K:$K,B6,'🏫 TERRITORIO'!$L:$L,"Finalizada OK")*20</f>
        <v>0</v>
      </c>
      <c r="J6" s="337">
        <f>COUNTIFS('🏫 TERRITORIO'!$J:$J,C6,'🏫 TERRITORIO'!$L:$L,"Finalizada OK")*15</f>
        <v>0</v>
      </c>
      <c r="K6" s="339">
        <v>10.0</v>
      </c>
      <c r="L6" s="341">
        <f t="shared" si="1"/>
        <v>1115</v>
      </c>
      <c r="M6" s="342" t="str">
        <f t="shared" si="2"/>
        <v>🧙‍♂️ Técnico de Élite (Master)</v>
      </c>
      <c r="N6" s="14"/>
      <c r="O6" s="14"/>
      <c r="P6" s="14"/>
    </row>
    <row r="7" ht="15.0" customHeight="1">
      <c r="A7" s="343">
        <v>4.0</v>
      </c>
      <c r="B7" s="344" t="s">
        <v>34</v>
      </c>
      <c r="C7" s="345" t="s">
        <v>104</v>
      </c>
      <c r="D7" s="346" t="s">
        <v>795</v>
      </c>
      <c r="E7" s="347" t="s">
        <v>57</v>
      </c>
      <c r="F7" s="337">
        <f>COUNTIF('📅 ASISTENCIA'!G$6:G$35, "Presente") + COUNTIF('📅 ASISTENCIA'!G$6:G$35, "Tardanza")</f>
        <v>8</v>
      </c>
      <c r="G7" s="348">
        <f>COUNTIF('📅 ASISTENCIA'!G$6:G$35, "Presente")*10 + COUNTIF('📅 ASISTENCIA'!G$6:G$35, "Tardanza")*5</f>
        <v>80</v>
      </c>
      <c r="H7" s="349">
        <f>IF(F7=0, 0, COUNTIFS('🔧 OT'!G:G, "Grupo 1", '🔧 OT'!N:N, "Finalizada OK") * 20)</f>
        <v>1000</v>
      </c>
      <c r="I7" s="339">
        <f>COUNTIFS('🏫 TERRITORIO'!$K:$K,B7,'🏫 TERRITORIO'!$L:$L,"Finalizada OK")*20</f>
        <v>0</v>
      </c>
      <c r="J7" s="337">
        <f>COUNTIFS('🏫 TERRITORIO'!$J:$J,C7,'🏫 TERRITORIO'!$L:$L,"Finalizada OK")*15</f>
        <v>0</v>
      </c>
      <c r="K7" s="339">
        <v>10.0</v>
      </c>
      <c r="L7" s="341">
        <f t="shared" si="1"/>
        <v>1090</v>
      </c>
      <c r="M7" s="342" t="str">
        <f t="shared" si="2"/>
        <v>🧙‍♂️ Técnico de Élite (Master)</v>
      </c>
      <c r="N7" s="14"/>
      <c r="O7" s="14"/>
      <c r="P7" s="14"/>
    </row>
    <row r="8" ht="15.0" customHeight="1">
      <c r="A8" s="343">
        <v>5.0</v>
      </c>
      <c r="B8" s="344" t="s">
        <v>36</v>
      </c>
      <c r="C8" s="345" t="s">
        <v>104</v>
      </c>
      <c r="D8" s="346" t="s">
        <v>795</v>
      </c>
      <c r="E8" s="347" t="s">
        <v>575</v>
      </c>
      <c r="F8" s="337">
        <f>COUNTIF('📅 ASISTENCIA'!H$6:H$35, "Presente") + COUNTIF('📅 ASISTENCIA'!H$6:H$35, "Tardanza")</f>
        <v>11</v>
      </c>
      <c r="G8" s="348">
        <f>COUNTIF('📅 ASISTENCIA'!H$6:H$35, "Presente")*10 + COUNTIF('📅 ASISTENCIA'!H$6:H$35, "Tardanza")*5</f>
        <v>110</v>
      </c>
      <c r="H8" s="349">
        <f>IF(F8=0, 0, COUNTIFS('🔧 OT'!G:G, "Grupo 1", '🔧 OT'!N:N, "Finalizada OK") * 20)</f>
        <v>1000</v>
      </c>
      <c r="I8" s="339">
        <f>COUNTIFS('🏫 TERRITORIO'!$K:$K,B8,'🏫 TERRITORIO'!$L:$L,"Finalizada OK")*20</f>
        <v>0</v>
      </c>
      <c r="J8" s="337">
        <f>COUNTIFS('🏫 TERRITORIO'!$J:$J,C8,'🏫 TERRITORIO'!$L:$L,"Finalizada OK")*15</f>
        <v>0</v>
      </c>
      <c r="K8" s="340">
        <v>10.0</v>
      </c>
      <c r="L8" s="341">
        <f t="shared" si="1"/>
        <v>1120</v>
      </c>
      <c r="M8" s="342" t="str">
        <f t="shared" si="2"/>
        <v>🧙‍♂️ Técnico de Élite (Master)</v>
      </c>
      <c r="N8" s="14"/>
      <c r="O8" s="14"/>
      <c r="P8" s="14"/>
    </row>
    <row r="9" ht="15.0" customHeight="1">
      <c r="A9" s="343">
        <v>6.0</v>
      </c>
      <c r="B9" s="344" t="s">
        <v>37</v>
      </c>
      <c r="C9" s="345" t="s">
        <v>104</v>
      </c>
      <c r="D9" s="346" t="s">
        <v>795</v>
      </c>
      <c r="E9" s="347" t="s">
        <v>50</v>
      </c>
      <c r="F9" s="337">
        <f>COUNTIF('📅 ASISTENCIA'!I$6:I$35, "Presente") + COUNTIF('📅 ASISTENCIA'!I$6:I$35, "Tardanza")</f>
        <v>9</v>
      </c>
      <c r="G9" s="348">
        <f>COUNTIF('📅 ASISTENCIA'!I$6:I$35, "Presente")*10 + COUNTIF('📅 ASISTENCIA'!I$6:I$35, "Tardanza")*5</f>
        <v>90</v>
      </c>
      <c r="H9" s="349">
        <f>IF(F9=0, 0, COUNTIFS('🔧 OT'!G:G, "Grupo 1", '🔧 OT'!N:N, "Finalizada OK") * 20)</f>
        <v>1000</v>
      </c>
      <c r="I9" s="339">
        <f>COUNTIFS('🏫 TERRITORIO'!$K:$K,B9,'🏫 TERRITORIO'!$L:$L,"Finalizada OK")*20</f>
        <v>0</v>
      </c>
      <c r="J9" s="337">
        <f>COUNTIFS('🏫 TERRITORIO'!$J:$J,C9,'🏫 TERRITORIO'!$L:$L,"Finalizada OK")*15</f>
        <v>0</v>
      </c>
      <c r="K9" s="340">
        <v>10.0</v>
      </c>
      <c r="L9" s="341">
        <f t="shared" si="1"/>
        <v>1100</v>
      </c>
      <c r="M9" s="342" t="str">
        <f t="shared" si="2"/>
        <v>🧙‍♂️ Técnico de Élite (Master)</v>
      </c>
      <c r="N9" s="14"/>
      <c r="O9" s="14"/>
      <c r="P9" s="14"/>
    </row>
    <row r="10" ht="15.0" customHeight="1">
      <c r="A10" s="343">
        <v>7.0</v>
      </c>
      <c r="B10" s="344" t="s">
        <v>84</v>
      </c>
      <c r="C10" s="350" t="s">
        <v>78</v>
      </c>
      <c r="D10" s="346" t="s">
        <v>796</v>
      </c>
      <c r="E10" s="347" t="s">
        <v>50</v>
      </c>
      <c r="F10" s="351">
        <f>COUNTIF('📅 ASISTENCIA'!D$39:D$68, "Presente") + COUNTIF('📅 ASISTENCIA'!D$39:D$68, "Tardanza")</f>
        <v>10</v>
      </c>
      <c r="G10" s="348">
        <f>COUNTIF('📅 ASISTENCIA'!D$39:D$68, "Presente")*10 + COUNTIF('📅 ASISTENCIA'!D$39:D$68, "Tardanza")*5</f>
        <v>100</v>
      </c>
      <c r="H10" s="349">
        <f>IF(F10=0, 0, COUNTIFS('🔧 OT'!G:G, "Grupo 2", '🔧 OT'!N:N, "Finalizada OK") * 20)</f>
        <v>1140</v>
      </c>
      <c r="I10" s="339">
        <f>COUNTIFS('🏫 TERRITORIO'!$K:$K,B10,'🏫 TERRITORIO'!$L:$L,"Finalizada OK")*20</f>
        <v>40</v>
      </c>
      <c r="J10" s="337">
        <f>COUNTIFS('🏫 TERRITORIO'!$J:$J,C10,'🏫 TERRITORIO'!$L:$L,"Finalizada OK")*15</f>
        <v>165</v>
      </c>
      <c r="K10" s="339">
        <v>9.0</v>
      </c>
      <c r="L10" s="341">
        <f t="shared" si="1"/>
        <v>1454</v>
      </c>
      <c r="M10" s="342" t="str">
        <f t="shared" si="2"/>
        <v>🧙‍♂️ Técnico de Élite (Master)</v>
      </c>
      <c r="N10" s="14"/>
      <c r="O10" s="14"/>
      <c r="P10" s="14"/>
    </row>
    <row r="11" ht="15.0" customHeight="1">
      <c r="A11" s="343">
        <v>8.0</v>
      </c>
      <c r="B11" s="344" t="s">
        <v>82</v>
      </c>
      <c r="C11" s="350" t="s">
        <v>78</v>
      </c>
      <c r="D11" s="346" t="s">
        <v>796</v>
      </c>
      <c r="E11" s="347" t="s">
        <v>576</v>
      </c>
      <c r="F11" s="348">
        <f>COUNTIF('📅 ASISTENCIA'!E$39:E$68, "Presente") + COUNTIF('📅 ASISTENCIA'!E$39:E$68, "Tardanza")</f>
        <v>9</v>
      </c>
      <c r="G11" s="348">
        <f>COUNTIF('📅 ASISTENCIA'!E$39:E$68, "Presente")*10 + COUNTIF('📅 ASISTENCIA'!E$39:E$68, "Tardanza")*5</f>
        <v>85</v>
      </c>
      <c r="H11" s="349">
        <f>IF(F11=0, 0, COUNTIFS('🔧 OT'!G:G, "Grupo 2", '🔧 OT'!N:N, "Finalizada OK") * 20)</f>
        <v>1140</v>
      </c>
      <c r="I11" s="339">
        <f>COUNTIFS('🏫 TERRITORIO'!$K:$K,B11,'🏫 TERRITORIO'!$L:$L,"Finalizada OK")*20</f>
        <v>40</v>
      </c>
      <c r="J11" s="337">
        <f>COUNTIFS('🏫 TERRITORIO'!$J:$J,C11,'🏫 TERRITORIO'!$L:$L,"Finalizada OK")*15</f>
        <v>165</v>
      </c>
      <c r="K11" s="340">
        <v>10.0</v>
      </c>
      <c r="L11" s="341">
        <f t="shared" si="1"/>
        <v>1440</v>
      </c>
      <c r="M11" s="342" t="str">
        <f t="shared" si="2"/>
        <v>🧙‍♂️ Técnico de Élite (Master)</v>
      </c>
      <c r="N11" s="14"/>
      <c r="O11" s="14"/>
      <c r="P11" s="14"/>
    </row>
    <row r="12" ht="15.0" customHeight="1">
      <c r="A12" s="343">
        <v>9.0</v>
      </c>
      <c r="B12" s="344" t="s">
        <v>120</v>
      </c>
      <c r="C12" s="350" t="s">
        <v>78</v>
      </c>
      <c r="D12" s="346" t="s">
        <v>796</v>
      </c>
      <c r="E12" s="347" t="s">
        <v>577</v>
      </c>
      <c r="F12" s="348">
        <f>COUNTIF('📅 ASISTENCIA'!F$39:F$68, "Presente") + COUNTIF('📅 ASISTENCIA'!F$39:F$68, "Tardanza")</f>
        <v>9</v>
      </c>
      <c r="G12" s="348">
        <f>COUNTIF('📅 ASISTENCIA'!F$39:F$68, "Presente")*10 + COUNTIF('📅 ASISTENCIA'!F$39:F$68, "Tardanza")*5</f>
        <v>90</v>
      </c>
      <c r="H12" s="349">
        <f>IF(F12=0, 0, COUNTIFS('🔧 OT'!G:G, "Grupo 2", '🔧 OT'!N:N, "Finalizada OK") * 20)</f>
        <v>1140</v>
      </c>
      <c r="I12" s="339">
        <f>COUNTIFS('🏫 TERRITORIO'!$K:$K,B12,'🏫 TERRITORIO'!$L:$L,"Finalizada OK")*20</f>
        <v>0</v>
      </c>
      <c r="J12" s="337">
        <f>COUNTIFS('🏫 TERRITORIO'!$J:$J,C12,'🏫 TERRITORIO'!$L:$L,"Finalizada OK")*15</f>
        <v>165</v>
      </c>
      <c r="K12" s="340">
        <v>10.0</v>
      </c>
      <c r="L12" s="341">
        <f t="shared" si="1"/>
        <v>1405</v>
      </c>
      <c r="M12" s="342" t="str">
        <f t="shared" si="2"/>
        <v>🧙‍♂️ Técnico de Élite (Master)</v>
      </c>
      <c r="N12" s="14"/>
      <c r="O12" s="14"/>
      <c r="P12" s="14"/>
    </row>
    <row r="13" ht="15.0" customHeight="1">
      <c r="A13" s="343">
        <v>10.0</v>
      </c>
      <c r="B13" s="344" t="s">
        <v>164</v>
      </c>
      <c r="C13" s="350" t="s">
        <v>78</v>
      </c>
      <c r="D13" s="346" t="s">
        <v>796</v>
      </c>
      <c r="E13" s="347" t="s">
        <v>45</v>
      </c>
      <c r="F13" s="348">
        <f>COUNTIF('📅 ASISTENCIA'!G$39:G$68, "Presente") + COUNTIF('📅 ASISTENCIA'!G$39:G$68, "Tardanza")</f>
        <v>8</v>
      </c>
      <c r="G13" s="348">
        <f>COUNTIF('📅 ASISTENCIA'!G$39:G$68, "Presente")*10 + COUNTIF('📅 ASISTENCIA'!G$39:G$68, "Tardanza")*5</f>
        <v>80</v>
      </c>
      <c r="H13" s="349">
        <f>IF(F13=0, 0, COUNTIFS('🔧 OT'!G:G, "Grupo 2", '🔧 OT'!N:N, "Finalizada OK") * 20)</f>
        <v>1140</v>
      </c>
      <c r="I13" s="339">
        <f>COUNTIFS('🏫 TERRITORIO'!$K:$K,B13,'🏫 TERRITORIO'!$L:$L,"Finalizada OK")*20</f>
        <v>0</v>
      </c>
      <c r="J13" s="337">
        <f>COUNTIFS('🏫 TERRITORIO'!$J:$J,C13,'🏫 TERRITORIO'!$L:$L,"Finalizada OK")*15</f>
        <v>165</v>
      </c>
      <c r="K13" s="339">
        <v>9.0</v>
      </c>
      <c r="L13" s="341">
        <f t="shared" si="1"/>
        <v>1394</v>
      </c>
      <c r="M13" s="342" t="str">
        <f t="shared" si="2"/>
        <v>🧙‍♂️ Técnico de Élite (Master)</v>
      </c>
      <c r="N13" s="14"/>
      <c r="O13" s="14"/>
      <c r="P13" s="14"/>
    </row>
    <row r="14" ht="15.0" customHeight="1">
      <c r="A14" s="343">
        <v>11.0</v>
      </c>
      <c r="B14" s="344" t="s">
        <v>111</v>
      </c>
      <c r="C14" s="350" t="s">
        <v>78</v>
      </c>
      <c r="D14" s="346" t="s">
        <v>796</v>
      </c>
      <c r="E14" s="347" t="s">
        <v>57</v>
      </c>
      <c r="F14" s="348">
        <f>COUNTIF('📅 ASISTENCIA'!H$39:H$68, "Presente") + COUNTIF('📅 ASISTENCIA'!H$39:H$68, "Tardanza")</f>
        <v>11</v>
      </c>
      <c r="G14" s="348">
        <f>COUNTIF('📅 ASISTENCIA'!H$39:H$68, "Presente")*10 + COUNTIF('📅 ASISTENCIA'!H$39:H$68, "Tardanza")*5</f>
        <v>110</v>
      </c>
      <c r="H14" s="349">
        <f>IF(F14=0, 0, COUNTIFS('🔧 OT'!G:G, "Grupo 2", '🔧 OT'!N:N, "Finalizada OK") * 20)</f>
        <v>1140</v>
      </c>
      <c r="I14" s="339">
        <f>COUNTIFS('🏫 TERRITORIO'!$K:$K,B14,'🏫 TERRITORIO'!$L:$L,"Finalizada OK")*20</f>
        <v>80</v>
      </c>
      <c r="J14" s="337">
        <f>COUNTIFS('🏫 TERRITORIO'!$J:$J,C14,'🏫 TERRITORIO'!$L:$L,"Finalizada OK")*15</f>
        <v>165</v>
      </c>
      <c r="K14" s="340">
        <v>10.0</v>
      </c>
      <c r="L14" s="341">
        <f t="shared" si="1"/>
        <v>1505</v>
      </c>
      <c r="M14" s="342" t="str">
        <f t="shared" si="2"/>
        <v>🧙‍♂️ Técnico de Élite (Master)</v>
      </c>
      <c r="N14" s="14"/>
      <c r="O14" s="14"/>
      <c r="P14" s="14"/>
    </row>
    <row r="15" ht="15.0" customHeight="1">
      <c r="A15" s="343">
        <v>12.0</v>
      </c>
      <c r="B15" s="344" t="s">
        <v>165</v>
      </c>
      <c r="C15" s="350" t="s">
        <v>78</v>
      </c>
      <c r="D15" s="346" t="s">
        <v>796</v>
      </c>
      <c r="E15" s="347" t="s">
        <v>575</v>
      </c>
      <c r="F15" s="348">
        <f>COUNTIF('📅 ASISTENCIA'!I$39:I$68, "Presente") + COUNTIF('📅 ASISTENCIA'!I$39:I$68, "Tardanza")</f>
        <v>8</v>
      </c>
      <c r="G15" s="348">
        <f>COUNTIF('📅 ASISTENCIA'!I$39:I$68, "Presente")*10 + COUNTIF('📅 ASISTENCIA'!I$39:I$68, "Tardanza")*5</f>
        <v>80</v>
      </c>
      <c r="H15" s="349">
        <f>IF(F15=0, 0, COUNTIFS('🔧 OT'!G:G, "Grupo 2", '🔧 OT'!N:N, "Finalizada OK") * 20)</f>
        <v>1140</v>
      </c>
      <c r="I15" s="339">
        <f>COUNTIFS('🏫 TERRITORIO'!$K:$K,B15,'🏫 TERRITORIO'!$L:$L,"Finalizada OK")*20</f>
        <v>0</v>
      </c>
      <c r="J15" s="337">
        <f>COUNTIFS('🏫 TERRITORIO'!$J:$J,C15,'🏫 TERRITORIO'!$L:$L,"Finalizada OK")*15</f>
        <v>165</v>
      </c>
      <c r="K15" s="340">
        <v>10.0</v>
      </c>
      <c r="L15" s="341">
        <f t="shared" si="1"/>
        <v>1395</v>
      </c>
      <c r="M15" s="342" t="str">
        <f t="shared" si="2"/>
        <v>🧙‍♂️ Técnico de Élite (Master)</v>
      </c>
      <c r="N15" s="14"/>
      <c r="O15" s="14"/>
      <c r="P15" s="14"/>
    </row>
    <row r="16" ht="15.0" customHeight="1">
      <c r="A16" s="151"/>
      <c r="B16" s="14"/>
      <c r="C16" s="151"/>
      <c r="D16" s="14"/>
      <c r="E16" s="10"/>
      <c r="F16" s="151"/>
      <c r="G16" s="151"/>
      <c r="H16" s="151"/>
      <c r="I16" s="151"/>
      <c r="J16" s="151"/>
      <c r="K16" s="151"/>
      <c r="L16" s="151"/>
      <c r="M16" s="14"/>
      <c r="N16" s="14"/>
      <c r="O16" s="14"/>
      <c r="P16" s="14"/>
    </row>
    <row r="17" ht="15.0" customHeight="1">
      <c r="A17" s="151"/>
      <c r="B17" s="14"/>
      <c r="C17" s="151"/>
      <c r="D17" s="14"/>
      <c r="E17" s="10"/>
      <c r="F17" s="151"/>
      <c r="G17" s="151"/>
      <c r="H17" s="151"/>
      <c r="I17" s="151"/>
      <c r="J17" s="151"/>
      <c r="K17" s="151"/>
      <c r="L17" s="151"/>
      <c r="M17" s="14"/>
      <c r="N17" s="14"/>
      <c r="O17" s="14"/>
      <c r="P17" s="14"/>
    </row>
    <row r="18" ht="15.0" customHeight="1">
      <c r="A18" s="151"/>
      <c r="B18" s="352">
        <f>SUMIF('🏅 RANKING'!C4:C15, "Grupo 1", '🏅 RANKING'!J4:J15) - (COUNTIF('📅 ASISTENCIA'!D6:I35, "Tardanza") * 3)</f>
        <v>-6</v>
      </c>
      <c r="C18" s="151"/>
      <c r="D18" s="14"/>
      <c r="E18" s="10"/>
      <c r="F18" s="151"/>
      <c r="G18" s="151"/>
      <c r="H18" s="151"/>
      <c r="I18" s="151"/>
      <c r="J18" s="151"/>
      <c r="K18" s="151"/>
      <c r="L18" s="151"/>
      <c r="M18" s="14"/>
      <c r="N18" s="14"/>
      <c r="O18" s="14"/>
      <c r="P18" s="14"/>
    </row>
    <row r="19" ht="15.0" customHeight="1">
      <c r="A19" s="151"/>
      <c r="B19" s="352">
        <f>SUMIF('🏅 RANKING'!C4:C15, "Grupo 2", '🏅 RANKING'!J4:J15) - (COUNTIF('📅 ASISTENCIA'!D39:I68, "Tardanza") * 3)</f>
        <v>987</v>
      </c>
      <c r="C19" s="151"/>
      <c r="D19" s="14"/>
      <c r="E19" s="10"/>
      <c r="F19" s="151"/>
      <c r="G19" s="151"/>
      <c r="H19" s="151"/>
      <c r="I19" s="151"/>
      <c r="J19" s="151"/>
      <c r="K19" s="151"/>
      <c r="L19" s="151"/>
      <c r="M19" s="14"/>
      <c r="N19" s="14"/>
      <c r="O19" s="14"/>
      <c r="P19" s="14"/>
    </row>
    <row r="20" ht="15.0" customHeight="1">
      <c r="A20" s="151"/>
      <c r="B20" s="353">
        <f>SUM(L4:L9)</f>
        <v>6590</v>
      </c>
      <c r="C20" s="151"/>
      <c r="D20" s="14"/>
      <c r="E20" s="10"/>
      <c r="F20" s="151"/>
      <c r="G20" s="151"/>
      <c r="H20" s="151"/>
      <c r="I20" s="151"/>
      <c r="J20" s="151"/>
      <c r="K20" s="151"/>
      <c r="L20" s="151"/>
      <c r="M20" s="14"/>
      <c r="N20" s="14"/>
      <c r="O20" s="14"/>
      <c r="P20" s="14"/>
    </row>
    <row r="21" ht="15.0" customHeight="1">
      <c r="A21" s="151"/>
      <c r="B21" s="353">
        <f>SUM(L10:L15)</f>
        <v>8593</v>
      </c>
      <c r="C21" s="151"/>
      <c r="D21" s="14"/>
      <c r="E21" s="10"/>
      <c r="F21" s="151"/>
      <c r="G21" s="151"/>
      <c r="H21" s="151"/>
      <c r="I21" s="151"/>
      <c r="J21" s="151"/>
      <c r="K21" s="151"/>
      <c r="L21" s="151"/>
      <c r="M21" s="14"/>
      <c r="N21" s="14"/>
      <c r="O21" s="14"/>
      <c r="P21" s="14"/>
    </row>
    <row r="22" ht="15.0" customHeight="1">
      <c r="A22" s="151"/>
      <c r="B22" s="14"/>
      <c r="C22" s="151"/>
      <c r="D22" s="14"/>
      <c r="E22" s="10"/>
      <c r="F22" s="151"/>
      <c r="G22" s="151"/>
      <c r="H22" s="151"/>
      <c r="I22" s="151"/>
      <c r="J22" s="151"/>
      <c r="K22" s="151"/>
      <c r="L22" s="151"/>
      <c r="M22" s="14"/>
      <c r="N22" s="14"/>
      <c r="O22" s="14"/>
      <c r="P22" s="14"/>
    </row>
    <row r="23" ht="15.0" customHeight="1">
      <c r="A23" s="151"/>
      <c r="B23" s="14"/>
      <c r="C23" s="151"/>
      <c r="D23" s="14"/>
      <c r="E23" s="10"/>
      <c r="F23" s="151"/>
      <c r="G23" s="151"/>
      <c r="H23" s="151"/>
      <c r="I23" s="151"/>
      <c r="J23" s="151"/>
      <c r="K23" s="151"/>
      <c r="L23" s="151"/>
      <c r="M23" s="14"/>
      <c r="N23" s="14"/>
      <c r="O23" s="14"/>
      <c r="P23" s="14"/>
    </row>
    <row r="24" ht="15.0" customHeight="1">
      <c r="A24" s="151"/>
      <c r="B24" s="14"/>
      <c r="C24" s="151"/>
      <c r="D24" s="14"/>
      <c r="E24" s="10"/>
      <c r="F24" s="151"/>
      <c r="G24" s="151"/>
      <c r="H24" s="151"/>
      <c r="I24" s="151"/>
      <c r="J24" s="151"/>
      <c r="K24" s="151"/>
      <c r="L24" s="151"/>
      <c r="M24" s="14"/>
      <c r="N24" s="14"/>
      <c r="O24" s="14"/>
      <c r="P24" s="14"/>
    </row>
    <row r="25" ht="15.0" customHeight="1">
      <c r="A25" s="151"/>
      <c r="B25" s="14"/>
      <c r="C25" s="151"/>
      <c r="D25" s="14"/>
      <c r="E25" s="10"/>
      <c r="F25" s="151"/>
      <c r="G25" s="151"/>
      <c r="H25" s="151"/>
      <c r="I25" s="151"/>
      <c r="J25" s="151"/>
      <c r="K25" s="151"/>
      <c r="L25" s="151"/>
      <c r="M25" s="14"/>
      <c r="N25" s="14"/>
      <c r="O25" s="14"/>
      <c r="P25" s="14"/>
    </row>
    <row r="26" ht="15.0" customHeight="1">
      <c r="A26" s="151"/>
      <c r="B26" s="14"/>
      <c r="C26" s="151"/>
      <c r="D26" s="14"/>
      <c r="E26" s="10"/>
      <c r="F26" s="151"/>
      <c r="G26" s="151"/>
      <c r="H26" s="151"/>
      <c r="I26" s="151"/>
      <c r="J26" s="151"/>
      <c r="K26" s="151"/>
      <c r="L26" s="151"/>
      <c r="M26" s="14"/>
      <c r="N26" s="14"/>
      <c r="O26" s="14"/>
      <c r="P26" s="14"/>
    </row>
    <row r="27" ht="15.0" customHeight="1">
      <c r="A27" s="151"/>
      <c r="B27" s="14"/>
      <c r="C27" s="151"/>
      <c r="D27" s="14"/>
      <c r="E27" s="10"/>
      <c r="F27" s="151"/>
      <c r="G27" s="151"/>
      <c r="H27" s="151"/>
      <c r="I27" s="151"/>
      <c r="J27" s="151"/>
      <c r="K27" s="151"/>
      <c r="L27" s="151"/>
      <c r="M27" s="14"/>
      <c r="N27" s="14"/>
      <c r="O27" s="14"/>
      <c r="P27" s="14"/>
    </row>
    <row r="28" ht="15.0" customHeight="1">
      <c r="A28" s="151"/>
      <c r="B28" s="14"/>
      <c r="C28" s="151"/>
      <c r="D28" s="14"/>
      <c r="E28" s="10"/>
      <c r="F28" s="151"/>
      <c r="G28" s="151"/>
      <c r="H28" s="151"/>
      <c r="I28" s="151"/>
      <c r="J28" s="151"/>
      <c r="K28" s="151"/>
      <c r="L28" s="151"/>
      <c r="M28" s="14"/>
      <c r="N28" s="14"/>
      <c r="O28" s="14"/>
      <c r="P28" s="14"/>
    </row>
    <row r="29" ht="15.0" customHeight="1">
      <c r="A29" s="151"/>
      <c r="B29" s="14"/>
      <c r="C29" s="151"/>
      <c r="D29" s="14"/>
      <c r="E29" s="10"/>
      <c r="F29" s="151"/>
      <c r="G29" s="151"/>
      <c r="H29" s="151"/>
      <c r="I29" s="151"/>
      <c r="J29" s="151"/>
      <c r="K29" s="151"/>
      <c r="L29" s="151"/>
      <c r="M29" s="14"/>
      <c r="N29" s="14"/>
      <c r="O29" s="14"/>
      <c r="P29" s="14"/>
    </row>
    <row r="30" ht="15.0" customHeight="1">
      <c r="A30" s="151"/>
      <c r="B30" s="14"/>
      <c r="C30" s="151"/>
      <c r="D30" s="14"/>
      <c r="E30" s="10"/>
      <c r="F30" s="151"/>
      <c r="G30" s="151"/>
      <c r="H30" s="151"/>
      <c r="I30" s="151"/>
      <c r="J30" s="151"/>
      <c r="K30" s="151"/>
      <c r="L30" s="151"/>
      <c r="M30" s="14"/>
      <c r="N30" s="14"/>
      <c r="O30" s="14"/>
      <c r="P30" s="14"/>
    </row>
    <row r="31" ht="15.0" customHeight="1">
      <c r="A31" s="151"/>
      <c r="B31" s="14"/>
      <c r="C31" s="151"/>
      <c r="D31" s="14"/>
      <c r="E31" s="10"/>
      <c r="F31" s="151"/>
      <c r="G31" s="151"/>
      <c r="H31" s="151"/>
      <c r="I31" s="151"/>
      <c r="J31" s="151"/>
      <c r="K31" s="151"/>
      <c r="L31" s="151"/>
      <c r="M31" s="14"/>
      <c r="N31" s="14"/>
      <c r="O31" s="14"/>
      <c r="P31" s="14"/>
    </row>
    <row r="32" ht="15.0" customHeight="1">
      <c r="A32" s="151"/>
      <c r="B32" s="14"/>
      <c r="C32" s="151"/>
      <c r="D32" s="14"/>
      <c r="E32" s="10"/>
      <c r="F32" s="151"/>
      <c r="G32" s="151"/>
      <c r="H32" s="151"/>
      <c r="I32" s="151"/>
      <c r="J32" s="151"/>
      <c r="K32" s="151"/>
      <c r="L32" s="151"/>
      <c r="M32" s="14"/>
      <c r="N32" s="14"/>
      <c r="O32" s="14"/>
      <c r="P32" s="14"/>
    </row>
    <row r="33" ht="15.0" customHeight="1">
      <c r="A33" s="151"/>
      <c r="B33" s="14"/>
      <c r="C33" s="151"/>
      <c r="D33" s="14"/>
      <c r="E33" s="10"/>
      <c r="F33" s="151"/>
      <c r="G33" s="151"/>
      <c r="H33" s="151"/>
      <c r="I33" s="151"/>
      <c r="J33" s="151"/>
      <c r="K33" s="151"/>
      <c r="L33" s="151"/>
      <c r="M33" s="14"/>
      <c r="N33" s="14"/>
      <c r="O33" s="14"/>
      <c r="P33" s="14"/>
    </row>
    <row r="34" ht="15.0" customHeight="1">
      <c r="A34" s="151"/>
      <c r="B34" s="14"/>
      <c r="C34" s="151"/>
      <c r="D34" s="14"/>
      <c r="E34" s="10"/>
      <c r="F34" s="151"/>
      <c r="G34" s="151"/>
      <c r="H34" s="151"/>
      <c r="I34" s="151"/>
      <c r="J34" s="151"/>
      <c r="K34" s="151"/>
      <c r="L34" s="151"/>
      <c r="M34" s="14"/>
      <c r="N34" s="14"/>
      <c r="O34" s="14"/>
      <c r="P34" s="14"/>
    </row>
    <row r="35" ht="15.0" customHeight="1">
      <c r="A35" s="151"/>
      <c r="B35" s="14"/>
      <c r="C35" s="151"/>
      <c r="D35" s="14"/>
      <c r="E35" s="10"/>
      <c r="F35" s="151"/>
      <c r="G35" s="151"/>
      <c r="H35" s="151"/>
      <c r="I35" s="151"/>
      <c r="J35" s="151"/>
      <c r="K35" s="151"/>
      <c r="L35" s="151"/>
      <c r="M35" s="14"/>
      <c r="N35" s="14"/>
      <c r="O35" s="14"/>
      <c r="P35" s="14"/>
    </row>
    <row r="36" ht="15.0" customHeight="1">
      <c r="A36" s="151"/>
      <c r="B36" s="14"/>
      <c r="C36" s="151"/>
      <c r="D36" s="14"/>
      <c r="E36" s="10"/>
      <c r="F36" s="151"/>
      <c r="G36" s="151"/>
      <c r="H36" s="151"/>
      <c r="I36" s="151"/>
      <c r="J36" s="151"/>
      <c r="K36" s="151"/>
      <c r="L36" s="151"/>
      <c r="M36" s="14"/>
      <c r="N36" s="14"/>
      <c r="O36" s="14"/>
      <c r="P36" s="14"/>
    </row>
    <row r="37" ht="15.0" customHeight="1">
      <c r="A37" s="151"/>
      <c r="B37" s="14"/>
      <c r="C37" s="151"/>
      <c r="D37" s="14"/>
      <c r="E37" s="10"/>
      <c r="F37" s="151"/>
      <c r="G37" s="151"/>
      <c r="H37" s="151"/>
      <c r="I37" s="151"/>
      <c r="J37" s="151"/>
      <c r="K37" s="151"/>
      <c r="L37" s="151"/>
      <c r="M37" s="14"/>
      <c r="N37" s="14"/>
      <c r="O37" s="14"/>
      <c r="P37" s="14"/>
    </row>
    <row r="38" ht="15.0" customHeight="1">
      <c r="A38" s="151"/>
      <c r="B38" s="14"/>
      <c r="C38" s="151"/>
      <c r="D38" s="14"/>
      <c r="E38" s="10"/>
      <c r="F38" s="151"/>
      <c r="G38" s="151"/>
      <c r="H38" s="151"/>
      <c r="I38" s="151"/>
      <c r="J38" s="151"/>
      <c r="K38" s="151"/>
      <c r="L38" s="151"/>
      <c r="M38" s="14"/>
      <c r="N38" s="14"/>
      <c r="O38" s="14"/>
      <c r="P38" s="14"/>
    </row>
    <row r="39" ht="15.0" customHeight="1">
      <c r="A39" s="151"/>
      <c r="B39" s="14"/>
      <c r="C39" s="151"/>
      <c r="D39" s="14"/>
      <c r="E39" s="10"/>
      <c r="F39" s="151"/>
      <c r="G39" s="151"/>
      <c r="H39" s="151"/>
      <c r="I39" s="151"/>
      <c r="J39" s="151"/>
      <c r="K39" s="151"/>
      <c r="L39" s="151"/>
      <c r="M39" s="14"/>
      <c r="N39" s="14"/>
      <c r="O39" s="14"/>
      <c r="P39" s="14"/>
    </row>
    <row r="40" ht="15.0" customHeight="1">
      <c r="A40" s="151"/>
      <c r="B40" s="14"/>
      <c r="C40" s="151"/>
      <c r="D40" s="14"/>
      <c r="E40" s="10"/>
      <c r="F40" s="151"/>
      <c r="G40" s="151"/>
      <c r="H40" s="151"/>
      <c r="I40" s="151"/>
      <c r="J40" s="151"/>
      <c r="K40" s="151"/>
      <c r="L40" s="151"/>
      <c r="M40" s="14"/>
      <c r="N40" s="14"/>
      <c r="O40" s="14"/>
      <c r="P40" s="14"/>
    </row>
    <row r="41" ht="15.0" customHeight="1">
      <c r="A41" s="151"/>
      <c r="B41" s="14"/>
      <c r="C41" s="151"/>
      <c r="D41" s="14"/>
      <c r="E41" s="10"/>
      <c r="F41" s="151"/>
      <c r="G41" s="151"/>
      <c r="H41" s="151"/>
      <c r="I41" s="151"/>
      <c r="J41" s="151"/>
      <c r="K41" s="151"/>
      <c r="L41" s="151"/>
      <c r="M41" s="14"/>
      <c r="N41" s="14"/>
      <c r="O41" s="14"/>
      <c r="P41" s="14"/>
    </row>
    <row r="42" ht="15.0" customHeight="1">
      <c r="A42" s="151"/>
      <c r="B42" s="14"/>
      <c r="C42" s="151"/>
      <c r="D42" s="14"/>
      <c r="E42" s="10"/>
      <c r="F42" s="151"/>
      <c r="G42" s="151"/>
      <c r="H42" s="151"/>
      <c r="I42" s="151"/>
      <c r="J42" s="151"/>
      <c r="K42" s="151"/>
      <c r="L42" s="151"/>
      <c r="M42" s="14"/>
      <c r="N42" s="14"/>
      <c r="O42" s="14"/>
      <c r="P42" s="14"/>
    </row>
    <row r="43" ht="15.0" customHeight="1">
      <c r="A43" s="151"/>
      <c r="B43" s="14"/>
      <c r="C43" s="151"/>
      <c r="D43" s="14"/>
      <c r="E43" s="10"/>
      <c r="F43" s="151"/>
      <c r="G43" s="151"/>
      <c r="H43" s="151"/>
      <c r="I43" s="151"/>
      <c r="J43" s="151"/>
      <c r="K43" s="151"/>
      <c r="L43" s="151"/>
      <c r="M43" s="14"/>
      <c r="N43" s="14"/>
      <c r="O43" s="14"/>
      <c r="P43" s="14"/>
    </row>
    <row r="44" ht="15.0" customHeight="1">
      <c r="A44" s="151"/>
      <c r="B44" s="14"/>
      <c r="C44" s="151"/>
      <c r="D44" s="14"/>
      <c r="E44" s="10"/>
      <c r="F44" s="151"/>
      <c r="G44" s="151"/>
      <c r="H44" s="151"/>
      <c r="I44" s="151"/>
      <c r="J44" s="151"/>
      <c r="K44" s="151"/>
      <c r="L44" s="151"/>
      <c r="M44" s="14"/>
      <c r="N44" s="14"/>
      <c r="O44" s="14"/>
      <c r="P44" s="14"/>
    </row>
    <row r="45" ht="15.0" customHeight="1">
      <c r="A45" s="151"/>
      <c r="B45" s="14"/>
      <c r="C45" s="151"/>
      <c r="D45" s="14"/>
      <c r="E45" s="10"/>
      <c r="F45" s="151"/>
      <c r="G45" s="151"/>
      <c r="H45" s="151"/>
      <c r="I45" s="151"/>
      <c r="J45" s="151"/>
      <c r="K45" s="151"/>
      <c r="L45" s="151"/>
      <c r="M45" s="14"/>
      <c r="N45" s="14"/>
      <c r="O45" s="14"/>
      <c r="P45" s="14"/>
    </row>
    <row r="46" ht="15.0" customHeight="1">
      <c r="A46" s="151"/>
      <c r="B46" s="14"/>
      <c r="C46" s="151"/>
      <c r="D46" s="14"/>
      <c r="E46" s="10"/>
      <c r="F46" s="151"/>
      <c r="G46" s="151"/>
      <c r="H46" s="151"/>
      <c r="I46" s="151"/>
      <c r="J46" s="151"/>
      <c r="K46" s="151"/>
      <c r="L46" s="151"/>
      <c r="M46" s="14"/>
      <c r="N46" s="14"/>
      <c r="O46" s="14"/>
      <c r="P46" s="14"/>
    </row>
    <row r="47" ht="15.0" customHeight="1">
      <c r="A47" s="151"/>
      <c r="B47" s="14"/>
      <c r="C47" s="151"/>
      <c r="D47" s="14"/>
      <c r="E47" s="10"/>
      <c r="F47" s="151"/>
      <c r="G47" s="151"/>
      <c r="H47" s="151"/>
      <c r="I47" s="151"/>
      <c r="J47" s="151"/>
      <c r="K47" s="151"/>
      <c r="L47" s="151"/>
      <c r="M47" s="14"/>
      <c r="N47" s="14"/>
      <c r="O47" s="14"/>
      <c r="P47" s="14"/>
    </row>
    <row r="48" ht="15.0" customHeight="1">
      <c r="A48" s="151"/>
      <c r="B48" s="14"/>
      <c r="C48" s="151"/>
      <c r="D48" s="14"/>
      <c r="E48" s="10"/>
      <c r="F48" s="151"/>
      <c r="G48" s="151"/>
      <c r="H48" s="151"/>
      <c r="I48" s="151"/>
      <c r="J48" s="151"/>
      <c r="K48" s="151"/>
      <c r="L48" s="151"/>
      <c r="M48" s="14"/>
      <c r="N48" s="14"/>
      <c r="O48" s="14"/>
      <c r="P48" s="14"/>
    </row>
    <row r="49" ht="15.0" customHeight="1">
      <c r="A49" s="151"/>
      <c r="B49" s="14"/>
      <c r="C49" s="151"/>
      <c r="D49" s="14"/>
      <c r="E49" s="10"/>
      <c r="F49" s="151"/>
      <c r="G49" s="151"/>
      <c r="H49" s="151"/>
      <c r="I49" s="151"/>
      <c r="J49" s="151"/>
      <c r="K49" s="151"/>
      <c r="L49" s="151"/>
      <c r="M49" s="14"/>
      <c r="N49" s="14"/>
      <c r="O49" s="14"/>
      <c r="P49" s="14"/>
    </row>
    <row r="50" ht="15.0" customHeight="1">
      <c r="A50" s="151"/>
      <c r="B50" s="14"/>
      <c r="C50" s="151"/>
      <c r="D50" s="14"/>
      <c r="E50" s="10"/>
      <c r="F50" s="151"/>
      <c r="G50" s="151"/>
      <c r="H50" s="151"/>
      <c r="I50" s="151"/>
      <c r="J50" s="151"/>
      <c r="K50" s="151"/>
      <c r="L50" s="151"/>
      <c r="M50" s="14"/>
      <c r="N50" s="14"/>
      <c r="O50" s="14"/>
      <c r="P50" s="14"/>
    </row>
    <row r="51" ht="15.0" customHeight="1">
      <c r="A51" s="151"/>
      <c r="B51" s="14"/>
      <c r="C51" s="151"/>
      <c r="D51" s="14"/>
      <c r="E51" s="10"/>
      <c r="F51" s="151"/>
      <c r="G51" s="151"/>
      <c r="H51" s="151"/>
      <c r="I51" s="151"/>
      <c r="J51" s="151"/>
      <c r="K51" s="151"/>
      <c r="L51" s="151"/>
      <c r="M51" s="14"/>
      <c r="N51" s="14"/>
      <c r="O51" s="14"/>
      <c r="P51" s="14"/>
    </row>
    <row r="52" ht="15.0" customHeight="1">
      <c r="A52" s="151"/>
      <c r="B52" s="14"/>
      <c r="C52" s="151"/>
      <c r="D52" s="14"/>
      <c r="E52" s="10"/>
      <c r="F52" s="151"/>
      <c r="G52" s="151"/>
      <c r="H52" s="151"/>
      <c r="I52" s="151"/>
      <c r="J52" s="151"/>
      <c r="K52" s="151"/>
      <c r="L52" s="151"/>
      <c r="M52" s="14"/>
      <c r="N52" s="14"/>
      <c r="O52" s="14"/>
      <c r="P52" s="14"/>
    </row>
    <row r="53" ht="15.0" customHeight="1">
      <c r="A53" s="151"/>
      <c r="B53" s="14"/>
      <c r="C53" s="151"/>
      <c r="D53" s="14"/>
      <c r="E53" s="10"/>
      <c r="F53" s="151"/>
      <c r="G53" s="151"/>
      <c r="H53" s="151"/>
      <c r="I53" s="151"/>
      <c r="J53" s="151"/>
      <c r="K53" s="151"/>
      <c r="L53" s="151"/>
      <c r="M53" s="14"/>
      <c r="N53" s="14"/>
      <c r="O53" s="14"/>
      <c r="P53" s="14"/>
    </row>
    <row r="54" ht="15.0" customHeight="1">
      <c r="A54" s="151"/>
      <c r="B54" s="14"/>
      <c r="C54" s="151"/>
      <c r="D54" s="14"/>
      <c r="E54" s="10"/>
      <c r="F54" s="151"/>
      <c r="G54" s="151"/>
      <c r="H54" s="151"/>
      <c r="I54" s="151"/>
      <c r="J54" s="151"/>
      <c r="K54" s="151"/>
      <c r="L54" s="151"/>
      <c r="M54" s="14"/>
      <c r="N54" s="14"/>
      <c r="O54" s="14"/>
      <c r="P54" s="14"/>
    </row>
    <row r="55" ht="15.0" customHeight="1">
      <c r="A55" s="151"/>
      <c r="B55" s="14"/>
      <c r="C55" s="151"/>
      <c r="D55" s="14"/>
      <c r="E55" s="10"/>
      <c r="F55" s="151"/>
      <c r="G55" s="151"/>
      <c r="H55" s="151"/>
      <c r="I55" s="151"/>
      <c r="J55" s="151"/>
      <c r="K55" s="151"/>
      <c r="L55" s="151"/>
      <c r="M55" s="14"/>
      <c r="N55" s="14"/>
      <c r="O55" s="14"/>
      <c r="P55" s="14"/>
    </row>
    <row r="56" ht="15.0" customHeight="1">
      <c r="A56" s="151"/>
      <c r="B56" s="14"/>
      <c r="C56" s="151"/>
      <c r="D56" s="14"/>
      <c r="E56" s="10"/>
      <c r="F56" s="151"/>
      <c r="G56" s="151"/>
      <c r="H56" s="151"/>
      <c r="I56" s="151"/>
      <c r="J56" s="151"/>
      <c r="K56" s="151"/>
      <c r="L56" s="151"/>
      <c r="M56" s="14"/>
      <c r="N56" s="14"/>
      <c r="O56" s="14"/>
      <c r="P56" s="14"/>
    </row>
    <row r="57" ht="15.0" customHeight="1">
      <c r="A57" s="151"/>
      <c r="B57" s="14"/>
      <c r="C57" s="151"/>
      <c r="D57" s="14"/>
      <c r="E57" s="10"/>
      <c r="F57" s="151"/>
      <c r="G57" s="151"/>
      <c r="H57" s="151"/>
      <c r="I57" s="151"/>
      <c r="J57" s="151"/>
      <c r="K57" s="151"/>
      <c r="L57" s="151"/>
      <c r="M57" s="14"/>
      <c r="N57" s="14"/>
      <c r="O57" s="14"/>
      <c r="P57" s="14"/>
    </row>
    <row r="58" ht="15.0" customHeight="1">
      <c r="A58" s="151"/>
      <c r="B58" s="14"/>
      <c r="C58" s="151"/>
      <c r="D58" s="14"/>
      <c r="E58" s="10"/>
      <c r="F58" s="151"/>
      <c r="G58" s="151"/>
      <c r="H58" s="151"/>
      <c r="I58" s="151"/>
      <c r="J58" s="151"/>
      <c r="K58" s="151"/>
      <c r="L58" s="151"/>
      <c r="M58" s="14"/>
      <c r="N58" s="14"/>
      <c r="O58" s="14"/>
      <c r="P58" s="14"/>
    </row>
    <row r="59" ht="15.0" customHeight="1">
      <c r="A59" s="151"/>
      <c r="B59" s="14"/>
      <c r="C59" s="151"/>
      <c r="D59" s="14"/>
      <c r="E59" s="10"/>
      <c r="F59" s="151"/>
      <c r="G59" s="151"/>
      <c r="H59" s="151"/>
      <c r="I59" s="151"/>
      <c r="J59" s="151"/>
      <c r="K59" s="151"/>
      <c r="L59" s="151"/>
      <c r="M59" s="14"/>
      <c r="N59" s="14"/>
      <c r="O59" s="14"/>
      <c r="P59" s="14"/>
    </row>
    <row r="60" ht="15.0" customHeight="1">
      <c r="A60" s="151"/>
      <c r="B60" s="14"/>
      <c r="C60" s="151"/>
      <c r="D60" s="14"/>
      <c r="E60" s="10"/>
      <c r="F60" s="151"/>
      <c r="G60" s="151"/>
      <c r="H60" s="151"/>
      <c r="I60" s="151"/>
      <c r="J60" s="151"/>
      <c r="K60" s="151"/>
      <c r="L60" s="151"/>
      <c r="M60" s="14"/>
      <c r="N60" s="14"/>
      <c r="O60" s="14"/>
      <c r="P60" s="14"/>
    </row>
    <row r="61" ht="15.0" customHeight="1">
      <c r="A61" s="151"/>
      <c r="B61" s="14"/>
      <c r="C61" s="151"/>
      <c r="D61" s="14"/>
      <c r="E61" s="10"/>
      <c r="F61" s="151"/>
      <c r="G61" s="151"/>
      <c r="H61" s="151"/>
      <c r="I61" s="151"/>
      <c r="J61" s="151"/>
      <c r="K61" s="151"/>
      <c r="L61" s="151"/>
      <c r="M61" s="14"/>
      <c r="N61" s="14"/>
      <c r="O61" s="14"/>
      <c r="P61" s="14"/>
    </row>
    <row r="62" ht="15.0" customHeight="1">
      <c r="A62" s="151"/>
      <c r="B62" s="14"/>
      <c r="C62" s="151"/>
      <c r="D62" s="14"/>
      <c r="E62" s="10"/>
      <c r="F62" s="151"/>
      <c r="G62" s="151"/>
      <c r="H62" s="151"/>
      <c r="I62" s="151"/>
      <c r="J62" s="151"/>
      <c r="K62" s="151"/>
      <c r="L62" s="151"/>
      <c r="M62" s="14"/>
      <c r="N62" s="14"/>
      <c r="O62" s="14"/>
      <c r="P62" s="14"/>
    </row>
    <row r="63" ht="15.0" customHeight="1">
      <c r="A63" s="151"/>
      <c r="B63" s="14"/>
      <c r="C63" s="151"/>
      <c r="D63" s="14"/>
      <c r="E63" s="10"/>
      <c r="F63" s="151"/>
      <c r="G63" s="151"/>
      <c r="H63" s="151"/>
      <c r="I63" s="151"/>
      <c r="J63" s="151"/>
      <c r="K63" s="151"/>
      <c r="L63" s="151"/>
      <c r="M63" s="14"/>
      <c r="N63" s="14"/>
      <c r="O63" s="14"/>
      <c r="P63" s="14"/>
    </row>
    <row r="64" ht="15.0" customHeight="1">
      <c r="A64" s="151"/>
      <c r="B64" s="14"/>
      <c r="C64" s="151"/>
      <c r="D64" s="14"/>
      <c r="E64" s="10"/>
      <c r="F64" s="151"/>
      <c r="G64" s="151"/>
      <c r="H64" s="151"/>
      <c r="I64" s="151"/>
      <c r="J64" s="151"/>
      <c r="K64" s="151"/>
      <c r="L64" s="151"/>
      <c r="M64" s="14"/>
      <c r="N64" s="14"/>
      <c r="O64" s="14"/>
      <c r="P64" s="14"/>
    </row>
    <row r="65" ht="15.0" customHeight="1">
      <c r="A65" s="151"/>
      <c r="B65" s="14"/>
      <c r="C65" s="151"/>
      <c r="D65" s="14"/>
      <c r="E65" s="10"/>
      <c r="F65" s="151"/>
      <c r="G65" s="151"/>
      <c r="H65" s="151"/>
      <c r="I65" s="151"/>
      <c r="J65" s="151"/>
      <c r="K65" s="151"/>
      <c r="L65" s="151"/>
      <c r="M65" s="14"/>
      <c r="N65" s="14"/>
      <c r="O65" s="14"/>
      <c r="P65" s="14"/>
    </row>
    <row r="66" ht="15.0" customHeight="1">
      <c r="A66" s="151"/>
      <c r="B66" s="14"/>
      <c r="C66" s="151"/>
      <c r="D66" s="14"/>
      <c r="E66" s="10"/>
      <c r="F66" s="151"/>
      <c r="G66" s="151"/>
      <c r="H66" s="151"/>
      <c r="I66" s="151"/>
      <c r="J66" s="151"/>
      <c r="K66" s="151"/>
      <c r="L66" s="151"/>
      <c r="M66" s="14"/>
      <c r="N66" s="14"/>
      <c r="O66" s="14"/>
      <c r="P66" s="14"/>
    </row>
    <row r="67" ht="15.0" customHeight="1">
      <c r="A67" s="151"/>
      <c r="B67" s="14"/>
      <c r="C67" s="151"/>
      <c r="D67" s="14"/>
      <c r="E67" s="10"/>
      <c r="F67" s="151"/>
      <c r="G67" s="151"/>
      <c r="H67" s="151"/>
      <c r="I67" s="151"/>
      <c r="J67" s="151"/>
      <c r="K67" s="151"/>
      <c r="L67" s="151"/>
      <c r="M67" s="14"/>
      <c r="N67" s="14"/>
      <c r="O67" s="14"/>
      <c r="P67" s="14"/>
    </row>
    <row r="68" ht="15.0" customHeight="1">
      <c r="A68" s="151"/>
      <c r="B68" s="14"/>
      <c r="C68" s="151"/>
      <c r="D68" s="14"/>
      <c r="E68" s="10"/>
      <c r="F68" s="151"/>
      <c r="G68" s="151"/>
      <c r="H68" s="151"/>
      <c r="I68" s="151"/>
      <c r="J68" s="151"/>
      <c r="K68" s="151"/>
      <c r="L68" s="151"/>
      <c r="M68" s="14"/>
      <c r="N68" s="14"/>
      <c r="O68" s="14"/>
      <c r="P68" s="14"/>
    </row>
    <row r="69" ht="15.0" customHeight="1">
      <c r="A69" s="151"/>
      <c r="B69" s="14"/>
      <c r="C69" s="151"/>
      <c r="D69" s="14"/>
      <c r="E69" s="10"/>
      <c r="F69" s="151"/>
      <c r="G69" s="151"/>
      <c r="H69" s="151"/>
      <c r="I69" s="151"/>
      <c r="J69" s="151"/>
      <c r="K69" s="151"/>
      <c r="L69" s="151"/>
      <c r="M69" s="14"/>
      <c r="N69" s="14"/>
      <c r="O69" s="14"/>
      <c r="P69" s="14"/>
    </row>
    <row r="70" ht="15.0" customHeight="1">
      <c r="A70" s="151"/>
      <c r="B70" s="14"/>
      <c r="C70" s="151"/>
      <c r="D70" s="14"/>
      <c r="E70" s="10"/>
      <c r="F70" s="151"/>
      <c r="G70" s="151"/>
      <c r="H70" s="151"/>
      <c r="I70" s="151"/>
      <c r="J70" s="151"/>
      <c r="K70" s="151"/>
      <c r="L70" s="151"/>
      <c r="M70" s="14"/>
      <c r="N70" s="14"/>
      <c r="O70" s="14"/>
      <c r="P70" s="14"/>
    </row>
    <row r="71" ht="15.0" customHeight="1">
      <c r="A71" s="151"/>
      <c r="B71" s="14"/>
      <c r="C71" s="151"/>
      <c r="D71" s="14"/>
      <c r="E71" s="10"/>
      <c r="F71" s="151"/>
      <c r="G71" s="151"/>
      <c r="H71" s="151"/>
      <c r="I71" s="151"/>
      <c r="J71" s="151"/>
      <c r="K71" s="151"/>
      <c r="L71" s="151"/>
      <c r="M71" s="14"/>
      <c r="N71" s="14"/>
      <c r="O71" s="14"/>
      <c r="P71" s="14"/>
    </row>
    <row r="72" ht="15.0" customHeight="1">
      <c r="A72" s="151"/>
      <c r="B72" s="14"/>
      <c r="C72" s="151"/>
      <c r="D72" s="14"/>
      <c r="E72" s="10"/>
      <c r="F72" s="151"/>
      <c r="G72" s="151"/>
      <c r="H72" s="151"/>
      <c r="I72" s="151"/>
      <c r="J72" s="151"/>
      <c r="K72" s="151"/>
      <c r="L72" s="151"/>
      <c r="M72" s="14"/>
      <c r="N72" s="14"/>
      <c r="O72" s="14"/>
      <c r="P72" s="14"/>
    </row>
    <row r="73" ht="15.0" customHeight="1">
      <c r="A73" s="151"/>
      <c r="B73" s="14"/>
      <c r="C73" s="151"/>
      <c r="D73" s="14"/>
      <c r="E73" s="10"/>
      <c r="F73" s="151"/>
      <c r="G73" s="151"/>
      <c r="H73" s="151"/>
      <c r="I73" s="151"/>
      <c r="J73" s="151"/>
      <c r="K73" s="151"/>
      <c r="L73" s="151"/>
      <c r="M73" s="14"/>
      <c r="N73" s="14"/>
      <c r="O73" s="14"/>
      <c r="P73" s="14"/>
    </row>
    <row r="74" ht="15.0" customHeight="1">
      <c r="A74" s="151"/>
      <c r="B74" s="14"/>
      <c r="C74" s="151"/>
      <c r="D74" s="14"/>
      <c r="E74" s="10"/>
      <c r="F74" s="151"/>
      <c r="G74" s="151"/>
      <c r="H74" s="151"/>
      <c r="I74" s="151"/>
      <c r="J74" s="151"/>
      <c r="K74" s="151"/>
      <c r="L74" s="151"/>
      <c r="M74" s="14"/>
      <c r="N74" s="14"/>
      <c r="O74" s="14"/>
      <c r="P74" s="14"/>
    </row>
    <row r="75" ht="15.0" customHeight="1">
      <c r="A75" s="151"/>
      <c r="B75" s="14"/>
      <c r="C75" s="151"/>
      <c r="D75" s="14"/>
      <c r="E75" s="10"/>
      <c r="F75" s="151"/>
      <c r="G75" s="151"/>
      <c r="H75" s="151"/>
      <c r="I75" s="151"/>
      <c r="J75" s="151"/>
      <c r="K75" s="151"/>
      <c r="L75" s="151"/>
      <c r="M75" s="14"/>
      <c r="N75" s="14"/>
      <c r="O75" s="14"/>
      <c r="P75" s="14"/>
    </row>
    <row r="76" ht="15.0" customHeight="1">
      <c r="A76" s="151"/>
      <c r="B76" s="14"/>
      <c r="C76" s="151"/>
      <c r="D76" s="14"/>
      <c r="E76" s="10"/>
      <c r="F76" s="151"/>
      <c r="G76" s="151"/>
      <c r="H76" s="151"/>
      <c r="I76" s="151"/>
      <c r="J76" s="151"/>
      <c r="K76" s="151"/>
      <c r="L76" s="151"/>
      <c r="M76" s="14"/>
      <c r="N76" s="14"/>
      <c r="O76" s="14"/>
      <c r="P76" s="14"/>
    </row>
    <row r="77" ht="15.0" customHeight="1">
      <c r="A77" s="151"/>
      <c r="B77" s="14"/>
      <c r="C77" s="151"/>
      <c r="D77" s="14"/>
      <c r="E77" s="10"/>
      <c r="F77" s="151"/>
      <c r="G77" s="151"/>
      <c r="H77" s="151"/>
      <c r="I77" s="151"/>
      <c r="J77" s="151"/>
      <c r="K77" s="151"/>
      <c r="L77" s="151"/>
      <c r="M77" s="14"/>
      <c r="N77" s="14"/>
      <c r="O77" s="14"/>
      <c r="P77" s="14"/>
    </row>
    <row r="78" ht="15.0" customHeight="1">
      <c r="A78" s="151"/>
      <c r="B78" s="14"/>
      <c r="C78" s="151"/>
      <c r="D78" s="14"/>
      <c r="E78" s="10"/>
      <c r="F78" s="151"/>
      <c r="G78" s="151"/>
      <c r="H78" s="151"/>
      <c r="I78" s="151"/>
      <c r="J78" s="151"/>
      <c r="K78" s="151"/>
      <c r="L78" s="151"/>
      <c r="M78" s="14"/>
      <c r="N78" s="14"/>
      <c r="O78" s="14"/>
      <c r="P78" s="14"/>
    </row>
    <row r="79" ht="15.0" customHeight="1">
      <c r="A79" s="151"/>
      <c r="B79" s="14"/>
      <c r="C79" s="151"/>
      <c r="D79" s="14"/>
      <c r="E79" s="10"/>
      <c r="F79" s="151"/>
      <c r="G79" s="151"/>
      <c r="H79" s="151"/>
      <c r="I79" s="151"/>
      <c r="J79" s="151"/>
      <c r="K79" s="151"/>
      <c r="L79" s="151"/>
      <c r="M79" s="14"/>
      <c r="N79" s="14"/>
      <c r="O79" s="14"/>
      <c r="P79" s="14"/>
    </row>
    <row r="80" ht="15.0" customHeight="1">
      <c r="A80" s="151"/>
      <c r="B80" s="14"/>
      <c r="C80" s="151"/>
      <c r="D80" s="14"/>
      <c r="E80" s="10"/>
      <c r="F80" s="151"/>
      <c r="G80" s="151"/>
      <c r="H80" s="151"/>
      <c r="I80" s="151"/>
      <c r="J80" s="151"/>
      <c r="K80" s="151"/>
      <c r="L80" s="151"/>
      <c r="M80" s="14"/>
      <c r="N80" s="14"/>
      <c r="O80" s="14"/>
      <c r="P80" s="14"/>
    </row>
    <row r="81" ht="15.0" customHeight="1">
      <c r="A81" s="151"/>
      <c r="B81" s="14"/>
      <c r="C81" s="151"/>
      <c r="D81" s="14"/>
      <c r="E81" s="10"/>
      <c r="F81" s="151"/>
      <c r="G81" s="151"/>
      <c r="H81" s="151"/>
      <c r="I81" s="151"/>
      <c r="J81" s="151"/>
      <c r="K81" s="151"/>
      <c r="L81" s="151"/>
      <c r="M81" s="14"/>
      <c r="N81" s="14"/>
      <c r="O81" s="14"/>
      <c r="P81" s="14"/>
    </row>
    <row r="82" ht="15.0" customHeight="1">
      <c r="A82" s="151"/>
      <c r="B82" s="14"/>
      <c r="C82" s="151"/>
      <c r="D82" s="14"/>
      <c r="E82" s="10"/>
      <c r="F82" s="151"/>
      <c r="G82" s="151"/>
      <c r="H82" s="151"/>
      <c r="I82" s="151"/>
      <c r="J82" s="151"/>
      <c r="K82" s="151"/>
      <c r="L82" s="151"/>
      <c r="M82" s="14"/>
      <c r="N82" s="14"/>
      <c r="O82" s="14"/>
      <c r="P82" s="14"/>
    </row>
    <row r="83" ht="15.0" customHeight="1">
      <c r="A83" s="151"/>
      <c r="B83" s="14"/>
      <c r="C83" s="151"/>
      <c r="D83" s="14"/>
      <c r="E83" s="10"/>
      <c r="F83" s="151"/>
      <c r="G83" s="151"/>
      <c r="H83" s="151"/>
      <c r="I83" s="151"/>
      <c r="J83" s="151"/>
      <c r="K83" s="151"/>
      <c r="L83" s="151"/>
      <c r="M83" s="14"/>
      <c r="N83" s="14"/>
      <c r="O83" s="14"/>
      <c r="P83" s="14"/>
    </row>
    <row r="84" ht="15.0" customHeight="1">
      <c r="A84" s="151"/>
      <c r="B84" s="14"/>
      <c r="C84" s="151"/>
      <c r="D84" s="14"/>
      <c r="E84" s="10"/>
      <c r="F84" s="151"/>
      <c r="G84" s="151"/>
      <c r="H84" s="151"/>
      <c r="I84" s="151"/>
      <c r="J84" s="151"/>
      <c r="K84" s="151"/>
      <c r="L84" s="151"/>
      <c r="M84" s="14"/>
      <c r="N84" s="14"/>
      <c r="O84" s="14"/>
      <c r="P84" s="14"/>
    </row>
    <row r="85" ht="15.0" customHeight="1">
      <c r="A85" s="151"/>
      <c r="B85" s="14"/>
      <c r="C85" s="151"/>
      <c r="D85" s="14"/>
      <c r="E85" s="10"/>
      <c r="F85" s="151"/>
      <c r="G85" s="151"/>
      <c r="H85" s="151"/>
      <c r="I85" s="151"/>
      <c r="J85" s="151"/>
      <c r="K85" s="151"/>
      <c r="L85" s="151"/>
      <c r="M85" s="14"/>
      <c r="N85" s="14"/>
      <c r="O85" s="14"/>
      <c r="P85" s="14"/>
    </row>
    <row r="86" ht="15.0" customHeight="1">
      <c r="A86" s="151"/>
      <c r="B86" s="14"/>
      <c r="C86" s="151"/>
      <c r="D86" s="14"/>
      <c r="E86" s="10"/>
      <c r="F86" s="151"/>
      <c r="G86" s="151"/>
      <c r="H86" s="151"/>
      <c r="I86" s="151"/>
      <c r="J86" s="151"/>
      <c r="K86" s="151"/>
      <c r="L86" s="151"/>
      <c r="M86" s="14"/>
      <c r="N86" s="14"/>
      <c r="O86" s="14"/>
      <c r="P86" s="14"/>
    </row>
    <row r="87" ht="15.0" customHeight="1">
      <c r="A87" s="151"/>
      <c r="B87" s="14"/>
      <c r="C87" s="151"/>
      <c r="D87" s="14"/>
      <c r="E87" s="10"/>
      <c r="F87" s="151"/>
      <c r="G87" s="151"/>
      <c r="H87" s="151"/>
      <c r="I87" s="151"/>
      <c r="J87" s="151"/>
      <c r="K87" s="151"/>
      <c r="L87" s="151"/>
      <c r="M87" s="14"/>
      <c r="N87" s="14"/>
      <c r="O87" s="14"/>
      <c r="P87" s="14"/>
    </row>
    <row r="88" ht="15.0" customHeight="1">
      <c r="A88" s="151"/>
      <c r="B88" s="14"/>
      <c r="C88" s="151"/>
      <c r="D88" s="14"/>
      <c r="E88" s="10"/>
      <c r="F88" s="151"/>
      <c r="G88" s="151"/>
      <c r="H88" s="151"/>
      <c r="I88" s="151"/>
      <c r="J88" s="151"/>
      <c r="K88" s="151"/>
      <c r="L88" s="151"/>
      <c r="M88" s="14"/>
      <c r="N88" s="14"/>
      <c r="O88" s="14"/>
      <c r="P88" s="14"/>
    </row>
    <row r="89" ht="15.0" customHeight="1">
      <c r="A89" s="151"/>
      <c r="B89" s="14"/>
      <c r="C89" s="151"/>
      <c r="D89" s="14"/>
      <c r="E89" s="10"/>
      <c r="F89" s="151"/>
      <c r="G89" s="151"/>
      <c r="H89" s="151"/>
      <c r="I89" s="151"/>
      <c r="J89" s="151"/>
      <c r="K89" s="151"/>
      <c r="L89" s="151"/>
      <c r="M89" s="14"/>
      <c r="N89" s="14"/>
      <c r="O89" s="14"/>
      <c r="P89" s="14"/>
    </row>
    <row r="90" ht="15.0" customHeight="1">
      <c r="A90" s="151"/>
      <c r="B90" s="14"/>
      <c r="C90" s="151"/>
      <c r="D90" s="14"/>
      <c r="E90" s="10"/>
      <c r="F90" s="151"/>
      <c r="G90" s="151"/>
      <c r="H90" s="151"/>
      <c r="I90" s="151"/>
      <c r="J90" s="151"/>
      <c r="K90" s="151"/>
      <c r="L90" s="151"/>
      <c r="M90" s="14"/>
      <c r="N90" s="14"/>
      <c r="O90" s="14"/>
      <c r="P90" s="14"/>
    </row>
    <row r="91" ht="15.0" customHeight="1">
      <c r="A91" s="151"/>
      <c r="B91" s="14"/>
      <c r="C91" s="151"/>
      <c r="D91" s="14"/>
      <c r="E91" s="10"/>
      <c r="F91" s="151"/>
      <c r="G91" s="151"/>
      <c r="H91" s="151"/>
      <c r="I91" s="151"/>
      <c r="J91" s="151"/>
      <c r="K91" s="151"/>
      <c r="L91" s="151"/>
      <c r="M91" s="14"/>
      <c r="N91" s="14"/>
      <c r="O91" s="14"/>
      <c r="P91" s="14"/>
    </row>
    <row r="92" ht="15.0" customHeight="1">
      <c r="A92" s="151"/>
      <c r="B92" s="14"/>
      <c r="C92" s="151"/>
      <c r="D92" s="14"/>
      <c r="E92" s="10"/>
      <c r="F92" s="151"/>
      <c r="G92" s="151"/>
      <c r="H92" s="151"/>
      <c r="I92" s="151"/>
      <c r="J92" s="151"/>
      <c r="K92" s="151"/>
      <c r="L92" s="151"/>
      <c r="M92" s="14"/>
      <c r="N92" s="14"/>
      <c r="O92" s="14"/>
      <c r="P92" s="14"/>
    </row>
    <row r="93" ht="15.0" customHeight="1">
      <c r="A93" s="151"/>
      <c r="B93" s="14"/>
      <c r="C93" s="151"/>
      <c r="D93" s="14"/>
      <c r="E93" s="10"/>
      <c r="F93" s="151"/>
      <c r="G93" s="151"/>
      <c r="H93" s="151"/>
      <c r="I93" s="151"/>
      <c r="J93" s="151"/>
      <c r="K93" s="151"/>
      <c r="L93" s="151"/>
      <c r="M93" s="14"/>
      <c r="N93" s="14"/>
      <c r="O93" s="14"/>
      <c r="P93" s="14"/>
    </row>
    <row r="94" ht="15.0" customHeight="1">
      <c r="A94" s="151"/>
      <c r="B94" s="14"/>
      <c r="C94" s="151"/>
      <c r="D94" s="14"/>
      <c r="E94" s="10"/>
      <c r="F94" s="151"/>
      <c r="G94" s="151"/>
      <c r="H94" s="151"/>
      <c r="I94" s="151"/>
      <c r="J94" s="151"/>
      <c r="K94" s="151"/>
      <c r="L94" s="151"/>
      <c r="M94" s="14"/>
      <c r="N94" s="14"/>
      <c r="O94" s="14"/>
      <c r="P94" s="14"/>
    </row>
    <row r="95" ht="15.0" customHeight="1">
      <c r="A95" s="151"/>
      <c r="B95" s="14"/>
      <c r="C95" s="151"/>
      <c r="D95" s="14"/>
      <c r="E95" s="10"/>
      <c r="F95" s="151"/>
      <c r="G95" s="151"/>
      <c r="H95" s="151"/>
      <c r="I95" s="151"/>
      <c r="J95" s="151"/>
      <c r="K95" s="151"/>
      <c r="L95" s="151"/>
      <c r="M95" s="14"/>
      <c r="N95" s="14"/>
      <c r="O95" s="14"/>
      <c r="P95" s="14"/>
    </row>
    <row r="96" ht="15.0" customHeight="1">
      <c r="A96" s="151"/>
      <c r="B96" s="14"/>
      <c r="C96" s="151"/>
      <c r="D96" s="14"/>
      <c r="E96" s="10"/>
      <c r="F96" s="151"/>
      <c r="G96" s="151"/>
      <c r="H96" s="151"/>
      <c r="I96" s="151"/>
      <c r="J96" s="151"/>
      <c r="K96" s="151"/>
      <c r="L96" s="151"/>
      <c r="M96" s="14"/>
      <c r="N96" s="14"/>
      <c r="O96" s="14"/>
      <c r="P96" s="14"/>
    </row>
    <row r="97" ht="15.0" customHeight="1">
      <c r="A97" s="151"/>
      <c r="B97" s="14"/>
      <c r="C97" s="151"/>
      <c r="D97" s="14"/>
      <c r="E97" s="10"/>
      <c r="F97" s="151"/>
      <c r="G97" s="151"/>
      <c r="H97" s="151"/>
      <c r="I97" s="151"/>
      <c r="J97" s="151"/>
      <c r="K97" s="151"/>
      <c r="L97" s="151"/>
      <c r="M97" s="14"/>
      <c r="N97" s="14"/>
      <c r="O97" s="14"/>
      <c r="P97" s="14"/>
    </row>
    <row r="98" ht="15.0" customHeight="1">
      <c r="A98" s="151"/>
      <c r="B98" s="14"/>
      <c r="C98" s="151"/>
      <c r="D98" s="14"/>
      <c r="E98" s="10"/>
      <c r="F98" s="151"/>
      <c r="G98" s="151"/>
      <c r="H98" s="151"/>
      <c r="I98" s="151"/>
      <c r="J98" s="151"/>
      <c r="K98" s="151"/>
      <c r="L98" s="151"/>
      <c r="M98" s="14"/>
      <c r="N98" s="14"/>
      <c r="O98" s="14"/>
      <c r="P98" s="14"/>
    </row>
    <row r="99" ht="15.0" customHeight="1">
      <c r="A99" s="151"/>
      <c r="B99" s="14"/>
      <c r="C99" s="151"/>
      <c r="D99" s="14"/>
      <c r="E99" s="10"/>
      <c r="F99" s="151"/>
      <c r="G99" s="151"/>
      <c r="H99" s="151"/>
      <c r="I99" s="151"/>
      <c r="J99" s="151"/>
      <c r="K99" s="151"/>
      <c r="L99" s="151"/>
      <c r="M99" s="14"/>
      <c r="N99" s="14"/>
      <c r="O99" s="14"/>
      <c r="P99" s="14"/>
    </row>
    <row r="100" ht="15.0" customHeight="1">
      <c r="A100" s="151"/>
      <c r="B100" s="14"/>
      <c r="C100" s="151"/>
      <c r="D100" s="14"/>
      <c r="E100" s="10"/>
      <c r="F100" s="151"/>
      <c r="G100" s="151"/>
      <c r="H100" s="151"/>
      <c r="I100" s="151"/>
      <c r="J100" s="151"/>
      <c r="K100" s="151"/>
      <c r="L100" s="151"/>
      <c r="M100" s="14"/>
      <c r="N100" s="14"/>
      <c r="O100" s="14"/>
      <c r="P100" s="14"/>
    </row>
    <row r="101" ht="15.0" customHeight="1">
      <c r="A101" s="151"/>
      <c r="B101" s="14"/>
      <c r="C101" s="151"/>
      <c r="D101" s="14"/>
      <c r="E101" s="10"/>
      <c r="F101" s="151"/>
      <c r="G101" s="151"/>
      <c r="H101" s="151"/>
      <c r="I101" s="151"/>
      <c r="J101" s="151"/>
      <c r="K101" s="151"/>
      <c r="L101" s="151"/>
      <c r="M101" s="14"/>
      <c r="N101" s="14"/>
      <c r="O101" s="14"/>
      <c r="P101" s="14"/>
    </row>
    <row r="102" ht="15.0" customHeight="1">
      <c r="A102" s="151"/>
      <c r="B102" s="14"/>
      <c r="C102" s="151"/>
      <c r="D102" s="14"/>
      <c r="E102" s="10"/>
      <c r="F102" s="151"/>
      <c r="G102" s="151"/>
      <c r="H102" s="151"/>
      <c r="I102" s="151"/>
      <c r="J102" s="151"/>
      <c r="K102" s="151"/>
      <c r="L102" s="151"/>
      <c r="M102" s="14"/>
      <c r="N102" s="14"/>
      <c r="O102" s="14"/>
      <c r="P102" s="14"/>
    </row>
    <row r="103" ht="15.0" customHeight="1">
      <c r="A103" s="151"/>
      <c r="B103" s="14"/>
      <c r="C103" s="151"/>
      <c r="D103" s="14"/>
      <c r="E103" s="10"/>
      <c r="F103" s="151"/>
      <c r="G103" s="151"/>
      <c r="H103" s="151"/>
      <c r="I103" s="151"/>
      <c r="J103" s="151"/>
      <c r="K103" s="151"/>
      <c r="L103" s="151"/>
      <c r="M103" s="14"/>
      <c r="N103" s="14"/>
      <c r="O103" s="14"/>
      <c r="P103" s="14"/>
    </row>
    <row r="104" ht="15.0" customHeight="1">
      <c r="A104" s="151"/>
      <c r="B104" s="14"/>
      <c r="C104" s="151"/>
      <c r="D104" s="14"/>
      <c r="E104" s="10"/>
      <c r="F104" s="151"/>
      <c r="G104" s="151"/>
      <c r="H104" s="151"/>
      <c r="I104" s="151"/>
      <c r="J104" s="151"/>
      <c r="K104" s="151"/>
      <c r="L104" s="151"/>
      <c r="M104" s="14"/>
      <c r="N104" s="14"/>
      <c r="O104" s="14"/>
      <c r="P104" s="14"/>
    </row>
    <row r="105" ht="15.0" customHeight="1">
      <c r="A105" s="151"/>
      <c r="B105" s="14"/>
      <c r="C105" s="151"/>
      <c r="D105" s="14"/>
      <c r="E105" s="10"/>
      <c r="F105" s="151"/>
      <c r="G105" s="151"/>
      <c r="H105" s="151"/>
      <c r="I105" s="151"/>
      <c r="J105" s="151"/>
      <c r="K105" s="151"/>
      <c r="L105" s="151"/>
      <c r="M105" s="14"/>
      <c r="N105" s="14"/>
      <c r="O105" s="14"/>
      <c r="P105" s="14"/>
    </row>
    <row r="106" ht="15.0" customHeight="1">
      <c r="A106" s="151"/>
      <c r="B106" s="14"/>
      <c r="C106" s="151"/>
      <c r="D106" s="14"/>
      <c r="E106" s="10"/>
      <c r="F106" s="151"/>
      <c r="G106" s="151"/>
      <c r="H106" s="151"/>
      <c r="I106" s="151"/>
      <c r="J106" s="151"/>
      <c r="K106" s="151"/>
      <c r="L106" s="151"/>
      <c r="M106" s="14"/>
      <c r="N106" s="14"/>
      <c r="O106" s="14"/>
      <c r="P106" s="14"/>
    </row>
    <row r="107" ht="15.0" customHeight="1">
      <c r="A107" s="151"/>
      <c r="B107" s="14"/>
      <c r="C107" s="151"/>
      <c r="D107" s="14"/>
      <c r="E107" s="10"/>
      <c r="F107" s="151"/>
      <c r="G107" s="151"/>
      <c r="H107" s="151"/>
      <c r="I107" s="151"/>
      <c r="J107" s="151"/>
      <c r="K107" s="151"/>
      <c r="L107" s="151"/>
      <c r="M107" s="14"/>
      <c r="N107" s="14"/>
      <c r="O107" s="14"/>
      <c r="P107" s="14"/>
    </row>
    <row r="108" ht="15.0" customHeight="1">
      <c r="A108" s="151"/>
      <c r="B108" s="14"/>
      <c r="C108" s="151"/>
      <c r="D108" s="14"/>
      <c r="E108" s="10"/>
      <c r="F108" s="151"/>
      <c r="G108" s="151"/>
      <c r="H108" s="151"/>
      <c r="I108" s="151"/>
      <c r="J108" s="151"/>
      <c r="K108" s="151"/>
      <c r="L108" s="151"/>
      <c r="M108" s="14"/>
      <c r="N108" s="14"/>
      <c r="O108" s="14"/>
      <c r="P108" s="14"/>
    </row>
    <row r="109" ht="15.0" customHeight="1">
      <c r="A109" s="151"/>
      <c r="B109" s="14"/>
      <c r="C109" s="151"/>
      <c r="D109" s="14"/>
      <c r="E109" s="10"/>
      <c r="F109" s="151"/>
      <c r="G109" s="151"/>
      <c r="H109" s="151"/>
      <c r="I109" s="151"/>
      <c r="J109" s="151"/>
      <c r="K109" s="151"/>
      <c r="L109" s="151"/>
      <c r="M109" s="14"/>
      <c r="N109" s="14"/>
      <c r="O109" s="14"/>
      <c r="P109" s="14"/>
    </row>
    <row r="110" ht="15.0" customHeight="1">
      <c r="A110" s="151"/>
      <c r="B110" s="14"/>
      <c r="C110" s="151"/>
      <c r="D110" s="14"/>
      <c r="E110" s="10"/>
      <c r="F110" s="151"/>
      <c r="G110" s="151"/>
      <c r="H110" s="151"/>
      <c r="I110" s="151"/>
      <c r="J110" s="151"/>
      <c r="K110" s="151"/>
      <c r="L110" s="151"/>
      <c r="M110" s="14"/>
      <c r="N110" s="14"/>
      <c r="O110" s="14"/>
      <c r="P110" s="14"/>
    </row>
    <row r="111" ht="15.0" customHeight="1">
      <c r="A111" s="151"/>
      <c r="B111" s="14"/>
      <c r="C111" s="151"/>
      <c r="D111" s="14"/>
      <c r="E111" s="10"/>
      <c r="F111" s="151"/>
      <c r="G111" s="151"/>
      <c r="H111" s="151"/>
      <c r="I111" s="151"/>
      <c r="J111" s="151"/>
      <c r="K111" s="151"/>
      <c r="L111" s="151"/>
      <c r="M111" s="14"/>
      <c r="N111" s="14"/>
      <c r="O111" s="14"/>
      <c r="P111" s="14"/>
    </row>
    <row r="112" ht="15.0" customHeight="1">
      <c r="A112" s="151"/>
      <c r="B112" s="14"/>
      <c r="C112" s="151"/>
      <c r="D112" s="14"/>
      <c r="E112" s="10"/>
      <c r="F112" s="151"/>
      <c r="G112" s="151"/>
      <c r="H112" s="151"/>
      <c r="I112" s="151"/>
      <c r="J112" s="151"/>
      <c r="K112" s="151"/>
      <c r="L112" s="151"/>
      <c r="M112" s="14"/>
      <c r="N112" s="14"/>
      <c r="O112" s="14"/>
      <c r="P112" s="14"/>
    </row>
    <row r="113" ht="15.0" customHeight="1">
      <c r="A113" s="151"/>
      <c r="B113" s="14"/>
      <c r="C113" s="151"/>
      <c r="D113" s="14"/>
      <c r="E113" s="10"/>
      <c r="F113" s="151"/>
      <c r="G113" s="151"/>
      <c r="H113" s="151"/>
      <c r="I113" s="151"/>
      <c r="J113" s="151"/>
      <c r="K113" s="151"/>
      <c r="L113" s="151"/>
      <c r="M113" s="14"/>
      <c r="N113" s="14"/>
      <c r="O113" s="14"/>
      <c r="P113" s="14"/>
    </row>
    <row r="114" ht="15.0" customHeight="1">
      <c r="A114" s="151"/>
      <c r="B114" s="14"/>
      <c r="C114" s="151"/>
      <c r="D114" s="14"/>
      <c r="E114" s="10"/>
      <c r="F114" s="151"/>
      <c r="G114" s="151"/>
      <c r="H114" s="151"/>
      <c r="I114" s="151"/>
      <c r="J114" s="151"/>
      <c r="K114" s="151"/>
      <c r="L114" s="151"/>
      <c r="M114" s="14"/>
      <c r="N114" s="14"/>
      <c r="O114" s="14"/>
      <c r="P114" s="14"/>
    </row>
    <row r="115" ht="15.0" customHeight="1">
      <c r="A115" s="151"/>
      <c r="B115" s="14"/>
      <c r="C115" s="151"/>
      <c r="D115" s="14"/>
      <c r="E115" s="10"/>
      <c r="F115" s="151"/>
      <c r="G115" s="151"/>
      <c r="H115" s="151"/>
      <c r="I115" s="151"/>
      <c r="J115" s="151"/>
      <c r="K115" s="151"/>
      <c r="L115" s="151"/>
      <c r="M115" s="14"/>
      <c r="N115" s="14"/>
      <c r="O115" s="14"/>
      <c r="P115" s="14"/>
    </row>
    <row r="116" ht="15.0" customHeight="1">
      <c r="A116" s="151"/>
      <c r="B116" s="14"/>
      <c r="C116" s="151"/>
      <c r="D116" s="14"/>
      <c r="E116" s="10"/>
      <c r="F116" s="151"/>
      <c r="G116" s="151"/>
      <c r="H116" s="151"/>
      <c r="I116" s="151"/>
      <c r="J116" s="151"/>
      <c r="K116" s="151"/>
      <c r="L116" s="151"/>
      <c r="M116" s="14"/>
      <c r="N116" s="14"/>
      <c r="O116" s="14"/>
      <c r="P116" s="14"/>
    </row>
    <row r="117" ht="15.0" customHeight="1">
      <c r="A117" s="151"/>
      <c r="B117" s="14"/>
      <c r="C117" s="151"/>
      <c r="D117" s="14"/>
      <c r="E117" s="10"/>
      <c r="F117" s="151"/>
      <c r="G117" s="151"/>
      <c r="H117" s="151"/>
      <c r="I117" s="151"/>
      <c r="J117" s="151"/>
      <c r="K117" s="151"/>
      <c r="L117" s="151"/>
      <c r="M117" s="14"/>
      <c r="N117" s="14"/>
      <c r="O117" s="14"/>
      <c r="P117" s="14"/>
    </row>
    <row r="118" ht="15.0" customHeight="1">
      <c r="A118" s="151"/>
      <c r="B118" s="14"/>
      <c r="C118" s="151"/>
      <c r="D118" s="14"/>
      <c r="E118" s="10"/>
      <c r="F118" s="151"/>
      <c r="G118" s="151"/>
      <c r="H118" s="151"/>
      <c r="I118" s="151"/>
      <c r="J118" s="151"/>
      <c r="K118" s="151"/>
      <c r="L118" s="151"/>
      <c r="M118" s="14"/>
      <c r="N118" s="14"/>
      <c r="O118" s="14"/>
      <c r="P118" s="14"/>
    </row>
    <row r="119" ht="15.0" customHeight="1">
      <c r="A119" s="151"/>
      <c r="B119" s="14"/>
      <c r="C119" s="151"/>
      <c r="D119" s="14"/>
      <c r="E119" s="10"/>
      <c r="F119" s="151"/>
      <c r="G119" s="151"/>
      <c r="H119" s="151"/>
      <c r="I119" s="151"/>
      <c r="J119" s="151"/>
      <c r="K119" s="151"/>
      <c r="L119" s="151"/>
      <c r="M119" s="14"/>
      <c r="N119" s="14"/>
      <c r="O119" s="14"/>
      <c r="P119" s="14"/>
    </row>
    <row r="120" ht="15.0" customHeight="1">
      <c r="A120" s="151"/>
      <c r="B120" s="14"/>
      <c r="C120" s="151"/>
      <c r="D120" s="14"/>
      <c r="E120" s="10"/>
      <c r="F120" s="151"/>
      <c r="G120" s="151"/>
      <c r="H120" s="151"/>
      <c r="I120" s="151"/>
      <c r="J120" s="151"/>
      <c r="K120" s="151"/>
      <c r="L120" s="151"/>
      <c r="M120" s="14"/>
      <c r="N120" s="14"/>
      <c r="O120" s="14"/>
      <c r="P120" s="14"/>
    </row>
    <row r="121" ht="15.0" customHeight="1">
      <c r="A121" s="151"/>
      <c r="B121" s="14"/>
      <c r="C121" s="151"/>
      <c r="D121" s="14"/>
      <c r="E121" s="10"/>
      <c r="F121" s="151"/>
      <c r="G121" s="151"/>
      <c r="H121" s="151"/>
      <c r="I121" s="151"/>
      <c r="J121" s="151"/>
      <c r="K121" s="151"/>
      <c r="L121" s="151"/>
      <c r="M121" s="14"/>
      <c r="N121" s="14"/>
      <c r="O121" s="14"/>
      <c r="P121" s="14"/>
    </row>
    <row r="122" ht="15.0" customHeight="1">
      <c r="A122" s="151"/>
      <c r="B122" s="14"/>
      <c r="C122" s="151"/>
      <c r="D122" s="14"/>
      <c r="E122" s="10"/>
      <c r="F122" s="151"/>
      <c r="G122" s="151"/>
      <c r="H122" s="151"/>
      <c r="I122" s="151"/>
      <c r="J122" s="151"/>
      <c r="K122" s="151"/>
      <c r="L122" s="151"/>
      <c r="M122" s="14"/>
      <c r="N122" s="14"/>
      <c r="O122" s="14"/>
      <c r="P122" s="14"/>
    </row>
    <row r="123" ht="15.0" customHeight="1">
      <c r="A123" s="151"/>
      <c r="B123" s="14"/>
      <c r="C123" s="151"/>
      <c r="D123" s="14"/>
      <c r="E123" s="10"/>
      <c r="F123" s="151"/>
      <c r="G123" s="151"/>
      <c r="H123" s="151"/>
      <c r="I123" s="151"/>
      <c r="J123" s="151"/>
      <c r="K123" s="151"/>
      <c r="L123" s="151"/>
      <c r="M123" s="14"/>
      <c r="N123" s="14"/>
      <c r="O123" s="14"/>
      <c r="P123" s="14"/>
    </row>
    <row r="124" ht="15.0" customHeight="1">
      <c r="A124" s="151"/>
      <c r="B124" s="14"/>
      <c r="C124" s="151"/>
      <c r="D124" s="14"/>
      <c r="E124" s="10"/>
      <c r="F124" s="151"/>
      <c r="G124" s="151"/>
      <c r="H124" s="151"/>
      <c r="I124" s="151"/>
      <c r="J124" s="151"/>
      <c r="K124" s="151"/>
      <c r="L124" s="151"/>
      <c r="M124" s="14"/>
      <c r="N124" s="14"/>
      <c r="O124" s="14"/>
      <c r="P124" s="14"/>
    </row>
    <row r="125" ht="15.0" customHeight="1">
      <c r="A125" s="151"/>
      <c r="B125" s="14"/>
      <c r="C125" s="151"/>
      <c r="D125" s="14"/>
      <c r="E125" s="10"/>
      <c r="F125" s="151"/>
      <c r="G125" s="151"/>
      <c r="H125" s="151"/>
      <c r="I125" s="151"/>
      <c r="J125" s="151"/>
      <c r="K125" s="151"/>
      <c r="L125" s="151"/>
      <c r="M125" s="14"/>
      <c r="N125" s="14"/>
      <c r="O125" s="14"/>
      <c r="P125" s="14"/>
    </row>
    <row r="126" ht="15.0" customHeight="1">
      <c r="A126" s="151"/>
      <c r="B126" s="14"/>
      <c r="C126" s="151"/>
      <c r="D126" s="14"/>
      <c r="E126" s="10"/>
      <c r="F126" s="151"/>
      <c r="G126" s="151"/>
      <c r="H126" s="151"/>
      <c r="I126" s="151"/>
      <c r="J126" s="151"/>
      <c r="K126" s="151"/>
      <c r="L126" s="151"/>
      <c r="M126" s="14"/>
      <c r="N126" s="14"/>
      <c r="O126" s="14"/>
      <c r="P126" s="14"/>
    </row>
    <row r="127" ht="15.0" customHeight="1">
      <c r="A127" s="151"/>
      <c r="B127" s="14"/>
      <c r="C127" s="151"/>
      <c r="D127" s="14"/>
      <c r="E127" s="10"/>
      <c r="F127" s="151"/>
      <c r="G127" s="151"/>
      <c r="H127" s="151"/>
      <c r="I127" s="151"/>
      <c r="J127" s="151"/>
      <c r="K127" s="151"/>
      <c r="L127" s="151"/>
      <c r="M127" s="14"/>
      <c r="N127" s="14"/>
      <c r="O127" s="14"/>
      <c r="P127" s="14"/>
    </row>
    <row r="128" ht="15.0" customHeight="1">
      <c r="A128" s="151"/>
      <c r="B128" s="14"/>
      <c r="C128" s="151"/>
      <c r="D128" s="14"/>
      <c r="E128" s="10"/>
      <c r="F128" s="151"/>
      <c r="G128" s="151"/>
      <c r="H128" s="151"/>
      <c r="I128" s="151"/>
      <c r="J128" s="151"/>
      <c r="K128" s="151"/>
      <c r="L128" s="151"/>
      <c r="M128" s="14"/>
      <c r="N128" s="14"/>
      <c r="O128" s="14"/>
      <c r="P128" s="14"/>
    </row>
    <row r="129" ht="15.0" customHeight="1">
      <c r="A129" s="151"/>
      <c r="B129" s="14"/>
      <c r="C129" s="151"/>
      <c r="D129" s="14"/>
      <c r="E129" s="10"/>
      <c r="F129" s="151"/>
      <c r="G129" s="151"/>
      <c r="H129" s="151"/>
      <c r="I129" s="151"/>
      <c r="J129" s="151"/>
      <c r="K129" s="151"/>
      <c r="L129" s="151"/>
      <c r="M129" s="14"/>
      <c r="N129" s="14"/>
      <c r="O129" s="14"/>
      <c r="P129" s="14"/>
    </row>
    <row r="130" ht="15.0" customHeight="1">
      <c r="A130" s="151"/>
      <c r="B130" s="14"/>
      <c r="C130" s="151"/>
      <c r="D130" s="14"/>
      <c r="E130" s="10"/>
      <c r="F130" s="151"/>
      <c r="G130" s="151"/>
      <c r="H130" s="151"/>
      <c r="I130" s="151"/>
      <c r="J130" s="151"/>
      <c r="K130" s="151"/>
      <c r="L130" s="151"/>
      <c r="M130" s="14"/>
      <c r="N130" s="14"/>
      <c r="O130" s="14"/>
      <c r="P130" s="14"/>
    </row>
    <row r="131" ht="15.0" customHeight="1">
      <c r="A131" s="151"/>
      <c r="B131" s="14"/>
      <c r="C131" s="151"/>
      <c r="D131" s="14"/>
      <c r="E131" s="10"/>
      <c r="F131" s="151"/>
      <c r="G131" s="151"/>
      <c r="H131" s="151"/>
      <c r="I131" s="151"/>
      <c r="J131" s="151"/>
      <c r="K131" s="151"/>
      <c r="L131" s="151"/>
      <c r="M131" s="14"/>
      <c r="N131" s="14"/>
      <c r="O131" s="14"/>
      <c r="P131" s="14"/>
    </row>
    <row r="132" ht="15.0" customHeight="1">
      <c r="A132" s="151"/>
      <c r="B132" s="14"/>
      <c r="C132" s="151"/>
      <c r="D132" s="14"/>
      <c r="E132" s="10"/>
      <c r="F132" s="151"/>
      <c r="G132" s="151"/>
      <c r="H132" s="151"/>
      <c r="I132" s="151"/>
      <c r="J132" s="151"/>
      <c r="K132" s="151"/>
      <c r="L132" s="151"/>
      <c r="M132" s="14"/>
      <c r="N132" s="14"/>
      <c r="O132" s="14"/>
      <c r="P132" s="14"/>
    </row>
    <row r="133" ht="15.0" customHeight="1">
      <c r="A133" s="151"/>
      <c r="B133" s="14"/>
      <c r="C133" s="151"/>
      <c r="D133" s="14"/>
      <c r="E133" s="10"/>
      <c r="F133" s="151"/>
      <c r="G133" s="151"/>
      <c r="H133" s="151"/>
      <c r="I133" s="151"/>
      <c r="J133" s="151"/>
      <c r="K133" s="151"/>
      <c r="L133" s="151"/>
      <c r="M133" s="14"/>
      <c r="N133" s="14"/>
      <c r="O133" s="14"/>
      <c r="P133" s="14"/>
    </row>
    <row r="134" ht="15.0" customHeight="1">
      <c r="A134" s="151"/>
      <c r="B134" s="14"/>
      <c r="C134" s="151"/>
      <c r="D134" s="14"/>
      <c r="E134" s="10"/>
      <c r="F134" s="151"/>
      <c r="G134" s="151"/>
      <c r="H134" s="151"/>
      <c r="I134" s="151"/>
      <c r="J134" s="151"/>
      <c r="K134" s="151"/>
      <c r="L134" s="151"/>
      <c r="M134" s="14"/>
      <c r="N134" s="14"/>
      <c r="O134" s="14"/>
      <c r="P134" s="14"/>
    </row>
    <row r="135" ht="15.0" customHeight="1">
      <c r="A135" s="151"/>
      <c r="B135" s="14"/>
      <c r="C135" s="151"/>
      <c r="D135" s="14"/>
      <c r="E135" s="10"/>
      <c r="F135" s="151"/>
      <c r="G135" s="151"/>
      <c r="H135" s="151"/>
      <c r="I135" s="151"/>
      <c r="J135" s="151"/>
      <c r="K135" s="151"/>
      <c r="L135" s="151"/>
      <c r="M135" s="14"/>
      <c r="N135" s="14"/>
      <c r="O135" s="14"/>
      <c r="P135" s="14"/>
    </row>
    <row r="136" ht="15.0" customHeight="1">
      <c r="A136" s="151"/>
      <c r="B136" s="14"/>
      <c r="C136" s="151"/>
      <c r="D136" s="14"/>
      <c r="E136" s="10"/>
      <c r="F136" s="151"/>
      <c r="G136" s="151"/>
      <c r="H136" s="151"/>
      <c r="I136" s="151"/>
      <c r="J136" s="151"/>
      <c r="K136" s="151"/>
      <c r="L136" s="151"/>
      <c r="M136" s="14"/>
      <c r="N136" s="14"/>
      <c r="O136" s="14"/>
      <c r="P136" s="14"/>
    </row>
    <row r="137" ht="15.0" customHeight="1">
      <c r="A137" s="151"/>
      <c r="B137" s="14"/>
      <c r="C137" s="151"/>
      <c r="D137" s="14"/>
      <c r="E137" s="10"/>
      <c r="F137" s="151"/>
      <c r="G137" s="151"/>
      <c r="H137" s="151"/>
      <c r="I137" s="151"/>
      <c r="J137" s="151"/>
      <c r="K137" s="151"/>
      <c r="L137" s="151"/>
      <c r="M137" s="14"/>
      <c r="N137" s="14"/>
      <c r="O137" s="14"/>
      <c r="P137" s="14"/>
    </row>
    <row r="138" ht="15.0" customHeight="1">
      <c r="A138" s="151"/>
      <c r="B138" s="14"/>
      <c r="C138" s="151"/>
      <c r="D138" s="14"/>
      <c r="E138" s="10"/>
      <c r="F138" s="151"/>
      <c r="G138" s="151"/>
      <c r="H138" s="151"/>
      <c r="I138" s="151"/>
      <c r="J138" s="151"/>
      <c r="K138" s="151"/>
      <c r="L138" s="151"/>
      <c r="M138" s="14"/>
      <c r="N138" s="14"/>
      <c r="O138" s="14"/>
      <c r="P138" s="14"/>
    </row>
    <row r="139" ht="15.0" customHeight="1">
      <c r="A139" s="151"/>
      <c r="B139" s="14"/>
      <c r="C139" s="151"/>
      <c r="D139" s="14"/>
      <c r="E139" s="10"/>
      <c r="F139" s="151"/>
      <c r="G139" s="151"/>
      <c r="H139" s="151"/>
      <c r="I139" s="151"/>
      <c r="J139" s="151"/>
      <c r="K139" s="151"/>
      <c r="L139" s="151"/>
      <c r="M139" s="14"/>
      <c r="N139" s="14"/>
      <c r="O139" s="14"/>
      <c r="P139" s="14"/>
    </row>
    <row r="140" ht="15.0" customHeight="1">
      <c r="A140" s="151"/>
      <c r="B140" s="14"/>
      <c r="C140" s="151"/>
      <c r="D140" s="14"/>
      <c r="E140" s="10"/>
      <c r="F140" s="151"/>
      <c r="G140" s="151"/>
      <c r="H140" s="151"/>
      <c r="I140" s="151"/>
      <c r="J140" s="151"/>
      <c r="K140" s="151"/>
      <c r="L140" s="151"/>
      <c r="M140" s="14"/>
      <c r="N140" s="14"/>
      <c r="O140" s="14"/>
      <c r="P140" s="14"/>
    </row>
    <row r="141" ht="15.0" customHeight="1">
      <c r="A141" s="151"/>
      <c r="B141" s="14"/>
      <c r="C141" s="151"/>
      <c r="D141" s="14"/>
      <c r="E141" s="10"/>
      <c r="F141" s="151"/>
      <c r="G141" s="151"/>
      <c r="H141" s="151"/>
      <c r="I141" s="151"/>
      <c r="J141" s="151"/>
      <c r="K141" s="151"/>
      <c r="L141" s="151"/>
      <c r="M141" s="14"/>
      <c r="N141" s="14"/>
      <c r="O141" s="14"/>
      <c r="P141" s="14"/>
    </row>
    <row r="142" ht="15.0" customHeight="1">
      <c r="A142" s="151"/>
      <c r="B142" s="14"/>
      <c r="C142" s="151"/>
      <c r="D142" s="14"/>
      <c r="E142" s="10"/>
      <c r="F142" s="151"/>
      <c r="G142" s="151"/>
      <c r="H142" s="151"/>
      <c r="I142" s="151"/>
      <c r="J142" s="151"/>
      <c r="K142" s="151"/>
      <c r="L142" s="151"/>
      <c r="M142" s="14"/>
      <c r="N142" s="14"/>
      <c r="O142" s="14"/>
      <c r="P142" s="14"/>
    </row>
    <row r="143" ht="15.0" customHeight="1">
      <c r="A143" s="151"/>
      <c r="B143" s="14"/>
      <c r="C143" s="151"/>
      <c r="D143" s="14"/>
      <c r="E143" s="10"/>
      <c r="F143" s="151"/>
      <c r="G143" s="151"/>
      <c r="H143" s="151"/>
      <c r="I143" s="151"/>
      <c r="J143" s="151"/>
      <c r="K143" s="151"/>
      <c r="L143" s="151"/>
      <c r="M143" s="14"/>
      <c r="N143" s="14"/>
      <c r="O143" s="14"/>
      <c r="P143" s="14"/>
    </row>
    <row r="144" ht="15.0" customHeight="1">
      <c r="A144" s="151"/>
      <c r="B144" s="14"/>
      <c r="C144" s="151"/>
      <c r="D144" s="14"/>
      <c r="E144" s="10"/>
      <c r="F144" s="151"/>
      <c r="G144" s="151"/>
      <c r="H144" s="151"/>
      <c r="I144" s="151"/>
      <c r="J144" s="151"/>
      <c r="K144" s="151"/>
      <c r="L144" s="151"/>
      <c r="M144" s="14"/>
      <c r="N144" s="14"/>
      <c r="O144" s="14"/>
      <c r="P144" s="14"/>
    </row>
    <row r="145" ht="15.0" customHeight="1">
      <c r="A145" s="151"/>
      <c r="B145" s="14"/>
      <c r="C145" s="151"/>
      <c r="D145" s="14"/>
      <c r="E145" s="10"/>
      <c r="F145" s="151"/>
      <c r="G145" s="151"/>
      <c r="H145" s="151"/>
      <c r="I145" s="151"/>
      <c r="J145" s="151"/>
      <c r="K145" s="151"/>
      <c r="L145" s="151"/>
      <c r="M145" s="14"/>
      <c r="N145" s="14"/>
      <c r="O145" s="14"/>
      <c r="P145" s="14"/>
    </row>
    <row r="146" ht="15.0" customHeight="1">
      <c r="A146" s="151"/>
      <c r="B146" s="14"/>
      <c r="C146" s="151"/>
      <c r="D146" s="14"/>
      <c r="E146" s="10"/>
      <c r="F146" s="151"/>
      <c r="G146" s="151"/>
      <c r="H146" s="151"/>
      <c r="I146" s="151"/>
      <c r="J146" s="151"/>
      <c r="K146" s="151"/>
      <c r="L146" s="151"/>
      <c r="M146" s="14"/>
      <c r="N146" s="14"/>
      <c r="O146" s="14"/>
      <c r="P146" s="14"/>
    </row>
    <row r="147" ht="15.0" customHeight="1">
      <c r="A147" s="151"/>
      <c r="B147" s="14"/>
      <c r="C147" s="151"/>
      <c r="D147" s="14"/>
      <c r="E147" s="10"/>
      <c r="F147" s="151"/>
      <c r="G147" s="151"/>
      <c r="H147" s="151"/>
      <c r="I147" s="151"/>
      <c r="J147" s="151"/>
      <c r="K147" s="151"/>
      <c r="L147" s="151"/>
      <c r="M147" s="14"/>
      <c r="N147" s="14"/>
      <c r="O147" s="14"/>
      <c r="P147" s="14"/>
    </row>
    <row r="148" ht="15.0" customHeight="1">
      <c r="A148" s="151"/>
      <c r="B148" s="14"/>
      <c r="C148" s="151"/>
      <c r="D148" s="14"/>
      <c r="E148" s="10"/>
      <c r="F148" s="151"/>
      <c r="G148" s="151"/>
      <c r="H148" s="151"/>
      <c r="I148" s="151"/>
      <c r="J148" s="151"/>
      <c r="K148" s="151"/>
      <c r="L148" s="151"/>
      <c r="M148" s="14"/>
      <c r="N148" s="14"/>
      <c r="O148" s="14"/>
      <c r="P148" s="14"/>
    </row>
    <row r="149" ht="15.0" customHeight="1">
      <c r="A149" s="151"/>
      <c r="B149" s="14"/>
      <c r="C149" s="151"/>
      <c r="D149" s="14"/>
      <c r="E149" s="10"/>
      <c r="F149" s="151"/>
      <c r="G149" s="151"/>
      <c r="H149" s="151"/>
      <c r="I149" s="151"/>
      <c r="J149" s="151"/>
      <c r="K149" s="151"/>
      <c r="L149" s="151"/>
      <c r="M149" s="14"/>
      <c r="N149" s="14"/>
      <c r="O149" s="14"/>
      <c r="P149" s="14"/>
    </row>
    <row r="150" ht="15.0" customHeight="1">
      <c r="A150" s="151"/>
      <c r="B150" s="14"/>
      <c r="C150" s="151"/>
      <c r="D150" s="14"/>
      <c r="E150" s="10"/>
      <c r="F150" s="151"/>
      <c r="G150" s="151"/>
      <c r="H150" s="151"/>
      <c r="I150" s="151"/>
      <c r="J150" s="151"/>
      <c r="K150" s="151"/>
      <c r="L150" s="151"/>
      <c r="M150" s="14"/>
      <c r="N150" s="14"/>
      <c r="O150" s="14"/>
      <c r="P150" s="14"/>
    </row>
    <row r="151" ht="15.0" customHeight="1">
      <c r="A151" s="151"/>
      <c r="B151" s="14"/>
      <c r="C151" s="151"/>
      <c r="D151" s="14"/>
      <c r="E151" s="10"/>
      <c r="F151" s="151"/>
      <c r="G151" s="151"/>
      <c r="H151" s="151"/>
      <c r="I151" s="151"/>
      <c r="J151" s="151"/>
      <c r="K151" s="151"/>
      <c r="L151" s="151"/>
      <c r="M151" s="14"/>
      <c r="N151" s="14"/>
      <c r="O151" s="14"/>
      <c r="P151" s="14"/>
    </row>
    <row r="152" ht="15.0" customHeight="1">
      <c r="A152" s="151"/>
      <c r="B152" s="14"/>
      <c r="C152" s="151"/>
      <c r="D152" s="14"/>
      <c r="E152" s="10"/>
      <c r="F152" s="151"/>
      <c r="G152" s="151"/>
      <c r="H152" s="151"/>
      <c r="I152" s="151"/>
      <c r="J152" s="151"/>
      <c r="K152" s="151"/>
      <c r="L152" s="151"/>
      <c r="M152" s="14"/>
      <c r="N152" s="14"/>
      <c r="O152" s="14"/>
      <c r="P152" s="14"/>
    </row>
    <row r="153" ht="15.0" customHeight="1">
      <c r="A153" s="151"/>
      <c r="B153" s="14"/>
      <c r="C153" s="151"/>
      <c r="D153" s="14"/>
      <c r="E153" s="10"/>
      <c r="F153" s="151"/>
      <c r="G153" s="151"/>
      <c r="H153" s="151"/>
      <c r="I153" s="151"/>
      <c r="J153" s="151"/>
      <c r="K153" s="151"/>
      <c r="L153" s="151"/>
      <c r="M153" s="14"/>
      <c r="N153" s="14"/>
      <c r="O153" s="14"/>
      <c r="P153" s="14"/>
    </row>
    <row r="154" ht="15.0" customHeight="1">
      <c r="A154" s="151"/>
      <c r="B154" s="14"/>
      <c r="C154" s="151"/>
      <c r="D154" s="14"/>
      <c r="E154" s="10"/>
      <c r="F154" s="151"/>
      <c r="G154" s="151"/>
      <c r="H154" s="151"/>
      <c r="I154" s="151"/>
      <c r="J154" s="151"/>
      <c r="K154" s="151"/>
      <c r="L154" s="151"/>
      <c r="M154" s="14"/>
      <c r="N154" s="14"/>
      <c r="O154" s="14"/>
      <c r="P154" s="14"/>
    </row>
    <row r="155" ht="15.0" customHeight="1">
      <c r="A155" s="151"/>
      <c r="B155" s="14"/>
      <c r="C155" s="151"/>
      <c r="D155" s="14"/>
      <c r="E155" s="10"/>
      <c r="F155" s="151"/>
      <c r="G155" s="151"/>
      <c r="H155" s="151"/>
      <c r="I155" s="151"/>
      <c r="J155" s="151"/>
      <c r="K155" s="151"/>
      <c r="L155" s="151"/>
      <c r="M155" s="14"/>
      <c r="N155" s="14"/>
      <c r="O155" s="14"/>
      <c r="P155" s="14"/>
    </row>
    <row r="156" ht="15.0" customHeight="1">
      <c r="A156" s="151"/>
      <c r="B156" s="14"/>
      <c r="C156" s="151"/>
      <c r="D156" s="14"/>
      <c r="E156" s="10"/>
      <c r="F156" s="151"/>
      <c r="G156" s="151"/>
      <c r="H156" s="151"/>
      <c r="I156" s="151"/>
      <c r="J156" s="151"/>
      <c r="K156" s="151"/>
      <c r="L156" s="151"/>
      <c r="M156" s="14"/>
      <c r="N156" s="14"/>
      <c r="O156" s="14"/>
      <c r="P156" s="14"/>
    </row>
    <row r="157" ht="15.0" customHeight="1">
      <c r="A157" s="151"/>
      <c r="B157" s="14"/>
      <c r="C157" s="151"/>
      <c r="D157" s="14"/>
      <c r="E157" s="10"/>
      <c r="F157" s="151"/>
      <c r="G157" s="151"/>
      <c r="H157" s="151"/>
      <c r="I157" s="151"/>
      <c r="J157" s="151"/>
      <c r="K157" s="151"/>
      <c r="L157" s="151"/>
      <c r="M157" s="14"/>
      <c r="N157" s="14"/>
      <c r="O157" s="14"/>
      <c r="P157" s="14"/>
    </row>
    <row r="158" ht="15.0" customHeight="1">
      <c r="A158" s="151"/>
      <c r="B158" s="14"/>
      <c r="C158" s="151"/>
      <c r="D158" s="14"/>
      <c r="E158" s="10"/>
      <c r="F158" s="151"/>
      <c r="G158" s="151"/>
      <c r="H158" s="151"/>
      <c r="I158" s="151"/>
      <c r="J158" s="151"/>
      <c r="K158" s="151"/>
      <c r="L158" s="151"/>
      <c r="M158" s="14"/>
      <c r="N158" s="14"/>
      <c r="O158" s="14"/>
      <c r="P158" s="14"/>
    </row>
    <row r="159" ht="15.0" customHeight="1">
      <c r="A159" s="151"/>
      <c r="B159" s="14"/>
      <c r="C159" s="151"/>
      <c r="D159" s="14"/>
      <c r="E159" s="10"/>
      <c r="F159" s="151"/>
      <c r="G159" s="151"/>
      <c r="H159" s="151"/>
      <c r="I159" s="151"/>
      <c r="J159" s="151"/>
      <c r="K159" s="151"/>
      <c r="L159" s="151"/>
      <c r="M159" s="14"/>
      <c r="N159" s="14"/>
      <c r="O159" s="14"/>
      <c r="P159" s="14"/>
    </row>
    <row r="160" ht="15.0" customHeight="1">
      <c r="A160" s="151"/>
      <c r="B160" s="14"/>
      <c r="C160" s="151"/>
      <c r="D160" s="14"/>
      <c r="E160" s="10"/>
      <c r="F160" s="151"/>
      <c r="G160" s="151"/>
      <c r="H160" s="151"/>
      <c r="I160" s="151"/>
      <c r="J160" s="151"/>
      <c r="K160" s="151"/>
      <c r="L160" s="151"/>
      <c r="M160" s="14"/>
      <c r="N160" s="14"/>
      <c r="O160" s="14"/>
      <c r="P160" s="14"/>
    </row>
    <row r="161" ht="15.0" customHeight="1">
      <c r="A161" s="151"/>
      <c r="B161" s="14"/>
      <c r="C161" s="151"/>
      <c r="D161" s="14"/>
      <c r="E161" s="10"/>
      <c r="F161" s="151"/>
      <c r="G161" s="151"/>
      <c r="H161" s="151"/>
      <c r="I161" s="151"/>
      <c r="J161" s="151"/>
      <c r="K161" s="151"/>
      <c r="L161" s="151"/>
      <c r="M161" s="14"/>
      <c r="N161" s="14"/>
      <c r="O161" s="14"/>
      <c r="P161" s="14"/>
    </row>
    <row r="162" ht="15.0" customHeight="1">
      <c r="A162" s="151"/>
      <c r="B162" s="14"/>
      <c r="C162" s="151"/>
      <c r="D162" s="14"/>
      <c r="E162" s="10"/>
      <c r="F162" s="151"/>
      <c r="G162" s="151"/>
      <c r="H162" s="151"/>
      <c r="I162" s="151"/>
      <c r="J162" s="151"/>
      <c r="K162" s="151"/>
      <c r="L162" s="151"/>
      <c r="M162" s="14"/>
      <c r="N162" s="14"/>
      <c r="O162" s="14"/>
      <c r="P162" s="14"/>
    </row>
    <row r="163" ht="15.0" customHeight="1">
      <c r="A163" s="151"/>
      <c r="B163" s="14"/>
      <c r="C163" s="151"/>
      <c r="D163" s="14"/>
      <c r="E163" s="10"/>
      <c r="F163" s="151"/>
      <c r="G163" s="151"/>
      <c r="H163" s="151"/>
      <c r="I163" s="151"/>
      <c r="J163" s="151"/>
      <c r="K163" s="151"/>
      <c r="L163" s="151"/>
      <c r="M163" s="14"/>
      <c r="N163" s="14"/>
      <c r="O163" s="14"/>
      <c r="P163" s="14"/>
    </row>
    <row r="164" ht="15.0" customHeight="1">
      <c r="A164" s="151"/>
      <c r="B164" s="14"/>
      <c r="C164" s="151"/>
      <c r="D164" s="14"/>
      <c r="E164" s="10"/>
      <c r="F164" s="151"/>
      <c r="G164" s="151"/>
      <c r="H164" s="151"/>
      <c r="I164" s="151"/>
      <c r="J164" s="151"/>
      <c r="K164" s="151"/>
      <c r="L164" s="151"/>
      <c r="M164" s="14"/>
      <c r="N164" s="14"/>
      <c r="O164" s="14"/>
      <c r="P164" s="14"/>
    </row>
    <row r="165" ht="15.0" customHeight="1">
      <c r="A165" s="151"/>
      <c r="B165" s="14"/>
      <c r="C165" s="151"/>
      <c r="D165" s="14"/>
      <c r="E165" s="10"/>
      <c r="F165" s="151"/>
      <c r="G165" s="151"/>
      <c r="H165" s="151"/>
      <c r="I165" s="151"/>
      <c r="J165" s="151"/>
      <c r="K165" s="151"/>
      <c r="L165" s="151"/>
      <c r="M165" s="14"/>
      <c r="N165" s="14"/>
      <c r="O165" s="14"/>
      <c r="P165" s="14"/>
    </row>
    <row r="166" ht="15.0" customHeight="1">
      <c r="A166" s="151"/>
      <c r="B166" s="14"/>
      <c r="C166" s="151"/>
      <c r="D166" s="14"/>
      <c r="E166" s="10"/>
      <c r="F166" s="151"/>
      <c r="G166" s="151"/>
      <c r="H166" s="151"/>
      <c r="I166" s="151"/>
      <c r="J166" s="151"/>
      <c r="K166" s="151"/>
      <c r="L166" s="151"/>
      <c r="M166" s="14"/>
      <c r="N166" s="14"/>
      <c r="O166" s="14"/>
      <c r="P166" s="14"/>
    </row>
    <row r="167" ht="15.0" customHeight="1">
      <c r="A167" s="151"/>
      <c r="B167" s="14"/>
      <c r="C167" s="151"/>
      <c r="D167" s="14"/>
      <c r="E167" s="10"/>
      <c r="F167" s="151"/>
      <c r="G167" s="151"/>
      <c r="H167" s="151"/>
      <c r="I167" s="151"/>
      <c r="J167" s="151"/>
      <c r="K167" s="151"/>
      <c r="L167" s="151"/>
      <c r="M167" s="14"/>
      <c r="N167" s="14"/>
      <c r="O167" s="14"/>
      <c r="P167" s="14"/>
    </row>
    <row r="168" ht="15.0" customHeight="1">
      <c r="A168" s="151"/>
      <c r="B168" s="14"/>
      <c r="C168" s="151"/>
      <c r="D168" s="14"/>
      <c r="E168" s="10"/>
      <c r="F168" s="151"/>
      <c r="G168" s="151"/>
      <c r="H168" s="151"/>
      <c r="I168" s="151"/>
      <c r="J168" s="151"/>
      <c r="K168" s="151"/>
      <c r="L168" s="151"/>
      <c r="M168" s="14"/>
      <c r="N168" s="14"/>
      <c r="O168" s="14"/>
      <c r="P168" s="14"/>
    </row>
    <row r="169" ht="15.0" customHeight="1">
      <c r="A169" s="151"/>
      <c r="B169" s="14"/>
      <c r="C169" s="151"/>
      <c r="D169" s="14"/>
      <c r="E169" s="10"/>
      <c r="F169" s="151"/>
      <c r="G169" s="151"/>
      <c r="H169" s="151"/>
      <c r="I169" s="151"/>
      <c r="J169" s="151"/>
      <c r="K169" s="151"/>
      <c r="L169" s="151"/>
      <c r="M169" s="14"/>
      <c r="N169" s="14"/>
      <c r="O169" s="14"/>
      <c r="P169" s="14"/>
    </row>
    <row r="170" ht="15.0" customHeight="1">
      <c r="A170" s="151"/>
      <c r="B170" s="14"/>
      <c r="C170" s="151"/>
      <c r="D170" s="14"/>
      <c r="E170" s="10"/>
      <c r="F170" s="151"/>
      <c r="G170" s="151"/>
      <c r="H170" s="151"/>
      <c r="I170" s="151"/>
      <c r="J170" s="151"/>
      <c r="K170" s="151"/>
      <c r="L170" s="151"/>
      <c r="M170" s="14"/>
      <c r="N170" s="14"/>
      <c r="O170" s="14"/>
      <c r="P170" s="14"/>
    </row>
    <row r="171" ht="15.0" customHeight="1">
      <c r="A171" s="151"/>
      <c r="B171" s="14"/>
      <c r="C171" s="151"/>
      <c r="D171" s="14"/>
      <c r="E171" s="10"/>
      <c r="F171" s="151"/>
      <c r="G171" s="151"/>
      <c r="H171" s="151"/>
      <c r="I171" s="151"/>
      <c r="J171" s="151"/>
      <c r="K171" s="151"/>
      <c r="L171" s="151"/>
      <c r="M171" s="14"/>
      <c r="N171" s="14"/>
      <c r="O171" s="14"/>
      <c r="P171" s="14"/>
    </row>
    <row r="172" ht="15.0" customHeight="1">
      <c r="A172" s="151"/>
      <c r="B172" s="14"/>
      <c r="C172" s="151"/>
      <c r="D172" s="14"/>
      <c r="E172" s="10"/>
      <c r="F172" s="151"/>
      <c r="G172" s="151"/>
      <c r="H172" s="151"/>
      <c r="I172" s="151"/>
      <c r="J172" s="151"/>
      <c r="K172" s="151"/>
      <c r="L172" s="151"/>
      <c r="M172" s="14"/>
      <c r="N172" s="14"/>
      <c r="O172" s="14"/>
      <c r="P172" s="14"/>
    </row>
    <row r="173" ht="15.0" customHeight="1">
      <c r="A173" s="151"/>
      <c r="B173" s="14"/>
      <c r="C173" s="151"/>
      <c r="D173" s="14"/>
      <c r="E173" s="10"/>
      <c r="F173" s="151"/>
      <c r="G173" s="151"/>
      <c r="H173" s="151"/>
      <c r="I173" s="151"/>
      <c r="J173" s="151"/>
      <c r="K173" s="151"/>
      <c r="L173" s="151"/>
      <c r="M173" s="14"/>
      <c r="N173" s="14"/>
      <c r="O173" s="14"/>
      <c r="P173" s="14"/>
    </row>
    <row r="174" ht="15.0" customHeight="1">
      <c r="A174" s="151"/>
      <c r="B174" s="14"/>
      <c r="C174" s="151"/>
      <c r="D174" s="14"/>
      <c r="E174" s="10"/>
      <c r="F174" s="151"/>
      <c r="G174" s="151"/>
      <c r="H174" s="151"/>
      <c r="I174" s="151"/>
      <c r="J174" s="151"/>
      <c r="K174" s="151"/>
      <c r="L174" s="151"/>
      <c r="M174" s="14"/>
      <c r="N174" s="14"/>
      <c r="O174" s="14"/>
      <c r="P174" s="14"/>
    </row>
    <row r="175" ht="15.0" customHeight="1">
      <c r="A175" s="151"/>
      <c r="B175" s="14"/>
      <c r="C175" s="151"/>
      <c r="D175" s="14"/>
      <c r="E175" s="10"/>
      <c r="F175" s="151"/>
      <c r="G175" s="151"/>
      <c r="H175" s="151"/>
      <c r="I175" s="151"/>
      <c r="J175" s="151"/>
      <c r="K175" s="151"/>
      <c r="L175" s="151"/>
      <c r="M175" s="14"/>
      <c r="N175" s="14"/>
      <c r="O175" s="14"/>
      <c r="P175" s="14"/>
    </row>
    <row r="176" ht="15.0" customHeight="1">
      <c r="A176" s="151"/>
      <c r="B176" s="14"/>
      <c r="C176" s="151"/>
      <c r="D176" s="14"/>
      <c r="E176" s="10"/>
      <c r="F176" s="151"/>
      <c r="G176" s="151"/>
      <c r="H176" s="151"/>
      <c r="I176" s="151"/>
      <c r="J176" s="151"/>
      <c r="K176" s="151"/>
      <c r="L176" s="151"/>
      <c r="M176" s="14"/>
      <c r="N176" s="14"/>
      <c r="O176" s="14"/>
      <c r="P176" s="14"/>
    </row>
    <row r="177" ht="15.0" customHeight="1">
      <c r="A177" s="151"/>
      <c r="B177" s="14"/>
      <c r="C177" s="151"/>
      <c r="D177" s="14"/>
      <c r="E177" s="10"/>
      <c r="F177" s="151"/>
      <c r="G177" s="151"/>
      <c r="H177" s="151"/>
      <c r="I177" s="151"/>
      <c r="J177" s="151"/>
      <c r="K177" s="151"/>
      <c r="L177" s="151"/>
      <c r="M177" s="14"/>
      <c r="N177" s="14"/>
      <c r="O177" s="14"/>
      <c r="P177" s="14"/>
    </row>
    <row r="178" ht="15.0" customHeight="1">
      <c r="A178" s="151"/>
      <c r="B178" s="14"/>
      <c r="C178" s="151"/>
      <c r="D178" s="14"/>
      <c r="E178" s="10"/>
      <c r="F178" s="151"/>
      <c r="G178" s="151"/>
      <c r="H178" s="151"/>
      <c r="I178" s="151"/>
      <c r="J178" s="151"/>
      <c r="K178" s="151"/>
      <c r="L178" s="151"/>
      <c r="M178" s="14"/>
      <c r="N178" s="14"/>
      <c r="O178" s="14"/>
      <c r="P178" s="14"/>
    </row>
    <row r="179" ht="15.0" customHeight="1">
      <c r="A179" s="151"/>
      <c r="B179" s="14"/>
      <c r="C179" s="151"/>
      <c r="D179" s="14"/>
      <c r="E179" s="10"/>
      <c r="F179" s="151"/>
      <c r="G179" s="151"/>
      <c r="H179" s="151"/>
      <c r="I179" s="151"/>
      <c r="J179" s="151"/>
      <c r="K179" s="151"/>
      <c r="L179" s="151"/>
      <c r="M179" s="14"/>
      <c r="N179" s="14"/>
      <c r="O179" s="14"/>
      <c r="P179" s="14"/>
    </row>
    <row r="180" ht="15.0" customHeight="1">
      <c r="A180" s="151"/>
      <c r="B180" s="14"/>
      <c r="C180" s="151"/>
      <c r="D180" s="14"/>
      <c r="E180" s="10"/>
      <c r="F180" s="151"/>
      <c r="G180" s="151"/>
      <c r="H180" s="151"/>
      <c r="I180" s="151"/>
      <c r="J180" s="151"/>
      <c r="K180" s="151"/>
      <c r="L180" s="151"/>
      <c r="M180" s="14"/>
      <c r="N180" s="14"/>
      <c r="O180" s="14"/>
      <c r="P180" s="14"/>
    </row>
    <row r="181" ht="15.0" customHeight="1">
      <c r="A181" s="151"/>
      <c r="B181" s="14"/>
      <c r="C181" s="151"/>
      <c r="D181" s="14"/>
      <c r="E181" s="10"/>
      <c r="F181" s="151"/>
      <c r="G181" s="151"/>
      <c r="H181" s="151"/>
      <c r="I181" s="151"/>
      <c r="J181" s="151"/>
      <c r="K181" s="151"/>
      <c r="L181" s="151"/>
      <c r="M181" s="14"/>
      <c r="N181" s="14"/>
      <c r="O181" s="14"/>
      <c r="P181" s="14"/>
    </row>
    <row r="182" ht="15.0" customHeight="1">
      <c r="A182" s="151"/>
      <c r="B182" s="14"/>
      <c r="C182" s="151"/>
      <c r="D182" s="14"/>
      <c r="E182" s="10"/>
      <c r="F182" s="151"/>
      <c r="G182" s="151"/>
      <c r="H182" s="151"/>
      <c r="I182" s="151"/>
      <c r="J182" s="151"/>
      <c r="K182" s="151"/>
      <c r="L182" s="151"/>
      <c r="M182" s="14"/>
      <c r="N182" s="14"/>
      <c r="O182" s="14"/>
      <c r="P182" s="14"/>
    </row>
    <row r="183" ht="15.0" customHeight="1">
      <c r="A183" s="151"/>
      <c r="B183" s="14"/>
      <c r="C183" s="151"/>
      <c r="D183" s="14"/>
      <c r="E183" s="10"/>
      <c r="F183" s="151"/>
      <c r="G183" s="151"/>
      <c r="H183" s="151"/>
      <c r="I183" s="151"/>
      <c r="J183" s="151"/>
      <c r="K183" s="151"/>
      <c r="L183" s="151"/>
      <c r="M183" s="14"/>
      <c r="N183" s="14"/>
      <c r="O183" s="14"/>
      <c r="P183" s="14"/>
    </row>
    <row r="184" ht="15.0" customHeight="1">
      <c r="A184" s="151"/>
      <c r="B184" s="14"/>
      <c r="C184" s="151"/>
      <c r="D184" s="14"/>
      <c r="E184" s="10"/>
      <c r="F184" s="151"/>
      <c r="G184" s="151"/>
      <c r="H184" s="151"/>
      <c r="I184" s="151"/>
      <c r="J184" s="151"/>
      <c r="K184" s="151"/>
      <c r="L184" s="151"/>
      <c r="M184" s="14"/>
      <c r="N184" s="14"/>
      <c r="O184" s="14"/>
      <c r="P184" s="14"/>
    </row>
    <row r="185" ht="15.0" customHeight="1">
      <c r="A185" s="151"/>
      <c r="B185" s="14"/>
      <c r="C185" s="151"/>
      <c r="D185" s="14"/>
      <c r="E185" s="10"/>
      <c r="F185" s="151"/>
      <c r="G185" s="151"/>
      <c r="H185" s="151"/>
      <c r="I185" s="151"/>
      <c r="J185" s="151"/>
      <c r="K185" s="151"/>
      <c r="L185" s="151"/>
      <c r="M185" s="14"/>
      <c r="N185" s="14"/>
      <c r="O185" s="14"/>
      <c r="P185" s="14"/>
    </row>
    <row r="186" ht="15.0" customHeight="1">
      <c r="A186" s="151"/>
      <c r="B186" s="14"/>
      <c r="C186" s="151"/>
      <c r="D186" s="14"/>
      <c r="E186" s="10"/>
      <c r="F186" s="151"/>
      <c r="G186" s="151"/>
      <c r="H186" s="151"/>
      <c r="I186" s="151"/>
      <c r="J186" s="151"/>
      <c r="K186" s="151"/>
      <c r="L186" s="151"/>
      <c r="M186" s="14"/>
      <c r="N186" s="14"/>
      <c r="O186" s="14"/>
      <c r="P186" s="14"/>
    </row>
    <row r="187" ht="15.0" customHeight="1">
      <c r="A187" s="151"/>
      <c r="B187" s="14"/>
      <c r="C187" s="151"/>
      <c r="D187" s="14"/>
      <c r="E187" s="10"/>
      <c r="F187" s="151"/>
      <c r="G187" s="151"/>
      <c r="H187" s="151"/>
      <c r="I187" s="151"/>
      <c r="J187" s="151"/>
      <c r="K187" s="151"/>
      <c r="L187" s="151"/>
      <c r="M187" s="14"/>
      <c r="N187" s="14"/>
      <c r="O187" s="14"/>
      <c r="P187" s="14"/>
    </row>
    <row r="188" ht="15.0" customHeight="1">
      <c r="A188" s="151"/>
      <c r="B188" s="14"/>
      <c r="C188" s="151"/>
      <c r="D188" s="14"/>
      <c r="E188" s="10"/>
      <c r="F188" s="151"/>
      <c r="G188" s="151"/>
      <c r="H188" s="151"/>
      <c r="I188" s="151"/>
      <c r="J188" s="151"/>
      <c r="K188" s="151"/>
      <c r="L188" s="151"/>
      <c r="M188" s="14"/>
      <c r="N188" s="14"/>
      <c r="O188" s="14"/>
      <c r="P188" s="14"/>
    </row>
    <row r="189" ht="15.0" customHeight="1">
      <c r="A189" s="151"/>
      <c r="B189" s="14"/>
      <c r="C189" s="151"/>
      <c r="D189" s="14"/>
      <c r="E189" s="10"/>
      <c r="F189" s="151"/>
      <c r="G189" s="151"/>
      <c r="H189" s="151"/>
      <c r="I189" s="151"/>
      <c r="J189" s="151"/>
      <c r="K189" s="151"/>
      <c r="L189" s="151"/>
      <c r="M189" s="14"/>
      <c r="N189" s="14"/>
      <c r="O189" s="14"/>
      <c r="P189" s="14"/>
    </row>
    <row r="190" ht="15.0" customHeight="1">
      <c r="A190" s="151"/>
      <c r="B190" s="14"/>
      <c r="C190" s="151"/>
      <c r="D190" s="14"/>
      <c r="E190" s="10"/>
      <c r="F190" s="151"/>
      <c r="G190" s="151"/>
      <c r="H190" s="151"/>
      <c r="I190" s="151"/>
      <c r="J190" s="151"/>
      <c r="K190" s="151"/>
      <c r="L190" s="151"/>
      <c r="M190" s="14"/>
      <c r="N190" s="14"/>
      <c r="O190" s="14"/>
      <c r="P190" s="14"/>
    </row>
    <row r="191" ht="15.0" customHeight="1">
      <c r="A191" s="151"/>
      <c r="B191" s="14"/>
      <c r="C191" s="151"/>
      <c r="D191" s="14"/>
      <c r="E191" s="10"/>
      <c r="F191" s="151"/>
      <c r="G191" s="151"/>
      <c r="H191" s="151"/>
      <c r="I191" s="151"/>
      <c r="J191" s="151"/>
      <c r="K191" s="151"/>
      <c r="L191" s="151"/>
      <c r="M191" s="14"/>
      <c r="N191" s="14"/>
      <c r="O191" s="14"/>
      <c r="P191" s="14"/>
    </row>
    <row r="192" ht="15.0" customHeight="1">
      <c r="A192" s="151"/>
      <c r="B192" s="14"/>
      <c r="C192" s="151"/>
      <c r="D192" s="14"/>
      <c r="E192" s="10"/>
      <c r="F192" s="151"/>
      <c r="G192" s="151"/>
      <c r="H192" s="151"/>
      <c r="I192" s="151"/>
      <c r="J192" s="151"/>
      <c r="K192" s="151"/>
      <c r="L192" s="151"/>
      <c r="M192" s="14"/>
      <c r="N192" s="14"/>
      <c r="O192" s="14"/>
      <c r="P192" s="14"/>
    </row>
    <row r="193" ht="15.0" customHeight="1">
      <c r="A193" s="151"/>
      <c r="B193" s="14"/>
      <c r="C193" s="151"/>
      <c r="D193" s="14"/>
      <c r="E193" s="10"/>
      <c r="F193" s="151"/>
      <c r="G193" s="151"/>
      <c r="H193" s="151"/>
      <c r="I193" s="151"/>
      <c r="J193" s="151"/>
      <c r="K193" s="151"/>
      <c r="L193" s="151"/>
      <c r="M193" s="14"/>
      <c r="N193" s="14"/>
      <c r="O193" s="14"/>
      <c r="P193" s="14"/>
    </row>
    <row r="194" ht="15.0" customHeight="1">
      <c r="A194" s="151"/>
      <c r="B194" s="14"/>
      <c r="C194" s="151"/>
      <c r="D194" s="14"/>
      <c r="E194" s="10"/>
      <c r="F194" s="151"/>
      <c r="G194" s="151"/>
      <c r="H194" s="151"/>
      <c r="I194" s="151"/>
      <c r="J194" s="151"/>
      <c r="K194" s="151"/>
      <c r="L194" s="151"/>
      <c r="M194" s="14"/>
      <c r="N194" s="14"/>
      <c r="O194" s="14"/>
      <c r="P194" s="14"/>
    </row>
    <row r="195" ht="15.0" customHeight="1">
      <c r="A195" s="151"/>
      <c r="B195" s="14"/>
      <c r="C195" s="151"/>
      <c r="D195" s="14"/>
      <c r="E195" s="10"/>
      <c r="F195" s="151"/>
      <c r="G195" s="151"/>
      <c r="H195" s="151"/>
      <c r="I195" s="151"/>
      <c r="J195" s="151"/>
      <c r="K195" s="151"/>
      <c r="L195" s="151"/>
      <c r="M195" s="14"/>
      <c r="N195" s="14"/>
      <c r="O195" s="14"/>
      <c r="P195" s="14"/>
    </row>
    <row r="196" ht="15.0" customHeight="1">
      <c r="A196" s="151"/>
      <c r="B196" s="14"/>
      <c r="C196" s="151"/>
      <c r="D196" s="14"/>
      <c r="E196" s="10"/>
      <c r="F196" s="151"/>
      <c r="G196" s="151"/>
      <c r="H196" s="151"/>
      <c r="I196" s="151"/>
      <c r="J196" s="151"/>
      <c r="K196" s="151"/>
      <c r="L196" s="151"/>
      <c r="M196" s="14"/>
      <c r="N196" s="14"/>
      <c r="O196" s="14"/>
      <c r="P196" s="14"/>
    </row>
    <row r="197" ht="15.0" customHeight="1">
      <c r="A197" s="151"/>
      <c r="B197" s="14"/>
      <c r="C197" s="151"/>
      <c r="D197" s="14"/>
      <c r="E197" s="10"/>
      <c r="F197" s="151"/>
      <c r="G197" s="151"/>
      <c r="H197" s="151"/>
      <c r="I197" s="151"/>
      <c r="J197" s="151"/>
      <c r="K197" s="151"/>
      <c r="L197" s="151"/>
      <c r="M197" s="14"/>
      <c r="N197" s="14"/>
      <c r="O197" s="14"/>
      <c r="P197" s="14"/>
    </row>
    <row r="198" ht="15.0" customHeight="1">
      <c r="A198" s="151"/>
      <c r="B198" s="14"/>
      <c r="C198" s="151"/>
      <c r="D198" s="14"/>
      <c r="E198" s="10"/>
      <c r="F198" s="151"/>
      <c r="G198" s="151"/>
      <c r="H198" s="151"/>
      <c r="I198" s="151"/>
      <c r="J198" s="151"/>
      <c r="K198" s="151"/>
      <c r="L198" s="151"/>
      <c r="M198" s="14"/>
      <c r="N198" s="14"/>
      <c r="O198" s="14"/>
      <c r="P198" s="14"/>
    </row>
    <row r="199" ht="15.0" customHeight="1">
      <c r="A199" s="151"/>
      <c r="B199" s="14"/>
      <c r="C199" s="151"/>
      <c r="D199" s="14"/>
      <c r="E199" s="10"/>
      <c r="F199" s="151"/>
      <c r="G199" s="151"/>
      <c r="H199" s="151"/>
      <c r="I199" s="151"/>
      <c r="J199" s="151"/>
      <c r="K199" s="151"/>
      <c r="L199" s="151"/>
      <c r="M199" s="14"/>
      <c r="N199" s="14"/>
      <c r="O199" s="14"/>
      <c r="P199" s="14"/>
    </row>
    <row r="200" ht="15.0" customHeight="1">
      <c r="A200" s="151"/>
      <c r="B200" s="14"/>
      <c r="C200" s="151"/>
      <c r="D200" s="14"/>
      <c r="E200" s="10"/>
      <c r="F200" s="151"/>
      <c r="G200" s="151"/>
      <c r="H200" s="151"/>
      <c r="I200" s="151"/>
      <c r="J200" s="151"/>
      <c r="K200" s="151"/>
      <c r="L200" s="151"/>
      <c r="M200" s="14"/>
      <c r="N200" s="14"/>
      <c r="O200" s="14"/>
      <c r="P200" s="14"/>
    </row>
    <row r="201" ht="15.0" customHeight="1">
      <c r="A201" s="151"/>
      <c r="B201" s="14"/>
      <c r="C201" s="151"/>
      <c r="D201" s="14"/>
      <c r="E201" s="10"/>
      <c r="F201" s="151"/>
      <c r="G201" s="151"/>
      <c r="H201" s="151"/>
      <c r="I201" s="151"/>
      <c r="J201" s="151"/>
      <c r="K201" s="151"/>
      <c r="L201" s="151"/>
      <c r="M201" s="14"/>
      <c r="N201" s="14"/>
      <c r="O201" s="14"/>
      <c r="P201" s="14"/>
    </row>
    <row r="202" ht="15.0" customHeight="1">
      <c r="A202" s="151"/>
      <c r="B202" s="14"/>
      <c r="C202" s="151"/>
      <c r="D202" s="14"/>
      <c r="E202" s="10"/>
      <c r="F202" s="151"/>
      <c r="G202" s="151"/>
      <c r="H202" s="151"/>
      <c r="I202" s="151"/>
      <c r="J202" s="151"/>
      <c r="K202" s="151"/>
      <c r="L202" s="151"/>
      <c r="M202" s="14"/>
      <c r="N202" s="14"/>
      <c r="O202" s="14"/>
      <c r="P202" s="14"/>
    </row>
    <row r="203" ht="15.0" customHeight="1">
      <c r="A203" s="151"/>
      <c r="B203" s="14"/>
      <c r="C203" s="151"/>
      <c r="D203" s="14"/>
      <c r="E203" s="10"/>
      <c r="F203" s="151"/>
      <c r="G203" s="151"/>
      <c r="H203" s="151"/>
      <c r="I203" s="151"/>
      <c r="J203" s="151"/>
      <c r="K203" s="151"/>
      <c r="L203" s="151"/>
      <c r="M203" s="14"/>
      <c r="N203" s="14"/>
      <c r="O203" s="14"/>
      <c r="P203" s="14"/>
    </row>
    <row r="204" ht="15.0" customHeight="1">
      <c r="A204" s="151"/>
      <c r="B204" s="14"/>
      <c r="C204" s="151"/>
      <c r="D204" s="14"/>
      <c r="E204" s="10"/>
      <c r="F204" s="151"/>
      <c r="G204" s="151"/>
      <c r="H204" s="151"/>
      <c r="I204" s="151"/>
      <c r="J204" s="151"/>
      <c r="K204" s="151"/>
      <c r="L204" s="151"/>
      <c r="M204" s="14"/>
      <c r="N204" s="14"/>
      <c r="O204" s="14"/>
      <c r="P204" s="14"/>
    </row>
    <row r="205" ht="15.0" customHeight="1">
      <c r="A205" s="151"/>
      <c r="B205" s="14"/>
      <c r="C205" s="151"/>
      <c r="D205" s="14"/>
      <c r="E205" s="10"/>
      <c r="F205" s="151"/>
      <c r="G205" s="151"/>
      <c r="H205" s="151"/>
      <c r="I205" s="151"/>
      <c r="J205" s="151"/>
      <c r="K205" s="151"/>
      <c r="L205" s="151"/>
      <c r="M205" s="14"/>
      <c r="N205" s="14"/>
      <c r="O205" s="14"/>
      <c r="P205" s="14"/>
    </row>
    <row r="206" ht="15.0" customHeight="1">
      <c r="A206" s="151"/>
      <c r="B206" s="14"/>
      <c r="C206" s="151"/>
      <c r="D206" s="14"/>
      <c r="E206" s="10"/>
      <c r="F206" s="151"/>
      <c r="G206" s="151"/>
      <c r="H206" s="151"/>
      <c r="I206" s="151"/>
      <c r="J206" s="151"/>
      <c r="K206" s="151"/>
      <c r="L206" s="151"/>
      <c r="M206" s="14"/>
      <c r="N206" s="14"/>
      <c r="O206" s="14"/>
      <c r="P206" s="14"/>
    </row>
    <row r="207" ht="15.0" customHeight="1">
      <c r="A207" s="151"/>
      <c r="B207" s="14"/>
      <c r="C207" s="151"/>
      <c r="D207" s="14"/>
      <c r="E207" s="10"/>
      <c r="F207" s="151"/>
      <c r="G207" s="151"/>
      <c r="H207" s="151"/>
      <c r="I207" s="151"/>
      <c r="J207" s="151"/>
      <c r="K207" s="151"/>
      <c r="L207" s="151"/>
      <c r="M207" s="14"/>
      <c r="N207" s="14"/>
      <c r="O207" s="14"/>
      <c r="P207" s="14"/>
    </row>
    <row r="208" ht="15.0" customHeight="1">
      <c r="A208" s="151"/>
      <c r="B208" s="14"/>
      <c r="C208" s="151"/>
      <c r="D208" s="14"/>
      <c r="E208" s="10"/>
      <c r="F208" s="151"/>
      <c r="G208" s="151"/>
      <c r="H208" s="151"/>
      <c r="I208" s="151"/>
      <c r="J208" s="151"/>
      <c r="K208" s="151"/>
      <c r="L208" s="151"/>
      <c r="M208" s="14"/>
      <c r="N208" s="14"/>
      <c r="O208" s="14"/>
      <c r="P208" s="14"/>
    </row>
    <row r="209" ht="15.0" customHeight="1">
      <c r="A209" s="151"/>
      <c r="B209" s="14"/>
      <c r="C209" s="151"/>
      <c r="D209" s="14"/>
      <c r="E209" s="10"/>
      <c r="F209" s="151"/>
      <c r="G209" s="151"/>
      <c r="H209" s="151"/>
      <c r="I209" s="151"/>
      <c r="J209" s="151"/>
      <c r="K209" s="151"/>
      <c r="L209" s="151"/>
      <c r="M209" s="14"/>
      <c r="N209" s="14"/>
      <c r="O209" s="14"/>
      <c r="P209" s="14"/>
    </row>
    <row r="210" ht="15.0" customHeight="1">
      <c r="A210" s="151"/>
      <c r="B210" s="14"/>
      <c r="C210" s="151"/>
      <c r="D210" s="14"/>
      <c r="E210" s="10"/>
      <c r="F210" s="151"/>
      <c r="G210" s="151"/>
      <c r="H210" s="151"/>
      <c r="I210" s="151"/>
      <c r="J210" s="151"/>
      <c r="K210" s="151"/>
      <c r="L210" s="151"/>
      <c r="M210" s="14"/>
      <c r="N210" s="14"/>
      <c r="O210" s="14"/>
      <c r="P210" s="14"/>
    </row>
    <row r="211" ht="15.0" customHeight="1">
      <c r="A211" s="151"/>
      <c r="B211" s="14"/>
      <c r="C211" s="151"/>
      <c r="D211" s="14"/>
      <c r="E211" s="10"/>
      <c r="F211" s="151"/>
      <c r="G211" s="151"/>
      <c r="H211" s="151"/>
      <c r="I211" s="151"/>
      <c r="J211" s="151"/>
      <c r="K211" s="151"/>
      <c r="L211" s="151"/>
      <c r="M211" s="14"/>
      <c r="N211" s="14"/>
      <c r="O211" s="14"/>
      <c r="P211" s="14"/>
    </row>
    <row r="212" ht="15.0" customHeight="1">
      <c r="A212" s="151"/>
      <c r="B212" s="14"/>
      <c r="C212" s="151"/>
      <c r="D212" s="14"/>
      <c r="E212" s="10"/>
      <c r="F212" s="151"/>
      <c r="G212" s="151"/>
      <c r="H212" s="151"/>
      <c r="I212" s="151"/>
      <c r="J212" s="151"/>
      <c r="K212" s="151"/>
      <c r="L212" s="151"/>
      <c r="M212" s="14"/>
      <c r="N212" s="14"/>
      <c r="O212" s="14"/>
      <c r="P212" s="14"/>
    </row>
    <row r="213" ht="15.0" customHeight="1">
      <c r="A213" s="151"/>
      <c r="B213" s="14"/>
      <c r="C213" s="151"/>
      <c r="D213" s="14"/>
      <c r="E213" s="10"/>
      <c r="F213" s="151"/>
      <c r="G213" s="151"/>
      <c r="H213" s="151"/>
      <c r="I213" s="151"/>
      <c r="J213" s="151"/>
      <c r="K213" s="151"/>
      <c r="L213" s="151"/>
      <c r="M213" s="14"/>
      <c r="N213" s="14"/>
      <c r="O213" s="14"/>
      <c r="P213" s="14"/>
    </row>
    <row r="214" ht="15.0" customHeight="1">
      <c r="A214" s="151"/>
      <c r="B214" s="14"/>
      <c r="C214" s="151"/>
      <c r="D214" s="14"/>
      <c r="E214" s="10"/>
      <c r="F214" s="151"/>
      <c r="G214" s="151"/>
      <c r="H214" s="151"/>
      <c r="I214" s="151"/>
      <c r="J214" s="151"/>
      <c r="K214" s="151"/>
      <c r="L214" s="151"/>
      <c r="M214" s="14"/>
      <c r="N214" s="14"/>
      <c r="O214" s="14"/>
      <c r="P214" s="14"/>
    </row>
    <row r="215" ht="15.0" customHeight="1">
      <c r="A215" s="151"/>
      <c r="B215" s="14"/>
      <c r="C215" s="151"/>
      <c r="D215" s="14"/>
      <c r="E215" s="10"/>
      <c r="F215" s="151"/>
      <c r="G215" s="151"/>
      <c r="H215" s="151"/>
      <c r="I215" s="151"/>
      <c r="J215" s="151"/>
      <c r="K215" s="151"/>
      <c r="L215" s="151"/>
      <c r="M215" s="14"/>
      <c r="N215" s="14"/>
      <c r="O215" s="14"/>
      <c r="P215" s="14"/>
    </row>
    <row r="216" ht="15.0" customHeight="1">
      <c r="A216" s="151"/>
      <c r="B216" s="14"/>
      <c r="C216" s="151"/>
      <c r="D216" s="14"/>
      <c r="E216" s="10"/>
      <c r="F216" s="151"/>
      <c r="G216" s="151"/>
      <c r="H216" s="151"/>
      <c r="I216" s="151"/>
      <c r="J216" s="151"/>
      <c r="K216" s="151"/>
      <c r="L216" s="151"/>
      <c r="M216" s="14"/>
      <c r="N216" s="14"/>
      <c r="O216" s="14"/>
      <c r="P216" s="14"/>
    </row>
    <row r="217" ht="15.0" customHeight="1">
      <c r="A217" s="151"/>
      <c r="B217" s="14"/>
      <c r="C217" s="151"/>
      <c r="D217" s="14"/>
      <c r="E217" s="10"/>
      <c r="F217" s="151"/>
      <c r="G217" s="151"/>
      <c r="H217" s="151"/>
      <c r="I217" s="151"/>
      <c r="J217" s="151"/>
      <c r="K217" s="151"/>
      <c r="L217" s="151"/>
      <c r="M217" s="14"/>
      <c r="N217" s="14"/>
      <c r="O217" s="14"/>
      <c r="P217" s="14"/>
    </row>
    <row r="218" ht="15.0" customHeight="1">
      <c r="A218" s="151"/>
      <c r="B218" s="14"/>
      <c r="C218" s="151"/>
      <c r="D218" s="14"/>
      <c r="E218" s="10"/>
      <c r="F218" s="151"/>
      <c r="G218" s="151"/>
      <c r="H218" s="151"/>
      <c r="I218" s="151"/>
      <c r="J218" s="151"/>
      <c r="K218" s="151"/>
      <c r="L218" s="151"/>
      <c r="M218" s="14"/>
      <c r="N218" s="14"/>
      <c r="O218" s="14"/>
      <c r="P218" s="14"/>
    </row>
    <row r="219" ht="15.0" customHeight="1">
      <c r="A219" s="151"/>
      <c r="B219" s="14"/>
      <c r="C219" s="151"/>
      <c r="D219" s="14"/>
      <c r="E219" s="10"/>
      <c r="F219" s="151"/>
      <c r="G219" s="151"/>
      <c r="H219" s="151"/>
      <c r="I219" s="151"/>
      <c r="J219" s="151"/>
      <c r="K219" s="151"/>
      <c r="L219" s="151"/>
      <c r="M219" s="14"/>
      <c r="N219" s="14"/>
      <c r="O219" s="14"/>
      <c r="P219" s="14"/>
    </row>
    <row r="220" ht="15.0" customHeight="1">
      <c r="A220" s="151"/>
      <c r="B220" s="14"/>
      <c r="C220" s="151"/>
      <c r="D220" s="14"/>
      <c r="E220" s="10"/>
      <c r="F220" s="151"/>
      <c r="G220" s="151"/>
      <c r="H220" s="151"/>
      <c r="I220" s="151"/>
      <c r="J220" s="151"/>
      <c r="K220" s="151"/>
      <c r="L220" s="151"/>
      <c r="M220" s="14"/>
      <c r="N220" s="14"/>
      <c r="O220" s="14"/>
      <c r="P220" s="14"/>
    </row>
    <row r="221" ht="15.75" customHeight="1">
      <c r="A221" s="328"/>
      <c r="B221" s="328"/>
      <c r="C221" s="354"/>
      <c r="D221" s="328"/>
      <c r="E221" s="328"/>
      <c r="F221" s="354"/>
      <c r="G221" s="354"/>
      <c r="H221" s="354"/>
      <c r="I221" s="354"/>
      <c r="J221" s="354"/>
      <c r="K221" s="354"/>
      <c r="L221" s="331"/>
    </row>
    <row r="222" ht="15.75" customHeight="1">
      <c r="A222" s="328"/>
      <c r="B222" s="328"/>
      <c r="C222" s="354"/>
      <c r="D222" s="328"/>
      <c r="E222" s="328"/>
      <c r="F222" s="354"/>
      <c r="G222" s="354"/>
      <c r="H222" s="354"/>
      <c r="I222" s="354"/>
      <c r="J222" s="354"/>
      <c r="K222" s="354"/>
      <c r="L222" s="331"/>
    </row>
    <row r="223" ht="15.75" customHeight="1">
      <c r="A223" s="328"/>
      <c r="B223" s="328"/>
      <c r="C223" s="354"/>
      <c r="D223" s="328"/>
      <c r="E223" s="328"/>
      <c r="F223" s="354"/>
      <c r="G223" s="354"/>
      <c r="H223" s="354"/>
      <c r="I223" s="354"/>
      <c r="J223" s="354"/>
      <c r="K223" s="354"/>
      <c r="L223" s="331"/>
    </row>
    <row r="224" ht="15.75" customHeight="1">
      <c r="A224" s="328"/>
      <c r="B224" s="328"/>
      <c r="C224" s="354"/>
      <c r="D224" s="328"/>
      <c r="E224" s="328"/>
      <c r="F224" s="354"/>
      <c r="G224" s="354"/>
      <c r="H224" s="354"/>
      <c r="I224" s="354"/>
      <c r="J224" s="354"/>
      <c r="K224" s="354"/>
      <c r="L224" s="331"/>
    </row>
    <row r="225" ht="15.75" customHeight="1">
      <c r="A225" s="328"/>
      <c r="B225" s="328"/>
      <c r="C225" s="354"/>
      <c r="D225" s="328"/>
      <c r="E225" s="328"/>
      <c r="F225" s="354"/>
      <c r="G225" s="354"/>
      <c r="H225" s="354"/>
      <c r="I225" s="354"/>
      <c r="J225" s="354"/>
      <c r="K225" s="354"/>
      <c r="L225" s="331"/>
    </row>
    <row r="226" ht="15.75" customHeight="1">
      <c r="A226" s="328"/>
      <c r="B226" s="328"/>
      <c r="C226" s="354"/>
      <c r="D226" s="328"/>
      <c r="E226" s="328"/>
      <c r="F226" s="354"/>
      <c r="G226" s="354"/>
      <c r="H226" s="354"/>
      <c r="I226" s="354"/>
      <c r="J226" s="354"/>
      <c r="K226" s="354"/>
      <c r="L226" s="331"/>
    </row>
    <row r="227" ht="15.75" customHeight="1">
      <c r="A227" s="328"/>
      <c r="B227" s="328"/>
      <c r="C227" s="354"/>
      <c r="D227" s="328"/>
      <c r="E227" s="328"/>
      <c r="F227" s="354"/>
      <c r="G227" s="354"/>
      <c r="H227" s="354"/>
      <c r="I227" s="354"/>
      <c r="J227" s="354"/>
      <c r="K227" s="354"/>
      <c r="L227" s="331"/>
    </row>
    <row r="228" ht="15.75" customHeight="1">
      <c r="A228" s="328"/>
      <c r="B228" s="328"/>
      <c r="C228" s="354"/>
      <c r="D228" s="328"/>
      <c r="E228" s="328"/>
      <c r="F228" s="354"/>
      <c r="G228" s="354"/>
      <c r="H228" s="354"/>
      <c r="I228" s="354"/>
      <c r="J228" s="354"/>
      <c r="K228" s="354"/>
      <c r="L228" s="331"/>
    </row>
    <row r="229" ht="15.75" customHeight="1">
      <c r="A229" s="328"/>
      <c r="B229" s="328"/>
      <c r="C229" s="354"/>
      <c r="D229" s="328"/>
      <c r="E229" s="328"/>
      <c r="F229" s="354"/>
      <c r="G229" s="354"/>
      <c r="H229" s="354"/>
      <c r="I229" s="354"/>
      <c r="J229" s="354"/>
      <c r="K229" s="354"/>
      <c r="L229" s="331"/>
    </row>
    <row r="230" ht="15.75" customHeight="1">
      <c r="A230" s="328"/>
      <c r="B230" s="328"/>
      <c r="C230" s="354"/>
      <c r="D230" s="328"/>
      <c r="E230" s="328"/>
      <c r="F230" s="354"/>
      <c r="G230" s="354"/>
      <c r="H230" s="354"/>
      <c r="I230" s="354"/>
      <c r="J230" s="354"/>
      <c r="K230" s="354"/>
      <c r="L230" s="331"/>
    </row>
    <row r="231" ht="15.75" customHeight="1">
      <c r="A231" s="328"/>
      <c r="B231" s="328"/>
      <c r="C231" s="354"/>
      <c r="D231" s="328"/>
      <c r="E231" s="328"/>
      <c r="F231" s="354"/>
      <c r="G231" s="354"/>
      <c r="H231" s="354"/>
      <c r="I231" s="354"/>
      <c r="J231" s="354"/>
      <c r="K231" s="354"/>
      <c r="L231" s="331"/>
    </row>
    <row r="232" ht="15.75" customHeight="1">
      <c r="A232" s="328"/>
      <c r="B232" s="328"/>
      <c r="C232" s="354"/>
      <c r="D232" s="328"/>
      <c r="E232" s="328"/>
      <c r="F232" s="354"/>
      <c r="G232" s="354"/>
      <c r="H232" s="354"/>
      <c r="I232" s="354"/>
      <c r="J232" s="354"/>
      <c r="K232" s="354"/>
      <c r="L232" s="331"/>
    </row>
    <row r="233" ht="15.75" customHeight="1">
      <c r="A233" s="328"/>
      <c r="B233" s="328"/>
      <c r="C233" s="354"/>
      <c r="D233" s="328"/>
      <c r="E233" s="328"/>
      <c r="F233" s="354"/>
      <c r="G233" s="354"/>
      <c r="H233" s="354"/>
      <c r="I233" s="354"/>
      <c r="J233" s="354"/>
      <c r="K233" s="354"/>
      <c r="L233" s="331"/>
    </row>
    <row r="234" ht="15.75" customHeight="1">
      <c r="A234" s="328"/>
      <c r="B234" s="328"/>
      <c r="C234" s="354"/>
      <c r="D234" s="328"/>
      <c r="E234" s="328"/>
      <c r="F234" s="354"/>
      <c r="G234" s="354"/>
      <c r="H234" s="354"/>
      <c r="I234" s="354"/>
      <c r="J234" s="354"/>
      <c r="K234" s="354"/>
      <c r="L234" s="331"/>
    </row>
    <row r="235" ht="15.75" customHeight="1">
      <c r="A235" s="328"/>
      <c r="B235" s="328"/>
      <c r="C235" s="354"/>
      <c r="D235" s="328"/>
      <c r="E235" s="328"/>
      <c r="F235" s="354"/>
      <c r="G235" s="354"/>
      <c r="H235" s="354"/>
      <c r="I235" s="354"/>
      <c r="J235" s="354"/>
      <c r="K235" s="354"/>
      <c r="L235" s="331"/>
    </row>
    <row r="236" ht="15.75" customHeight="1">
      <c r="A236" s="328"/>
      <c r="B236" s="328"/>
      <c r="C236" s="354"/>
      <c r="D236" s="328"/>
      <c r="E236" s="328"/>
      <c r="F236" s="354"/>
      <c r="G236" s="354"/>
      <c r="H236" s="354"/>
      <c r="I236" s="354"/>
      <c r="J236" s="354"/>
      <c r="K236" s="354"/>
      <c r="L236" s="331"/>
    </row>
    <row r="237" ht="15.75" customHeight="1">
      <c r="A237" s="328"/>
      <c r="B237" s="328"/>
      <c r="C237" s="354"/>
      <c r="D237" s="328"/>
      <c r="E237" s="328"/>
      <c r="F237" s="354"/>
      <c r="G237" s="354"/>
      <c r="H237" s="354"/>
      <c r="I237" s="354"/>
      <c r="J237" s="354"/>
      <c r="K237" s="354"/>
      <c r="L237" s="331"/>
    </row>
    <row r="238" ht="15.75" customHeight="1">
      <c r="A238" s="328"/>
      <c r="B238" s="328"/>
      <c r="C238" s="354"/>
      <c r="D238" s="328"/>
      <c r="E238" s="328"/>
      <c r="F238" s="354"/>
      <c r="G238" s="354"/>
      <c r="H238" s="354"/>
      <c r="I238" s="354"/>
      <c r="J238" s="354"/>
      <c r="K238" s="354"/>
      <c r="L238" s="331"/>
    </row>
    <row r="239" ht="15.75" customHeight="1">
      <c r="A239" s="328"/>
      <c r="B239" s="328"/>
      <c r="C239" s="354"/>
      <c r="D239" s="328"/>
      <c r="E239" s="328"/>
      <c r="F239" s="354"/>
      <c r="G239" s="354"/>
      <c r="H239" s="354"/>
      <c r="I239" s="354"/>
      <c r="J239" s="354"/>
      <c r="K239" s="354"/>
      <c r="L239" s="331"/>
    </row>
    <row r="240" ht="15.75" customHeight="1">
      <c r="A240" s="328"/>
      <c r="B240" s="328"/>
      <c r="C240" s="354"/>
      <c r="D240" s="328"/>
      <c r="E240" s="328"/>
      <c r="F240" s="354"/>
      <c r="G240" s="354"/>
      <c r="H240" s="354"/>
      <c r="I240" s="354"/>
      <c r="J240" s="354"/>
      <c r="K240" s="354"/>
      <c r="L240" s="331"/>
    </row>
    <row r="241" ht="15.75" customHeight="1">
      <c r="A241" s="328"/>
      <c r="B241" s="328"/>
      <c r="C241" s="354"/>
      <c r="D241" s="328"/>
      <c r="E241" s="328"/>
      <c r="F241" s="354"/>
      <c r="G241" s="354"/>
      <c r="H241" s="354"/>
      <c r="I241" s="354"/>
      <c r="J241" s="354"/>
      <c r="K241" s="354"/>
      <c r="L241" s="331"/>
    </row>
    <row r="242" ht="15.75" customHeight="1">
      <c r="A242" s="328"/>
      <c r="B242" s="328"/>
      <c r="C242" s="354"/>
      <c r="D242" s="328"/>
      <c r="E242" s="328"/>
      <c r="F242" s="354"/>
      <c r="G242" s="354"/>
      <c r="H242" s="354"/>
      <c r="I242" s="354"/>
      <c r="J242" s="354"/>
      <c r="K242" s="354"/>
      <c r="L242" s="331"/>
    </row>
    <row r="243" ht="15.75" customHeight="1">
      <c r="A243" s="328"/>
      <c r="B243" s="328"/>
      <c r="C243" s="354"/>
      <c r="D243" s="328"/>
      <c r="E243" s="328"/>
      <c r="F243" s="354"/>
      <c r="G243" s="354"/>
      <c r="H243" s="354"/>
      <c r="I243" s="354"/>
      <c r="J243" s="354"/>
      <c r="K243" s="354"/>
      <c r="L243" s="331"/>
    </row>
    <row r="244" ht="15.75" customHeight="1">
      <c r="A244" s="328"/>
      <c r="B244" s="328"/>
      <c r="C244" s="354"/>
      <c r="D244" s="328"/>
      <c r="E244" s="328"/>
      <c r="F244" s="354"/>
      <c r="G244" s="354"/>
      <c r="H244" s="354"/>
      <c r="I244" s="354"/>
      <c r="J244" s="354"/>
      <c r="K244" s="354"/>
      <c r="L244" s="331"/>
    </row>
    <row r="245" ht="15.75" customHeight="1">
      <c r="A245" s="328"/>
      <c r="B245" s="328"/>
      <c r="C245" s="354"/>
      <c r="D245" s="328"/>
      <c r="E245" s="328"/>
      <c r="F245" s="354"/>
      <c r="G245" s="354"/>
      <c r="H245" s="354"/>
      <c r="I245" s="354"/>
      <c r="J245" s="354"/>
      <c r="K245" s="354"/>
      <c r="L245" s="331"/>
    </row>
    <row r="246" ht="15.75" customHeight="1">
      <c r="A246" s="328"/>
      <c r="B246" s="328"/>
      <c r="C246" s="354"/>
      <c r="D246" s="328"/>
      <c r="E246" s="328"/>
      <c r="F246" s="354"/>
      <c r="G246" s="354"/>
      <c r="H246" s="354"/>
      <c r="I246" s="354"/>
      <c r="J246" s="354"/>
      <c r="K246" s="354"/>
      <c r="L246" s="331"/>
    </row>
    <row r="247" ht="15.75" customHeight="1">
      <c r="A247" s="328"/>
      <c r="B247" s="328"/>
      <c r="C247" s="354"/>
      <c r="D247" s="328"/>
      <c r="E247" s="328"/>
      <c r="F247" s="354"/>
      <c r="G247" s="354"/>
      <c r="H247" s="354"/>
      <c r="I247" s="354"/>
      <c r="J247" s="354"/>
      <c r="K247" s="354"/>
      <c r="L247" s="331"/>
    </row>
    <row r="248" ht="15.75" customHeight="1">
      <c r="A248" s="328"/>
      <c r="B248" s="328"/>
      <c r="C248" s="354"/>
      <c r="D248" s="328"/>
      <c r="E248" s="328"/>
      <c r="F248" s="354"/>
      <c r="G248" s="354"/>
      <c r="H248" s="354"/>
      <c r="I248" s="354"/>
      <c r="J248" s="354"/>
      <c r="K248" s="354"/>
      <c r="L248" s="331"/>
    </row>
    <row r="249" ht="15.75" customHeight="1">
      <c r="A249" s="328"/>
      <c r="B249" s="328"/>
      <c r="C249" s="354"/>
      <c r="D249" s="328"/>
      <c r="E249" s="328"/>
      <c r="F249" s="354"/>
      <c r="G249" s="354"/>
      <c r="H249" s="354"/>
      <c r="I249" s="354"/>
      <c r="J249" s="354"/>
      <c r="K249" s="354"/>
      <c r="L249" s="331"/>
    </row>
    <row r="250" ht="15.75" customHeight="1">
      <c r="A250" s="328"/>
      <c r="B250" s="328"/>
      <c r="C250" s="354"/>
      <c r="D250" s="328"/>
      <c r="E250" s="328"/>
      <c r="F250" s="354"/>
      <c r="G250" s="354"/>
      <c r="H250" s="354"/>
      <c r="I250" s="354"/>
      <c r="J250" s="354"/>
      <c r="K250" s="354"/>
      <c r="L250" s="331"/>
    </row>
    <row r="251" ht="15.75" customHeight="1">
      <c r="A251" s="328"/>
      <c r="B251" s="328"/>
      <c r="C251" s="354"/>
      <c r="D251" s="328"/>
      <c r="E251" s="328"/>
      <c r="F251" s="354"/>
      <c r="G251" s="354"/>
      <c r="H251" s="354"/>
      <c r="I251" s="354"/>
      <c r="J251" s="354"/>
      <c r="K251" s="354"/>
      <c r="L251" s="331"/>
    </row>
    <row r="252" ht="15.75" customHeight="1">
      <c r="A252" s="328"/>
      <c r="B252" s="328"/>
      <c r="C252" s="354"/>
      <c r="D252" s="328"/>
      <c r="E252" s="328"/>
      <c r="F252" s="354"/>
      <c r="G252" s="354"/>
      <c r="H252" s="354"/>
      <c r="I252" s="354"/>
      <c r="J252" s="354"/>
      <c r="K252" s="354"/>
      <c r="L252" s="331"/>
    </row>
    <row r="253" ht="15.75" customHeight="1">
      <c r="A253" s="328"/>
      <c r="B253" s="328"/>
      <c r="C253" s="354"/>
      <c r="D253" s="328"/>
      <c r="E253" s="328"/>
      <c r="F253" s="354"/>
      <c r="G253" s="354"/>
      <c r="H253" s="354"/>
      <c r="I253" s="354"/>
      <c r="J253" s="354"/>
      <c r="K253" s="354"/>
      <c r="L253" s="331"/>
    </row>
    <row r="254" ht="15.75" customHeight="1">
      <c r="A254" s="328"/>
      <c r="B254" s="328"/>
      <c r="C254" s="354"/>
      <c r="D254" s="328"/>
      <c r="E254" s="328"/>
      <c r="F254" s="354"/>
      <c r="G254" s="354"/>
      <c r="H254" s="354"/>
      <c r="I254" s="354"/>
      <c r="J254" s="354"/>
      <c r="K254" s="354"/>
      <c r="L254" s="331"/>
    </row>
    <row r="255" ht="15.75" customHeight="1">
      <c r="A255" s="328"/>
      <c r="B255" s="328"/>
      <c r="C255" s="354"/>
      <c r="D255" s="328"/>
      <c r="E255" s="328"/>
      <c r="F255" s="354"/>
      <c r="G255" s="354"/>
      <c r="H255" s="354"/>
      <c r="I255" s="354"/>
      <c r="J255" s="354"/>
      <c r="K255" s="354"/>
      <c r="L255" s="331"/>
    </row>
    <row r="256" ht="15.75" customHeight="1">
      <c r="A256" s="328"/>
      <c r="B256" s="328"/>
      <c r="C256" s="354"/>
      <c r="D256" s="328"/>
      <c r="E256" s="328"/>
      <c r="F256" s="354"/>
      <c r="G256" s="354"/>
      <c r="H256" s="354"/>
      <c r="I256" s="354"/>
      <c r="J256" s="354"/>
      <c r="K256" s="354"/>
      <c r="L256" s="331"/>
    </row>
    <row r="257" ht="15.75" customHeight="1">
      <c r="A257" s="328"/>
      <c r="B257" s="328"/>
      <c r="C257" s="354"/>
      <c r="D257" s="328"/>
      <c r="E257" s="328"/>
      <c r="F257" s="354"/>
      <c r="G257" s="354"/>
      <c r="H257" s="354"/>
      <c r="I257" s="354"/>
      <c r="J257" s="354"/>
      <c r="K257" s="354"/>
      <c r="L257" s="331"/>
    </row>
    <row r="258" ht="15.75" customHeight="1">
      <c r="A258" s="328"/>
      <c r="B258" s="328"/>
      <c r="C258" s="354"/>
      <c r="D258" s="328"/>
      <c r="E258" s="328"/>
      <c r="F258" s="354"/>
      <c r="G258" s="354"/>
      <c r="H258" s="354"/>
      <c r="I258" s="354"/>
      <c r="J258" s="354"/>
      <c r="K258" s="354"/>
      <c r="L258" s="331"/>
    </row>
    <row r="259" ht="15.75" customHeight="1">
      <c r="A259" s="328"/>
      <c r="B259" s="328"/>
      <c r="C259" s="354"/>
      <c r="D259" s="328"/>
      <c r="E259" s="328"/>
      <c r="F259" s="354"/>
      <c r="G259" s="354"/>
      <c r="H259" s="354"/>
      <c r="I259" s="354"/>
      <c r="J259" s="354"/>
      <c r="K259" s="354"/>
      <c r="L259" s="331"/>
    </row>
    <row r="260" ht="15.75" customHeight="1">
      <c r="A260" s="328"/>
      <c r="B260" s="328"/>
      <c r="C260" s="354"/>
      <c r="D260" s="328"/>
      <c r="E260" s="328"/>
      <c r="F260" s="354"/>
      <c r="G260" s="354"/>
      <c r="H260" s="354"/>
      <c r="I260" s="354"/>
      <c r="J260" s="354"/>
      <c r="K260" s="354"/>
      <c r="L260" s="331"/>
    </row>
    <row r="261" ht="15.75" customHeight="1">
      <c r="A261" s="328"/>
      <c r="B261" s="328"/>
      <c r="C261" s="354"/>
      <c r="D261" s="328"/>
      <c r="E261" s="328"/>
      <c r="F261" s="354"/>
      <c r="G261" s="354"/>
      <c r="H261" s="354"/>
      <c r="I261" s="354"/>
      <c r="J261" s="354"/>
      <c r="K261" s="354"/>
      <c r="L261" s="331"/>
    </row>
    <row r="262" ht="15.75" customHeight="1">
      <c r="A262" s="328"/>
      <c r="B262" s="328"/>
      <c r="C262" s="354"/>
      <c r="D262" s="328"/>
      <c r="E262" s="328"/>
      <c r="F262" s="354"/>
      <c r="G262" s="354"/>
      <c r="H262" s="354"/>
      <c r="I262" s="354"/>
      <c r="J262" s="354"/>
      <c r="K262" s="354"/>
      <c r="L262" s="331"/>
    </row>
    <row r="263" ht="15.75" customHeight="1">
      <c r="A263" s="328"/>
      <c r="B263" s="328"/>
      <c r="C263" s="354"/>
      <c r="D263" s="328"/>
      <c r="E263" s="328"/>
      <c r="F263" s="354"/>
      <c r="G263" s="354"/>
      <c r="H263" s="354"/>
      <c r="I263" s="354"/>
      <c r="J263" s="354"/>
      <c r="K263" s="354"/>
      <c r="L263" s="331"/>
    </row>
    <row r="264" ht="15.75" customHeight="1">
      <c r="A264" s="328"/>
      <c r="B264" s="328"/>
      <c r="C264" s="354"/>
      <c r="D264" s="328"/>
      <c r="E264" s="328"/>
      <c r="F264" s="354"/>
      <c r="G264" s="354"/>
      <c r="H264" s="354"/>
      <c r="I264" s="354"/>
      <c r="J264" s="354"/>
      <c r="K264" s="354"/>
      <c r="L264" s="331"/>
    </row>
    <row r="265" ht="15.75" customHeight="1">
      <c r="A265" s="328"/>
      <c r="B265" s="328"/>
      <c r="C265" s="354"/>
      <c r="D265" s="328"/>
      <c r="E265" s="328"/>
      <c r="F265" s="354"/>
      <c r="G265" s="354"/>
      <c r="H265" s="354"/>
      <c r="I265" s="354"/>
      <c r="J265" s="354"/>
      <c r="K265" s="354"/>
      <c r="L265" s="331"/>
    </row>
    <row r="266" ht="15.75" customHeight="1">
      <c r="A266" s="328"/>
      <c r="B266" s="328"/>
      <c r="C266" s="354"/>
      <c r="D266" s="328"/>
      <c r="E266" s="328"/>
      <c r="F266" s="354"/>
      <c r="G266" s="354"/>
      <c r="H266" s="354"/>
      <c r="I266" s="354"/>
      <c r="J266" s="354"/>
      <c r="K266" s="354"/>
      <c r="L266" s="331"/>
    </row>
    <row r="267" ht="15.75" customHeight="1">
      <c r="A267" s="328"/>
      <c r="B267" s="328"/>
      <c r="C267" s="354"/>
      <c r="D267" s="328"/>
      <c r="E267" s="328"/>
      <c r="F267" s="354"/>
      <c r="G267" s="354"/>
      <c r="H267" s="354"/>
      <c r="I267" s="354"/>
      <c r="J267" s="354"/>
      <c r="K267" s="354"/>
      <c r="L267" s="331"/>
    </row>
    <row r="268" ht="15.75" customHeight="1">
      <c r="A268" s="328"/>
      <c r="B268" s="328"/>
      <c r="C268" s="354"/>
      <c r="D268" s="328"/>
      <c r="E268" s="328"/>
      <c r="F268" s="354"/>
      <c r="G268" s="354"/>
      <c r="H268" s="354"/>
      <c r="I268" s="354"/>
      <c r="J268" s="354"/>
      <c r="K268" s="354"/>
      <c r="L268" s="331"/>
    </row>
    <row r="269" ht="15.75" customHeight="1">
      <c r="A269" s="328"/>
      <c r="B269" s="328"/>
      <c r="C269" s="354"/>
      <c r="D269" s="328"/>
      <c r="E269" s="328"/>
      <c r="F269" s="354"/>
      <c r="G269" s="354"/>
      <c r="H269" s="354"/>
      <c r="I269" s="354"/>
      <c r="J269" s="354"/>
      <c r="K269" s="354"/>
      <c r="L269" s="331"/>
    </row>
    <row r="270" ht="15.75" customHeight="1">
      <c r="A270" s="328"/>
      <c r="B270" s="328"/>
      <c r="C270" s="354"/>
      <c r="D270" s="328"/>
      <c r="E270" s="328"/>
      <c r="F270" s="354"/>
      <c r="G270" s="354"/>
      <c r="H270" s="354"/>
      <c r="I270" s="354"/>
      <c r="J270" s="354"/>
      <c r="K270" s="354"/>
      <c r="L270" s="331"/>
    </row>
    <row r="271" ht="15.75" customHeight="1">
      <c r="A271" s="328"/>
      <c r="B271" s="328"/>
      <c r="C271" s="354"/>
      <c r="D271" s="328"/>
      <c r="E271" s="328"/>
      <c r="F271" s="354"/>
      <c r="G271" s="354"/>
      <c r="H271" s="354"/>
      <c r="I271" s="354"/>
      <c r="J271" s="354"/>
      <c r="K271" s="354"/>
      <c r="L271" s="331"/>
    </row>
    <row r="272" ht="15.75" customHeight="1">
      <c r="A272" s="328"/>
      <c r="B272" s="328"/>
      <c r="C272" s="354"/>
      <c r="D272" s="328"/>
      <c r="E272" s="328"/>
      <c r="F272" s="354"/>
      <c r="G272" s="354"/>
      <c r="H272" s="354"/>
      <c r="I272" s="354"/>
      <c r="J272" s="354"/>
      <c r="K272" s="354"/>
      <c r="L272" s="331"/>
    </row>
    <row r="273" ht="15.75" customHeight="1">
      <c r="A273" s="328"/>
      <c r="B273" s="328"/>
      <c r="C273" s="354"/>
      <c r="D273" s="328"/>
      <c r="E273" s="328"/>
      <c r="F273" s="354"/>
      <c r="G273" s="354"/>
      <c r="H273" s="354"/>
      <c r="I273" s="354"/>
      <c r="J273" s="354"/>
      <c r="K273" s="354"/>
      <c r="L273" s="331"/>
    </row>
    <row r="274" ht="15.75" customHeight="1">
      <c r="A274" s="328"/>
      <c r="B274" s="328"/>
      <c r="C274" s="354"/>
      <c r="D274" s="328"/>
      <c r="E274" s="328"/>
      <c r="F274" s="354"/>
      <c r="G274" s="354"/>
      <c r="H274" s="354"/>
      <c r="I274" s="354"/>
      <c r="J274" s="354"/>
      <c r="K274" s="354"/>
      <c r="L274" s="331"/>
    </row>
    <row r="275" ht="15.75" customHeight="1">
      <c r="A275" s="328"/>
      <c r="B275" s="328"/>
      <c r="C275" s="354"/>
      <c r="D275" s="328"/>
      <c r="E275" s="328"/>
      <c r="F275" s="354"/>
      <c r="G275" s="354"/>
      <c r="H275" s="354"/>
      <c r="I275" s="354"/>
      <c r="J275" s="354"/>
      <c r="K275" s="354"/>
      <c r="L275" s="331"/>
    </row>
    <row r="276" ht="15.75" customHeight="1">
      <c r="A276" s="328"/>
      <c r="B276" s="328"/>
      <c r="C276" s="354"/>
      <c r="D276" s="328"/>
      <c r="E276" s="328"/>
      <c r="F276" s="354"/>
      <c r="G276" s="354"/>
      <c r="H276" s="354"/>
      <c r="I276" s="354"/>
      <c r="J276" s="354"/>
      <c r="K276" s="354"/>
      <c r="L276" s="331"/>
    </row>
    <row r="277" ht="15.75" customHeight="1">
      <c r="A277" s="328"/>
      <c r="B277" s="328"/>
      <c r="C277" s="354"/>
      <c r="D277" s="328"/>
      <c r="E277" s="328"/>
      <c r="F277" s="354"/>
      <c r="G277" s="354"/>
      <c r="H277" s="354"/>
      <c r="I277" s="354"/>
      <c r="J277" s="354"/>
      <c r="K277" s="354"/>
      <c r="L277" s="331"/>
    </row>
    <row r="278" ht="15.75" customHeight="1">
      <c r="A278" s="328"/>
      <c r="B278" s="328"/>
      <c r="C278" s="354"/>
      <c r="D278" s="328"/>
      <c r="E278" s="328"/>
      <c r="F278" s="354"/>
      <c r="G278" s="354"/>
      <c r="H278" s="354"/>
      <c r="I278" s="354"/>
      <c r="J278" s="354"/>
      <c r="K278" s="354"/>
      <c r="L278" s="331"/>
    </row>
    <row r="279" ht="15.75" customHeight="1">
      <c r="A279" s="328"/>
      <c r="B279" s="328"/>
      <c r="C279" s="354"/>
      <c r="D279" s="328"/>
      <c r="E279" s="328"/>
      <c r="F279" s="354"/>
      <c r="G279" s="354"/>
      <c r="H279" s="354"/>
      <c r="I279" s="354"/>
      <c r="J279" s="354"/>
      <c r="K279" s="354"/>
      <c r="L279" s="331"/>
    </row>
    <row r="280" ht="15.75" customHeight="1">
      <c r="A280" s="328"/>
      <c r="B280" s="328"/>
      <c r="C280" s="354"/>
      <c r="D280" s="328"/>
      <c r="E280" s="328"/>
      <c r="F280" s="354"/>
      <c r="G280" s="354"/>
      <c r="H280" s="354"/>
      <c r="I280" s="354"/>
      <c r="J280" s="354"/>
      <c r="K280" s="354"/>
      <c r="L280" s="331"/>
    </row>
    <row r="281" ht="15.75" customHeight="1">
      <c r="A281" s="328"/>
      <c r="B281" s="328"/>
      <c r="C281" s="354"/>
      <c r="D281" s="328"/>
      <c r="E281" s="328"/>
      <c r="F281" s="354"/>
      <c r="G281" s="354"/>
      <c r="H281" s="354"/>
      <c r="I281" s="354"/>
      <c r="J281" s="354"/>
      <c r="K281" s="354"/>
      <c r="L281" s="331"/>
    </row>
    <row r="282" ht="15.75" customHeight="1">
      <c r="A282" s="328"/>
      <c r="B282" s="328"/>
      <c r="C282" s="354"/>
      <c r="D282" s="328"/>
      <c r="E282" s="328"/>
      <c r="F282" s="354"/>
      <c r="G282" s="354"/>
      <c r="H282" s="354"/>
      <c r="I282" s="354"/>
      <c r="J282" s="354"/>
      <c r="K282" s="354"/>
      <c r="L282" s="331"/>
    </row>
    <row r="283" ht="15.75" customHeight="1">
      <c r="A283" s="328"/>
      <c r="B283" s="328"/>
      <c r="C283" s="354"/>
      <c r="D283" s="328"/>
      <c r="E283" s="328"/>
      <c r="F283" s="354"/>
      <c r="G283" s="354"/>
      <c r="H283" s="354"/>
      <c r="I283" s="354"/>
      <c r="J283" s="354"/>
      <c r="K283" s="354"/>
      <c r="L283" s="331"/>
    </row>
    <row r="284" ht="15.75" customHeight="1">
      <c r="A284" s="328"/>
      <c r="B284" s="328"/>
      <c r="C284" s="354"/>
      <c r="D284" s="328"/>
      <c r="E284" s="328"/>
      <c r="F284" s="354"/>
      <c r="G284" s="354"/>
      <c r="H284" s="354"/>
      <c r="I284" s="354"/>
      <c r="J284" s="354"/>
      <c r="K284" s="354"/>
      <c r="L284" s="331"/>
    </row>
    <row r="285" ht="15.75" customHeight="1">
      <c r="A285" s="328"/>
      <c r="B285" s="328"/>
      <c r="C285" s="354"/>
      <c r="D285" s="328"/>
      <c r="E285" s="328"/>
      <c r="F285" s="354"/>
      <c r="G285" s="354"/>
      <c r="H285" s="354"/>
      <c r="I285" s="354"/>
      <c r="J285" s="354"/>
      <c r="K285" s="354"/>
      <c r="L285" s="331"/>
    </row>
    <row r="286" ht="15.75" customHeight="1">
      <c r="A286" s="328"/>
      <c r="B286" s="328"/>
      <c r="C286" s="354"/>
      <c r="D286" s="328"/>
      <c r="E286" s="328"/>
      <c r="F286" s="354"/>
      <c r="G286" s="354"/>
      <c r="H286" s="354"/>
      <c r="I286" s="354"/>
      <c r="J286" s="354"/>
      <c r="K286" s="354"/>
      <c r="L286" s="331"/>
    </row>
    <row r="287" ht="15.75" customHeight="1">
      <c r="A287" s="328"/>
      <c r="B287" s="328"/>
      <c r="C287" s="354"/>
      <c r="D287" s="328"/>
      <c r="E287" s="328"/>
      <c r="F287" s="354"/>
      <c r="G287" s="354"/>
      <c r="H287" s="354"/>
      <c r="I287" s="354"/>
      <c r="J287" s="354"/>
      <c r="K287" s="354"/>
      <c r="L287" s="331"/>
    </row>
    <row r="288" ht="15.75" customHeight="1">
      <c r="A288" s="328"/>
      <c r="B288" s="328"/>
      <c r="C288" s="354"/>
      <c r="D288" s="328"/>
      <c r="E288" s="328"/>
      <c r="F288" s="354"/>
      <c r="G288" s="354"/>
      <c r="H288" s="354"/>
      <c r="I288" s="354"/>
      <c r="J288" s="354"/>
      <c r="K288" s="354"/>
      <c r="L288" s="331"/>
    </row>
    <row r="289" ht="15.75" customHeight="1">
      <c r="A289" s="328"/>
      <c r="B289" s="328"/>
      <c r="C289" s="354"/>
      <c r="D289" s="328"/>
      <c r="E289" s="328"/>
      <c r="F289" s="354"/>
      <c r="G289" s="354"/>
      <c r="H289" s="354"/>
      <c r="I289" s="354"/>
      <c r="J289" s="354"/>
      <c r="K289" s="354"/>
      <c r="L289" s="331"/>
    </row>
    <row r="290" ht="15.75" customHeight="1">
      <c r="A290" s="328"/>
      <c r="B290" s="328"/>
      <c r="C290" s="354"/>
      <c r="D290" s="328"/>
      <c r="E290" s="328"/>
      <c r="F290" s="354"/>
      <c r="G290" s="354"/>
      <c r="H290" s="354"/>
      <c r="I290" s="354"/>
      <c r="J290" s="354"/>
      <c r="K290" s="354"/>
      <c r="L290" s="331"/>
    </row>
    <row r="291" ht="15.75" customHeight="1">
      <c r="A291" s="328"/>
      <c r="B291" s="328"/>
      <c r="C291" s="354"/>
      <c r="D291" s="328"/>
      <c r="E291" s="328"/>
      <c r="F291" s="354"/>
      <c r="G291" s="354"/>
      <c r="H291" s="354"/>
      <c r="I291" s="354"/>
      <c r="J291" s="354"/>
      <c r="K291" s="354"/>
      <c r="L291" s="331"/>
    </row>
    <row r="292" ht="15.75" customHeight="1">
      <c r="A292" s="328"/>
      <c r="B292" s="328"/>
      <c r="C292" s="354"/>
      <c r="D292" s="328"/>
      <c r="E292" s="328"/>
      <c r="F292" s="354"/>
      <c r="G292" s="354"/>
      <c r="H292" s="354"/>
      <c r="I292" s="354"/>
      <c r="J292" s="354"/>
      <c r="K292" s="354"/>
      <c r="L292" s="331"/>
    </row>
    <row r="293" ht="15.75" customHeight="1">
      <c r="A293" s="328"/>
      <c r="B293" s="328"/>
      <c r="C293" s="354"/>
      <c r="D293" s="328"/>
      <c r="E293" s="328"/>
      <c r="F293" s="354"/>
      <c r="G293" s="354"/>
      <c r="H293" s="354"/>
      <c r="I293" s="354"/>
      <c r="J293" s="354"/>
      <c r="K293" s="354"/>
      <c r="L293" s="331"/>
    </row>
    <row r="294" ht="15.75" customHeight="1">
      <c r="A294" s="328"/>
      <c r="B294" s="328"/>
      <c r="C294" s="354"/>
      <c r="D294" s="328"/>
      <c r="E294" s="328"/>
      <c r="F294" s="354"/>
      <c r="G294" s="354"/>
      <c r="H294" s="354"/>
      <c r="I294" s="354"/>
      <c r="J294" s="354"/>
      <c r="K294" s="354"/>
      <c r="L294" s="331"/>
    </row>
    <row r="295" ht="15.75" customHeight="1">
      <c r="A295" s="328"/>
      <c r="B295" s="328"/>
      <c r="C295" s="354"/>
      <c r="D295" s="328"/>
      <c r="E295" s="328"/>
      <c r="F295" s="354"/>
      <c r="G295" s="354"/>
      <c r="H295" s="354"/>
      <c r="I295" s="354"/>
      <c r="J295" s="354"/>
      <c r="K295" s="354"/>
      <c r="L295" s="331"/>
    </row>
    <row r="296" ht="15.75" customHeight="1">
      <c r="A296" s="328"/>
      <c r="B296" s="328"/>
      <c r="C296" s="354"/>
      <c r="D296" s="328"/>
      <c r="E296" s="328"/>
      <c r="F296" s="354"/>
      <c r="G296" s="354"/>
      <c r="H296" s="354"/>
      <c r="I296" s="354"/>
      <c r="J296" s="354"/>
      <c r="K296" s="354"/>
      <c r="L296" s="331"/>
    </row>
    <row r="297" ht="15.75" customHeight="1">
      <c r="A297" s="328"/>
      <c r="B297" s="328"/>
      <c r="C297" s="354"/>
      <c r="D297" s="328"/>
      <c r="E297" s="328"/>
      <c r="F297" s="354"/>
      <c r="G297" s="354"/>
      <c r="H297" s="354"/>
      <c r="I297" s="354"/>
      <c r="J297" s="354"/>
      <c r="K297" s="354"/>
      <c r="L297" s="331"/>
    </row>
    <row r="298" ht="15.75" customHeight="1">
      <c r="A298" s="328"/>
      <c r="B298" s="328"/>
      <c r="C298" s="354"/>
      <c r="D298" s="328"/>
      <c r="E298" s="328"/>
      <c r="F298" s="354"/>
      <c r="G298" s="354"/>
      <c r="H298" s="354"/>
      <c r="I298" s="354"/>
      <c r="J298" s="354"/>
      <c r="K298" s="354"/>
      <c r="L298" s="331"/>
    </row>
    <row r="299" ht="15.75" customHeight="1">
      <c r="A299" s="328"/>
      <c r="B299" s="328"/>
      <c r="C299" s="354"/>
      <c r="D299" s="328"/>
      <c r="E299" s="328"/>
      <c r="F299" s="354"/>
      <c r="G299" s="354"/>
      <c r="H299" s="354"/>
      <c r="I299" s="354"/>
      <c r="J299" s="354"/>
      <c r="K299" s="354"/>
      <c r="L299" s="331"/>
    </row>
    <row r="300" ht="15.75" customHeight="1">
      <c r="A300" s="328"/>
      <c r="B300" s="328"/>
      <c r="C300" s="354"/>
      <c r="D300" s="328"/>
      <c r="E300" s="328"/>
      <c r="F300" s="354"/>
      <c r="G300" s="354"/>
      <c r="H300" s="354"/>
      <c r="I300" s="354"/>
      <c r="J300" s="354"/>
      <c r="K300" s="354"/>
      <c r="L300" s="331"/>
    </row>
    <row r="301" ht="15.75" customHeight="1">
      <c r="A301" s="328"/>
      <c r="B301" s="328"/>
      <c r="C301" s="354"/>
      <c r="D301" s="328"/>
      <c r="E301" s="328"/>
      <c r="F301" s="354"/>
      <c r="G301" s="354"/>
      <c r="H301" s="354"/>
      <c r="I301" s="354"/>
      <c r="J301" s="354"/>
      <c r="K301" s="354"/>
      <c r="L301" s="331"/>
    </row>
    <row r="302" ht="15.75" customHeight="1">
      <c r="A302" s="328"/>
      <c r="B302" s="328"/>
      <c r="C302" s="354"/>
      <c r="D302" s="328"/>
      <c r="E302" s="328"/>
      <c r="F302" s="354"/>
      <c r="G302" s="354"/>
      <c r="H302" s="354"/>
      <c r="I302" s="354"/>
      <c r="J302" s="354"/>
      <c r="K302" s="354"/>
      <c r="L302" s="331"/>
    </row>
    <row r="303" ht="15.75" customHeight="1">
      <c r="A303" s="328"/>
      <c r="B303" s="328"/>
      <c r="C303" s="354"/>
      <c r="D303" s="328"/>
      <c r="E303" s="328"/>
      <c r="F303" s="354"/>
      <c r="G303" s="354"/>
      <c r="H303" s="354"/>
      <c r="I303" s="354"/>
      <c r="J303" s="354"/>
      <c r="K303" s="354"/>
      <c r="L303" s="331"/>
    </row>
    <row r="304" ht="15.75" customHeight="1">
      <c r="A304" s="328"/>
      <c r="B304" s="328"/>
      <c r="C304" s="354"/>
      <c r="D304" s="328"/>
      <c r="E304" s="328"/>
      <c r="F304" s="354"/>
      <c r="G304" s="354"/>
      <c r="H304" s="354"/>
      <c r="I304" s="354"/>
      <c r="J304" s="354"/>
      <c r="K304" s="354"/>
      <c r="L304" s="331"/>
    </row>
    <row r="305" ht="15.75" customHeight="1">
      <c r="A305" s="328"/>
      <c r="B305" s="328"/>
      <c r="C305" s="354"/>
      <c r="D305" s="328"/>
      <c r="E305" s="328"/>
      <c r="F305" s="354"/>
      <c r="G305" s="354"/>
      <c r="H305" s="354"/>
      <c r="I305" s="354"/>
      <c r="J305" s="354"/>
      <c r="K305" s="354"/>
      <c r="L305" s="331"/>
    </row>
    <row r="306" ht="15.75" customHeight="1">
      <c r="A306" s="328"/>
      <c r="B306" s="328"/>
      <c r="C306" s="354"/>
      <c r="D306" s="328"/>
      <c r="E306" s="328"/>
      <c r="F306" s="354"/>
      <c r="G306" s="354"/>
      <c r="H306" s="354"/>
      <c r="I306" s="354"/>
      <c r="J306" s="354"/>
      <c r="K306" s="354"/>
      <c r="L306" s="331"/>
    </row>
    <row r="307" ht="15.75" customHeight="1">
      <c r="A307" s="328"/>
      <c r="B307" s="328"/>
      <c r="C307" s="354"/>
      <c r="D307" s="328"/>
      <c r="E307" s="328"/>
      <c r="F307" s="354"/>
      <c r="G307" s="354"/>
      <c r="H307" s="354"/>
      <c r="I307" s="354"/>
      <c r="J307" s="354"/>
      <c r="K307" s="354"/>
      <c r="L307" s="331"/>
    </row>
    <row r="308" ht="15.75" customHeight="1">
      <c r="A308" s="328"/>
      <c r="B308" s="328"/>
      <c r="C308" s="354"/>
      <c r="D308" s="328"/>
      <c r="E308" s="328"/>
      <c r="F308" s="354"/>
      <c r="G308" s="354"/>
      <c r="H308" s="354"/>
      <c r="I308" s="354"/>
      <c r="J308" s="354"/>
      <c r="K308" s="354"/>
      <c r="L308" s="331"/>
    </row>
    <row r="309" ht="15.75" customHeight="1">
      <c r="A309" s="328"/>
      <c r="B309" s="328"/>
      <c r="C309" s="354"/>
      <c r="D309" s="328"/>
      <c r="E309" s="328"/>
      <c r="F309" s="354"/>
      <c r="G309" s="354"/>
      <c r="H309" s="354"/>
      <c r="I309" s="354"/>
      <c r="J309" s="354"/>
      <c r="K309" s="354"/>
      <c r="L309" s="331"/>
    </row>
    <row r="310" ht="15.75" customHeight="1">
      <c r="A310" s="328"/>
      <c r="B310" s="328"/>
      <c r="C310" s="354"/>
      <c r="D310" s="328"/>
      <c r="E310" s="328"/>
      <c r="F310" s="354"/>
      <c r="G310" s="354"/>
      <c r="H310" s="354"/>
      <c r="I310" s="354"/>
      <c r="J310" s="354"/>
      <c r="K310" s="354"/>
      <c r="L310" s="331"/>
    </row>
    <row r="311" ht="15.75" customHeight="1">
      <c r="A311" s="328"/>
      <c r="B311" s="328"/>
      <c r="C311" s="354"/>
      <c r="D311" s="328"/>
      <c r="E311" s="328"/>
      <c r="F311" s="354"/>
      <c r="G311" s="354"/>
      <c r="H311" s="354"/>
      <c r="I311" s="354"/>
      <c r="J311" s="354"/>
      <c r="K311" s="354"/>
      <c r="L311" s="331"/>
    </row>
    <row r="312" ht="15.75" customHeight="1">
      <c r="A312" s="328"/>
      <c r="B312" s="328"/>
      <c r="C312" s="354"/>
      <c r="D312" s="328"/>
      <c r="E312" s="328"/>
      <c r="F312" s="354"/>
      <c r="G312" s="354"/>
      <c r="H312" s="354"/>
      <c r="I312" s="354"/>
      <c r="J312" s="354"/>
      <c r="K312" s="354"/>
      <c r="L312" s="331"/>
    </row>
    <row r="313" ht="15.75" customHeight="1">
      <c r="A313" s="328"/>
      <c r="B313" s="328"/>
      <c r="C313" s="354"/>
      <c r="D313" s="328"/>
      <c r="E313" s="328"/>
      <c r="F313" s="354"/>
      <c r="G313" s="354"/>
      <c r="H313" s="354"/>
      <c r="I313" s="354"/>
      <c r="J313" s="354"/>
      <c r="K313" s="354"/>
      <c r="L313" s="331"/>
    </row>
    <row r="314" ht="15.75" customHeight="1">
      <c r="A314" s="328"/>
      <c r="B314" s="328"/>
      <c r="C314" s="354"/>
      <c r="D314" s="328"/>
      <c r="E314" s="328"/>
      <c r="F314" s="354"/>
      <c r="G314" s="354"/>
      <c r="H314" s="354"/>
      <c r="I314" s="354"/>
      <c r="J314" s="354"/>
      <c r="K314" s="354"/>
      <c r="L314" s="331"/>
    </row>
    <row r="315" ht="15.75" customHeight="1">
      <c r="A315" s="328"/>
      <c r="B315" s="328"/>
      <c r="C315" s="354"/>
      <c r="D315" s="328"/>
      <c r="E315" s="328"/>
      <c r="F315" s="354"/>
      <c r="G315" s="354"/>
      <c r="H315" s="354"/>
      <c r="I315" s="354"/>
      <c r="J315" s="354"/>
      <c r="K315" s="354"/>
      <c r="L315" s="331"/>
    </row>
    <row r="316" ht="15.75" customHeight="1">
      <c r="A316" s="328"/>
      <c r="B316" s="328"/>
      <c r="C316" s="354"/>
      <c r="D316" s="328"/>
      <c r="E316" s="328"/>
      <c r="F316" s="354"/>
      <c r="G316" s="354"/>
      <c r="H316" s="354"/>
      <c r="I316" s="354"/>
      <c r="J316" s="354"/>
      <c r="K316" s="354"/>
      <c r="L316" s="331"/>
    </row>
    <row r="317" ht="15.75" customHeight="1">
      <c r="A317" s="328"/>
      <c r="B317" s="328"/>
      <c r="C317" s="354"/>
      <c r="D317" s="328"/>
      <c r="E317" s="328"/>
      <c r="F317" s="354"/>
      <c r="G317" s="354"/>
      <c r="H317" s="354"/>
      <c r="I317" s="354"/>
      <c r="J317" s="354"/>
      <c r="K317" s="354"/>
      <c r="L317" s="331"/>
    </row>
    <row r="318" ht="15.75" customHeight="1">
      <c r="A318" s="328"/>
      <c r="B318" s="328"/>
      <c r="C318" s="354"/>
      <c r="D318" s="328"/>
      <c r="E318" s="328"/>
      <c r="F318" s="354"/>
      <c r="G318" s="354"/>
      <c r="H318" s="354"/>
      <c r="I318" s="354"/>
      <c r="J318" s="354"/>
      <c r="K318" s="354"/>
      <c r="L318" s="331"/>
    </row>
    <row r="319" ht="15.75" customHeight="1">
      <c r="A319" s="328"/>
      <c r="B319" s="328"/>
      <c r="C319" s="354"/>
      <c r="D319" s="328"/>
      <c r="E319" s="328"/>
      <c r="F319" s="354"/>
      <c r="G319" s="354"/>
      <c r="H319" s="354"/>
      <c r="I319" s="354"/>
      <c r="J319" s="354"/>
      <c r="K319" s="354"/>
      <c r="L319" s="331"/>
    </row>
    <row r="320" ht="15.75" customHeight="1">
      <c r="A320" s="328"/>
      <c r="B320" s="328"/>
      <c r="C320" s="354"/>
      <c r="D320" s="328"/>
      <c r="E320" s="328"/>
      <c r="F320" s="354"/>
      <c r="G320" s="354"/>
      <c r="H320" s="354"/>
      <c r="I320" s="354"/>
      <c r="J320" s="354"/>
      <c r="K320" s="354"/>
      <c r="L320" s="331"/>
    </row>
    <row r="321" ht="15.75" customHeight="1">
      <c r="A321" s="328"/>
      <c r="B321" s="328"/>
      <c r="C321" s="354"/>
      <c r="D321" s="328"/>
      <c r="E321" s="328"/>
      <c r="F321" s="354"/>
      <c r="G321" s="354"/>
      <c r="H321" s="354"/>
      <c r="I321" s="354"/>
      <c r="J321" s="354"/>
      <c r="K321" s="354"/>
      <c r="L321" s="331"/>
    </row>
    <row r="322" ht="15.75" customHeight="1">
      <c r="A322" s="328"/>
      <c r="B322" s="328"/>
      <c r="C322" s="354"/>
      <c r="D322" s="328"/>
      <c r="E322" s="328"/>
      <c r="F322" s="354"/>
      <c r="G322" s="354"/>
      <c r="H322" s="354"/>
      <c r="I322" s="354"/>
      <c r="J322" s="354"/>
      <c r="K322" s="354"/>
      <c r="L322" s="331"/>
    </row>
    <row r="323" ht="15.75" customHeight="1">
      <c r="A323" s="328"/>
      <c r="B323" s="328"/>
      <c r="C323" s="354"/>
      <c r="D323" s="328"/>
      <c r="E323" s="328"/>
      <c r="F323" s="354"/>
      <c r="G323" s="354"/>
      <c r="H323" s="354"/>
      <c r="I323" s="354"/>
      <c r="J323" s="354"/>
      <c r="K323" s="354"/>
      <c r="L323" s="331"/>
    </row>
    <row r="324" ht="15.75" customHeight="1">
      <c r="A324" s="328"/>
      <c r="B324" s="328"/>
      <c r="C324" s="354"/>
      <c r="D324" s="328"/>
      <c r="E324" s="328"/>
      <c r="F324" s="354"/>
      <c r="G324" s="354"/>
      <c r="H324" s="354"/>
      <c r="I324" s="354"/>
      <c r="J324" s="354"/>
      <c r="K324" s="354"/>
      <c r="L324" s="331"/>
    </row>
    <row r="325" ht="15.75" customHeight="1">
      <c r="A325" s="328"/>
      <c r="B325" s="328"/>
      <c r="C325" s="354"/>
      <c r="D325" s="328"/>
      <c r="E325" s="328"/>
      <c r="F325" s="354"/>
      <c r="G325" s="354"/>
      <c r="H325" s="354"/>
      <c r="I325" s="354"/>
      <c r="J325" s="354"/>
      <c r="K325" s="354"/>
      <c r="L325" s="331"/>
    </row>
    <row r="326" ht="15.75" customHeight="1">
      <c r="A326" s="328"/>
      <c r="B326" s="328"/>
      <c r="C326" s="354"/>
      <c r="D326" s="328"/>
      <c r="E326" s="328"/>
      <c r="F326" s="354"/>
      <c r="G326" s="354"/>
      <c r="H326" s="354"/>
      <c r="I326" s="354"/>
      <c r="J326" s="354"/>
      <c r="K326" s="354"/>
      <c r="L326" s="331"/>
    </row>
    <row r="327" ht="15.75" customHeight="1">
      <c r="A327" s="328"/>
      <c r="B327" s="328"/>
      <c r="C327" s="354"/>
      <c r="D327" s="328"/>
      <c r="E327" s="328"/>
      <c r="F327" s="354"/>
      <c r="G327" s="354"/>
      <c r="H327" s="354"/>
      <c r="I327" s="354"/>
      <c r="J327" s="354"/>
      <c r="K327" s="354"/>
      <c r="L327" s="331"/>
    </row>
    <row r="328" ht="15.75" customHeight="1">
      <c r="A328" s="328"/>
      <c r="B328" s="328"/>
      <c r="C328" s="354"/>
      <c r="D328" s="328"/>
      <c r="E328" s="328"/>
      <c r="F328" s="354"/>
      <c r="G328" s="354"/>
      <c r="H328" s="354"/>
      <c r="I328" s="354"/>
      <c r="J328" s="354"/>
      <c r="K328" s="354"/>
      <c r="L328" s="331"/>
    </row>
    <row r="329" ht="15.75" customHeight="1">
      <c r="A329" s="328"/>
      <c r="B329" s="328"/>
      <c r="C329" s="354"/>
      <c r="D329" s="328"/>
      <c r="E329" s="328"/>
      <c r="F329" s="354"/>
      <c r="G329" s="354"/>
      <c r="H329" s="354"/>
      <c r="I329" s="354"/>
      <c r="J329" s="354"/>
      <c r="K329" s="354"/>
      <c r="L329" s="331"/>
    </row>
    <row r="330" ht="15.75" customHeight="1">
      <c r="A330" s="328"/>
      <c r="B330" s="328"/>
      <c r="C330" s="354"/>
      <c r="D330" s="328"/>
      <c r="E330" s="328"/>
      <c r="F330" s="354"/>
      <c r="G330" s="354"/>
      <c r="H330" s="354"/>
      <c r="I330" s="354"/>
      <c r="J330" s="354"/>
      <c r="K330" s="354"/>
      <c r="L330" s="331"/>
    </row>
    <row r="331" ht="15.75" customHeight="1">
      <c r="A331" s="328"/>
      <c r="B331" s="328"/>
      <c r="C331" s="354"/>
      <c r="D331" s="328"/>
      <c r="E331" s="328"/>
      <c r="F331" s="354"/>
      <c r="G331" s="354"/>
      <c r="H331" s="354"/>
      <c r="I331" s="354"/>
      <c r="J331" s="354"/>
      <c r="K331" s="354"/>
      <c r="L331" s="331"/>
    </row>
    <row r="332" ht="15.75" customHeight="1">
      <c r="A332" s="328"/>
      <c r="B332" s="328"/>
      <c r="C332" s="354"/>
      <c r="D332" s="328"/>
      <c r="E332" s="328"/>
      <c r="F332" s="354"/>
      <c r="G332" s="354"/>
      <c r="H332" s="354"/>
      <c r="I332" s="354"/>
      <c r="J332" s="354"/>
      <c r="K332" s="354"/>
      <c r="L332" s="331"/>
    </row>
    <row r="333" ht="15.75" customHeight="1">
      <c r="A333" s="328"/>
      <c r="B333" s="328"/>
      <c r="C333" s="354"/>
      <c r="D333" s="328"/>
      <c r="E333" s="328"/>
      <c r="F333" s="354"/>
      <c r="G333" s="354"/>
      <c r="H333" s="354"/>
      <c r="I333" s="354"/>
      <c r="J333" s="354"/>
      <c r="K333" s="354"/>
      <c r="L333" s="331"/>
    </row>
    <row r="334" ht="15.75" customHeight="1">
      <c r="A334" s="328"/>
      <c r="B334" s="328"/>
      <c r="C334" s="354"/>
      <c r="D334" s="328"/>
      <c r="E334" s="328"/>
      <c r="F334" s="354"/>
      <c r="G334" s="354"/>
      <c r="H334" s="354"/>
      <c r="I334" s="354"/>
      <c r="J334" s="354"/>
      <c r="K334" s="354"/>
      <c r="L334" s="331"/>
    </row>
    <row r="335" ht="15.75" customHeight="1">
      <c r="A335" s="328"/>
      <c r="B335" s="328"/>
      <c r="C335" s="354"/>
      <c r="D335" s="328"/>
      <c r="E335" s="328"/>
      <c r="F335" s="354"/>
      <c r="G335" s="354"/>
      <c r="H335" s="354"/>
      <c r="I335" s="354"/>
      <c r="J335" s="354"/>
      <c r="K335" s="354"/>
      <c r="L335" s="331"/>
    </row>
    <row r="336" ht="15.75" customHeight="1">
      <c r="A336" s="328"/>
      <c r="B336" s="328"/>
      <c r="C336" s="354"/>
      <c r="D336" s="328"/>
      <c r="E336" s="328"/>
      <c r="F336" s="354"/>
      <c r="G336" s="354"/>
      <c r="H336" s="354"/>
      <c r="I336" s="354"/>
      <c r="J336" s="354"/>
      <c r="K336" s="354"/>
      <c r="L336" s="331"/>
    </row>
    <row r="337" ht="15.75" customHeight="1">
      <c r="A337" s="328"/>
      <c r="B337" s="328"/>
      <c r="C337" s="354"/>
      <c r="D337" s="328"/>
      <c r="E337" s="328"/>
      <c r="F337" s="354"/>
      <c r="G337" s="354"/>
      <c r="H337" s="354"/>
      <c r="I337" s="354"/>
      <c r="J337" s="354"/>
      <c r="K337" s="354"/>
      <c r="L337" s="331"/>
    </row>
    <row r="338" ht="15.75" customHeight="1">
      <c r="A338" s="328"/>
      <c r="B338" s="328"/>
      <c r="C338" s="354"/>
      <c r="D338" s="328"/>
      <c r="E338" s="328"/>
      <c r="F338" s="354"/>
      <c r="G338" s="354"/>
      <c r="H338" s="354"/>
      <c r="I338" s="354"/>
      <c r="J338" s="354"/>
      <c r="K338" s="354"/>
      <c r="L338" s="331"/>
    </row>
    <row r="339" ht="15.75" customHeight="1">
      <c r="A339" s="328"/>
      <c r="B339" s="328"/>
      <c r="C339" s="354"/>
      <c r="D339" s="328"/>
      <c r="E339" s="328"/>
      <c r="F339" s="354"/>
      <c r="G339" s="354"/>
      <c r="H339" s="354"/>
      <c r="I339" s="354"/>
      <c r="J339" s="354"/>
      <c r="K339" s="354"/>
      <c r="L339" s="331"/>
    </row>
    <row r="340" ht="15.75" customHeight="1">
      <c r="A340" s="328"/>
      <c r="B340" s="328"/>
      <c r="C340" s="354"/>
      <c r="D340" s="328"/>
      <c r="E340" s="328"/>
      <c r="F340" s="354"/>
      <c r="G340" s="354"/>
      <c r="H340" s="354"/>
      <c r="I340" s="354"/>
      <c r="J340" s="354"/>
      <c r="K340" s="354"/>
      <c r="L340" s="331"/>
    </row>
    <row r="341" ht="15.75" customHeight="1">
      <c r="A341" s="328"/>
      <c r="B341" s="328"/>
      <c r="C341" s="354"/>
      <c r="D341" s="328"/>
      <c r="E341" s="328"/>
      <c r="F341" s="354"/>
      <c r="G341" s="354"/>
      <c r="H341" s="354"/>
      <c r="I341" s="354"/>
      <c r="J341" s="354"/>
      <c r="K341" s="354"/>
      <c r="L341" s="331"/>
    </row>
    <row r="342" ht="15.75" customHeight="1">
      <c r="A342" s="328"/>
      <c r="B342" s="328"/>
      <c r="C342" s="354"/>
      <c r="D342" s="328"/>
      <c r="E342" s="328"/>
      <c r="F342" s="354"/>
      <c r="G342" s="354"/>
      <c r="H342" s="354"/>
      <c r="I342" s="354"/>
      <c r="J342" s="354"/>
      <c r="K342" s="354"/>
      <c r="L342" s="331"/>
    </row>
    <row r="343" ht="15.75" customHeight="1">
      <c r="A343" s="328"/>
      <c r="B343" s="328"/>
      <c r="C343" s="354"/>
      <c r="D343" s="328"/>
      <c r="E343" s="328"/>
      <c r="F343" s="354"/>
      <c r="G343" s="354"/>
      <c r="H343" s="354"/>
      <c r="I343" s="354"/>
      <c r="J343" s="354"/>
      <c r="K343" s="354"/>
      <c r="L343" s="331"/>
    </row>
    <row r="344" ht="15.75" customHeight="1">
      <c r="A344" s="328"/>
      <c r="B344" s="328"/>
      <c r="C344" s="354"/>
      <c r="D344" s="328"/>
      <c r="E344" s="328"/>
      <c r="F344" s="354"/>
      <c r="G344" s="354"/>
      <c r="H344" s="354"/>
      <c r="I344" s="354"/>
      <c r="J344" s="354"/>
      <c r="K344" s="354"/>
      <c r="L344" s="331"/>
    </row>
    <row r="345" ht="15.75" customHeight="1">
      <c r="A345" s="328"/>
      <c r="B345" s="328"/>
      <c r="C345" s="354"/>
      <c r="D345" s="328"/>
      <c r="E345" s="328"/>
      <c r="F345" s="354"/>
      <c r="G345" s="354"/>
      <c r="H345" s="354"/>
      <c r="I345" s="354"/>
      <c r="J345" s="354"/>
      <c r="K345" s="354"/>
      <c r="L345" s="331"/>
    </row>
    <row r="346" ht="15.75" customHeight="1">
      <c r="A346" s="328"/>
      <c r="B346" s="328"/>
      <c r="C346" s="354"/>
      <c r="D346" s="328"/>
      <c r="E346" s="328"/>
      <c r="F346" s="354"/>
      <c r="G346" s="354"/>
      <c r="H346" s="354"/>
      <c r="I346" s="354"/>
      <c r="J346" s="354"/>
      <c r="K346" s="354"/>
      <c r="L346" s="331"/>
    </row>
    <row r="347" ht="15.75" customHeight="1">
      <c r="A347" s="328"/>
      <c r="B347" s="328"/>
      <c r="C347" s="354"/>
      <c r="D347" s="328"/>
      <c r="E347" s="328"/>
      <c r="F347" s="354"/>
      <c r="G347" s="354"/>
      <c r="H347" s="354"/>
      <c r="I347" s="354"/>
      <c r="J347" s="354"/>
      <c r="K347" s="354"/>
      <c r="L347" s="331"/>
    </row>
    <row r="348" ht="15.75" customHeight="1">
      <c r="A348" s="328"/>
      <c r="B348" s="328"/>
      <c r="C348" s="354"/>
      <c r="D348" s="328"/>
      <c r="E348" s="328"/>
      <c r="F348" s="354"/>
      <c r="G348" s="354"/>
      <c r="H348" s="354"/>
      <c r="I348" s="354"/>
      <c r="J348" s="354"/>
      <c r="K348" s="354"/>
      <c r="L348" s="331"/>
    </row>
    <row r="349" ht="15.75" customHeight="1">
      <c r="A349" s="328"/>
      <c r="B349" s="328"/>
      <c r="C349" s="354"/>
      <c r="D349" s="328"/>
      <c r="E349" s="328"/>
      <c r="F349" s="354"/>
      <c r="G349" s="354"/>
      <c r="H349" s="354"/>
      <c r="I349" s="354"/>
      <c r="J349" s="354"/>
      <c r="K349" s="354"/>
      <c r="L349" s="331"/>
    </row>
    <row r="350" ht="15.75" customHeight="1">
      <c r="A350" s="328"/>
      <c r="B350" s="328"/>
      <c r="C350" s="354"/>
      <c r="D350" s="328"/>
      <c r="E350" s="328"/>
      <c r="F350" s="354"/>
      <c r="G350" s="354"/>
      <c r="H350" s="354"/>
      <c r="I350" s="354"/>
      <c r="J350" s="354"/>
      <c r="K350" s="354"/>
      <c r="L350" s="331"/>
    </row>
    <row r="351" ht="15.75" customHeight="1">
      <c r="A351" s="328"/>
      <c r="B351" s="328"/>
      <c r="C351" s="354"/>
      <c r="D351" s="328"/>
      <c r="E351" s="328"/>
      <c r="F351" s="354"/>
      <c r="G351" s="354"/>
      <c r="H351" s="354"/>
      <c r="I351" s="354"/>
      <c r="J351" s="354"/>
      <c r="K351" s="354"/>
      <c r="L351" s="331"/>
    </row>
    <row r="352" ht="15.75" customHeight="1">
      <c r="A352" s="328"/>
      <c r="B352" s="328"/>
      <c r="C352" s="354"/>
      <c r="D352" s="328"/>
      <c r="E352" s="328"/>
      <c r="F352" s="354"/>
      <c r="G352" s="354"/>
      <c r="H352" s="354"/>
      <c r="I352" s="354"/>
      <c r="J352" s="354"/>
      <c r="K352" s="354"/>
      <c r="L352" s="331"/>
    </row>
    <row r="353" ht="15.75" customHeight="1">
      <c r="A353" s="328"/>
      <c r="B353" s="328"/>
      <c r="C353" s="354"/>
      <c r="D353" s="328"/>
      <c r="E353" s="328"/>
      <c r="F353" s="354"/>
      <c r="G353" s="354"/>
      <c r="H353" s="354"/>
      <c r="I353" s="354"/>
      <c r="J353" s="354"/>
      <c r="K353" s="354"/>
      <c r="L353" s="331"/>
    </row>
    <row r="354" ht="15.75" customHeight="1">
      <c r="A354" s="328"/>
      <c r="B354" s="328"/>
      <c r="C354" s="354"/>
      <c r="D354" s="328"/>
      <c r="E354" s="328"/>
      <c r="F354" s="354"/>
      <c r="G354" s="354"/>
      <c r="H354" s="354"/>
      <c r="I354" s="354"/>
      <c r="J354" s="354"/>
      <c r="K354" s="354"/>
      <c r="L354" s="331"/>
    </row>
    <row r="355" ht="15.75" customHeight="1">
      <c r="A355" s="328"/>
      <c r="B355" s="328"/>
      <c r="C355" s="354"/>
      <c r="D355" s="328"/>
      <c r="E355" s="328"/>
      <c r="F355" s="354"/>
      <c r="G355" s="354"/>
      <c r="H355" s="354"/>
      <c r="I355" s="354"/>
      <c r="J355" s="354"/>
      <c r="K355" s="354"/>
      <c r="L355" s="331"/>
    </row>
    <row r="356" ht="15.75" customHeight="1">
      <c r="A356" s="328"/>
      <c r="B356" s="328"/>
      <c r="C356" s="354"/>
      <c r="D356" s="328"/>
      <c r="E356" s="328"/>
      <c r="F356" s="354"/>
      <c r="G356" s="354"/>
      <c r="H356" s="354"/>
      <c r="I356" s="354"/>
      <c r="J356" s="354"/>
      <c r="K356" s="354"/>
      <c r="L356" s="331"/>
    </row>
    <row r="357" ht="15.75" customHeight="1">
      <c r="A357" s="328"/>
      <c r="B357" s="328"/>
      <c r="C357" s="354"/>
      <c r="D357" s="328"/>
      <c r="E357" s="328"/>
      <c r="F357" s="354"/>
      <c r="G357" s="354"/>
      <c r="H357" s="354"/>
      <c r="I357" s="354"/>
      <c r="J357" s="354"/>
      <c r="K357" s="354"/>
      <c r="L357" s="331"/>
    </row>
    <row r="358" ht="15.75" customHeight="1">
      <c r="A358" s="328"/>
      <c r="B358" s="328"/>
      <c r="C358" s="354"/>
      <c r="D358" s="328"/>
      <c r="E358" s="328"/>
      <c r="F358" s="354"/>
      <c r="G358" s="354"/>
      <c r="H358" s="354"/>
      <c r="I358" s="354"/>
      <c r="J358" s="354"/>
      <c r="K358" s="354"/>
      <c r="L358" s="331"/>
    </row>
    <row r="359" ht="15.75" customHeight="1">
      <c r="A359" s="328"/>
      <c r="B359" s="328"/>
      <c r="C359" s="354"/>
      <c r="D359" s="328"/>
      <c r="E359" s="328"/>
      <c r="F359" s="354"/>
      <c r="G359" s="354"/>
      <c r="H359" s="354"/>
      <c r="I359" s="354"/>
      <c r="J359" s="354"/>
      <c r="K359" s="354"/>
      <c r="L359" s="331"/>
    </row>
    <row r="360" ht="15.75" customHeight="1">
      <c r="A360" s="328"/>
      <c r="B360" s="328"/>
      <c r="C360" s="354"/>
      <c r="D360" s="328"/>
      <c r="E360" s="328"/>
      <c r="F360" s="354"/>
      <c r="G360" s="354"/>
      <c r="H360" s="354"/>
      <c r="I360" s="354"/>
      <c r="J360" s="354"/>
      <c r="K360" s="354"/>
      <c r="L360" s="331"/>
    </row>
    <row r="361" ht="15.75" customHeight="1">
      <c r="A361" s="328"/>
      <c r="B361" s="328"/>
      <c r="C361" s="354"/>
      <c r="D361" s="328"/>
      <c r="E361" s="328"/>
      <c r="F361" s="354"/>
      <c r="G361" s="354"/>
      <c r="H361" s="354"/>
      <c r="I361" s="354"/>
      <c r="J361" s="354"/>
      <c r="K361" s="354"/>
      <c r="L361" s="331"/>
    </row>
    <row r="362" ht="15.75" customHeight="1">
      <c r="A362" s="328"/>
      <c r="B362" s="328"/>
      <c r="C362" s="354"/>
      <c r="D362" s="328"/>
      <c r="E362" s="328"/>
      <c r="F362" s="354"/>
      <c r="G362" s="354"/>
      <c r="H362" s="354"/>
      <c r="I362" s="354"/>
      <c r="J362" s="354"/>
      <c r="K362" s="354"/>
      <c r="L362" s="331"/>
    </row>
    <row r="363" ht="15.75" customHeight="1">
      <c r="A363" s="328"/>
      <c r="B363" s="328"/>
      <c r="C363" s="354"/>
      <c r="D363" s="328"/>
      <c r="E363" s="328"/>
      <c r="F363" s="354"/>
      <c r="G363" s="354"/>
      <c r="H363" s="354"/>
      <c r="I363" s="354"/>
      <c r="J363" s="354"/>
      <c r="K363" s="354"/>
      <c r="L363" s="331"/>
    </row>
    <row r="364" ht="15.75" customHeight="1">
      <c r="A364" s="328"/>
      <c r="B364" s="328"/>
      <c r="C364" s="354"/>
      <c r="D364" s="328"/>
      <c r="E364" s="328"/>
      <c r="F364" s="354"/>
      <c r="G364" s="354"/>
      <c r="H364" s="354"/>
      <c r="I364" s="354"/>
      <c r="J364" s="354"/>
      <c r="K364" s="354"/>
      <c r="L364" s="331"/>
    </row>
    <row r="365" ht="15.75" customHeight="1">
      <c r="A365" s="328"/>
      <c r="B365" s="328"/>
      <c r="C365" s="354"/>
      <c r="D365" s="328"/>
      <c r="E365" s="328"/>
      <c r="F365" s="354"/>
      <c r="G365" s="354"/>
      <c r="H365" s="354"/>
      <c r="I365" s="354"/>
      <c r="J365" s="354"/>
      <c r="K365" s="354"/>
      <c r="L365" s="331"/>
    </row>
    <row r="366" ht="15.75" customHeight="1">
      <c r="A366" s="328"/>
      <c r="B366" s="328"/>
      <c r="C366" s="354"/>
      <c r="D366" s="328"/>
      <c r="E366" s="328"/>
      <c r="F366" s="354"/>
      <c r="G366" s="354"/>
      <c r="H366" s="354"/>
      <c r="I366" s="354"/>
      <c r="J366" s="354"/>
      <c r="K366" s="354"/>
      <c r="L366" s="331"/>
    </row>
    <row r="367" ht="15.75" customHeight="1">
      <c r="A367" s="328"/>
      <c r="B367" s="328"/>
      <c r="C367" s="354"/>
      <c r="D367" s="328"/>
      <c r="E367" s="328"/>
      <c r="F367" s="354"/>
      <c r="G367" s="354"/>
      <c r="H367" s="354"/>
      <c r="I367" s="354"/>
      <c r="J367" s="354"/>
      <c r="K367" s="354"/>
      <c r="L367" s="331"/>
    </row>
    <row r="368" ht="15.75" customHeight="1">
      <c r="A368" s="328"/>
      <c r="B368" s="328"/>
      <c r="C368" s="354"/>
      <c r="D368" s="328"/>
      <c r="E368" s="328"/>
      <c r="F368" s="354"/>
      <c r="G368" s="354"/>
      <c r="H368" s="354"/>
      <c r="I368" s="354"/>
      <c r="J368" s="354"/>
      <c r="K368" s="354"/>
      <c r="L368" s="331"/>
    </row>
    <row r="369" ht="15.75" customHeight="1">
      <c r="A369" s="328"/>
      <c r="B369" s="328"/>
      <c r="C369" s="354"/>
      <c r="D369" s="328"/>
      <c r="E369" s="328"/>
      <c r="F369" s="354"/>
      <c r="G369" s="354"/>
      <c r="H369" s="354"/>
      <c r="I369" s="354"/>
      <c r="J369" s="354"/>
      <c r="K369" s="354"/>
      <c r="L369" s="331"/>
    </row>
    <row r="370" ht="15.75" customHeight="1">
      <c r="A370" s="328"/>
      <c r="B370" s="328"/>
      <c r="C370" s="354"/>
      <c r="D370" s="328"/>
      <c r="E370" s="328"/>
      <c r="F370" s="354"/>
      <c r="G370" s="354"/>
      <c r="H370" s="354"/>
      <c r="I370" s="354"/>
      <c r="J370" s="354"/>
      <c r="K370" s="354"/>
      <c r="L370" s="331"/>
    </row>
    <row r="371" ht="15.75" customHeight="1">
      <c r="A371" s="328"/>
      <c r="B371" s="328"/>
      <c r="C371" s="354"/>
      <c r="D371" s="328"/>
      <c r="E371" s="328"/>
      <c r="F371" s="354"/>
      <c r="G371" s="354"/>
      <c r="H371" s="354"/>
      <c r="I371" s="354"/>
      <c r="J371" s="354"/>
      <c r="K371" s="354"/>
      <c r="L371" s="331"/>
    </row>
    <row r="372" ht="15.75" customHeight="1">
      <c r="A372" s="328"/>
      <c r="B372" s="328"/>
      <c r="C372" s="354"/>
      <c r="D372" s="328"/>
      <c r="E372" s="328"/>
      <c r="F372" s="354"/>
      <c r="G372" s="354"/>
      <c r="H372" s="354"/>
      <c r="I372" s="354"/>
      <c r="J372" s="354"/>
      <c r="K372" s="354"/>
      <c r="L372" s="331"/>
    </row>
    <row r="373" ht="15.75" customHeight="1">
      <c r="A373" s="328"/>
      <c r="B373" s="328"/>
      <c r="C373" s="354"/>
      <c r="D373" s="328"/>
      <c r="E373" s="328"/>
      <c r="F373" s="354"/>
      <c r="G373" s="354"/>
      <c r="H373" s="354"/>
      <c r="I373" s="354"/>
      <c r="J373" s="354"/>
      <c r="K373" s="354"/>
      <c r="L373" s="331"/>
    </row>
    <row r="374" ht="15.75" customHeight="1">
      <c r="A374" s="328"/>
      <c r="B374" s="328"/>
      <c r="C374" s="354"/>
      <c r="D374" s="328"/>
      <c r="E374" s="328"/>
      <c r="F374" s="354"/>
      <c r="G374" s="354"/>
      <c r="H374" s="354"/>
      <c r="I374" s="354"/>
      <c r="J374" s="354"/>
      <c r="K374" s="354"/>
      <c r="L374" s="331"/>
    </row>
    <row r="375" ht="15.75" customHeight="1">
      <c r="A375" s="328"/>
      <c r="B375" s="328"/>
      <c r="C375" s="354"/>
      <c r="D375" s="328"/>
      <c r="E375" s="328"/>
      <c r="F375" s="354"/>
      <c r="G375" s="354"/>
      <c r="H375" s="354"/>
      <c r="I375" s="354"/>
      <c r="J375" s="354"/>
      <c r="K375" s="354"/>
      <c r="L375" s="331"/>
    </row>
    <row r="376" ht="15.75" customHeight="1">
      <c r="A376" s="328"/>
      <c r="B376" s="328"/>
      <c r="C376" s="354"/>
      <c r="D376" s="328"/>
      <c r="E376" s="328"/>
      <c r="F376" s="354"/>
      <c r="G376" s="354"/>
      <c r="H376" s="354"/>
      <c r="I376" s="354"/>
      <c r="J376" s="354"/>
      <c r="K376" s="354"/>
      <c r="L376" s="331"/>
    </row>
    <row r="377" ht="15.75" customHeight="1">
      <c r="A377" s="328"/>
      <c r="B377" s="328"/>
      <c r="C377" s="354"/>
      <c r="D377" s="328"/>
      <c r="E377" s="328"/>
      <c r="F377" s="354"/>
      <c r="G377" s="354"/>
      <c r="H377" s="354"/>
      <c r="I377" s="354"/>
      <c r="J377" s="354"/>
      <c r="K377" s="354"/>
      <c r="L377" s="331"/>
    </row>
    <row r="378" ht="15.75" customHeight="1">
      <c r="A378" s="328"/>
      <c r="B378" s="328"/>
      <c r="C378" s="354"/>
      <c r="D378" s="328"/>
      <c r="E378" s="328"/>
      <c r="F378" s="354"/>
      <c r="G378" s="354"/>
      <c r="H378" s="354"/>
      <c r="I378" s="354"/>
      <c r="J378" s="354"/>
      <c r="K378" s="354"/>
      <c r="L378" s="331"/>
    </row>
    <row r="379" ht="15.75" customHeight="1">
      <c r="A379" s="328"/>
      <c r="B379" s="328"/>
      <c r="C379" s="354"/>
      <c r="D379" s="328"/>
      <c r="E379" s="328"/>
      <c r="F379" s="354"/>
      <c r="G379" s="354"/>
      <c r="H379" s="354"/>
      <c r="I379" s="354"/>
      <c r="J379" s="354"/>
      <c r="K379" s="354"/>
      <c r="L379" s="331"/>
    </row>
    <row r="380" ht="15.75" customHeight="1">
      <c r="A380" s="328"/>
      <c r="B380" s="328"/>
      <c r="C380" s="354"/>
      <c r="D380" s="328"/>
      <c r="E380" s="328"/>
      <c r="F380" s="354"/>
      <c r="G380" s="354"/>
      <c r="H380" s="354"/>
      <c r="I380" s="354"/>
      <c r="J380" s="354"/>
      <c r="K380" s="354"/>
      <c r="L380" s="331"/>
    </row>
    <row r="381" ht="15.75" customHeight="1">
      <c r="A381" s="328"/>
      <c r="B381" s="328"/>
      <c r="C381" s="354"/>
      <c r="D381" s="328"/>
      <c r="E381" s="328"/>
      <c r="F381" s="354"/>
      <c r="G381" s="354"/>
      <c r="H381" s="354"/>
      <c r="I381" s="354"/>
      <c r="J381" s="354"/>
      <c r="K381" s="354"/>
      <c r="L381" s="331"/>
    </row>
    <row r="382" ht="15.75" customHeight="1">
      <c r="A382" s="328"/>
      <c r="B382" s="328"/>
      <c r="C382" s="354"/>
      <c r="D382" s="328"/>
      <c r="E382" s="328"/>
      <c r="F382" s="354"/>
      <c r="G382" s="354"/>
      <c r="H382" s="354"/>
      <c r="I382" s="354"/>
      <c r="J382" s="354"/>
      <c r="K382" s="354"/>
      <c r="L382" s="331"/>
    </row>
    <row r="383" ht="15.75" customHeight="1">
      <c r="A383" s="328"/>
      <c r="B383" s="328"/>
      <c r="C383" s="354"/>
      <c r="D383" s="328"/>
      <c r="E383" s="328"/>
      <c r="F383" s="354"/>
      <c r="G383" s="354"/>
      <c r="H383" s="354"/>
      <c r="I383" s="354"/>
      <c r="J383" s="354"/>
      <c r="K383" s="354"/>
      <c r="L383" s="331"/>
    </row>
    <row r="384" ht="15.75" customHeight="1">
      <c r="A384" s="328"/>
      <c r="B384" s="328"/>
      <c r="C384" s="354"/>
      <c r="D384" s="328"/>
      <c r="E384" s="328"/>
      <c r="F384" s="354"/>
      <c r="G384" s="354"/>
      <c r="H384" s="354"/>
      <c r="I384" s="354"/>
      <c r="J384" s="354"/>
      <c r="K384" s="354"/>
      <c r="L384" s="331"/>
    </row>
    <row r="385" ht="15.75" customHeight="1">
      <c r="A385" s="328"/>
      <c r="B385" s="328"/>
      <c r="C385" s="354"/>
      <c r="D385" s="328"/>
      <c r="E385" s="328"/>
      <c r="F385" s="354"/>
      <c r="G385" s="354"/>
      <c r="H385" s="354"/>
      <c r="I385" s="354"/>
      <c r="J385" s="354"/>
      <c r="K385" s="354"/>
      <c r="L385" s="331"/>
    </row>
    <row r="386" ht="15.75" customHeight="1">
      <c r="A386" s="328"/>
      <c r="B386" s="328"/>
      <c r="C386" s="354"/>
      <c r="D386" s="328"/>
      <c r="E386" s="328"/>
      <c r="F386" s="354"/>
      <c r="G386" s="354"/>
      <c r="H386" s="354"/>
      <c r="I386" s="354"/>
      <c r="J386" s="354"/>
      <c r="K386" s="354"/>
      <c r="L386" s="331"/>
    </row>
    <row r="387" ht="15.75" customHeight="1">
      <c r="A387" s="328"/>
      <c r="B387" s="328"/>
      <c r="C387" s="354"/>
      <c r="D387" s="328"/>
      <c r="E387" s="328"/>
      <c r="F387" s="354"/>
      <c r="G387" s="354"/>
      <c r="H387" s="354"/>
      <c r="I387" s="354"/>
      <c r="J387" s="354"/>
      <c r="K387" s="354"/>
      <c r="L387" s="331"/>
    </row>
    <row r="388" ht="15.75" customHeight="1">
      <c r="A388" s="328"/>
      <c r="B388" s="328"/>
      <c r="C388" s="354"/>
      <c r="D388" s="328"/>
      <c r="E388" s="328"/>
      <c r="F388" s="354"/>
      <c r="G388" s="354"/>
      <c r="H388" s="354"/>
      <c r="I388" s="354"/>
      <c r="J388" s="354"/>
      <c r="K388" s="354"/>
      <c r="L388" s="331"/>
    </row>
    <row r="389" ht="15.75" customHeight="1">
      <c r="A389" s="328"/>
      <c r="B389" s="328"/>
      <c r="C389" s="354"/>
      <c r="D389" s="328"/>
      <c r="E389" s="328"/>
      <c r="F389" s="354"/>
      <c r="G389" s="354"/>
      <c r="H389" s="354"/>
      <c r="I389" s="354"/>
      <c r="J389" s="354"/>
      <c r="K389" s="354"/>
      <c r="L389" s="331"/>
    </row>
    <row r="390" ht="15.75" customHeight="1">
      <c r="A390" s="328"/>
      <c r="B390" s="328"/>
      <c r="C390" s="354"/>
      <c r="D390" s="328"/>
      <c r="E390" s="328"/>
      <c r="F390" s="354"/>
      <c r="G390" s="354"/>
      <c r="H390" s="354"/>
      <c r="I390" s="354"/>
      <c r="J390" s="354"/>
      <c r="K390" s="354"/>
      <c r="L390" s="331"/>
    </row>
    <row r="391" ht="15.75" customHeight="1">
      <c r="A391" s="328"/>
      <c r="B391" s="328"/>
      <c r="C391" s="354"/>
      <c r="D391" s="328"/>
      <c r="E391" s="328"/>
      <c r="F391" s="354"/>
      <c r="G391" s="354"/>
      <c r="H391" s="354"/>
      <c r="I391" s="354"/>
      <c r="J391" s="354"/>
      <c r="K391" s="354"/>
      <c r="L391" s="331"/>
    </row>
    <row r="392" ht="15.75" customHeight="1">
      <c r="A392" s="328"/>
      <c r="B392" s="328"/>
      <c r="C392" s="354"/>
      <c r="D392" s="328"/>
      <c r="E392" s="328"/>
      <c r="F392" s="354"/>
      <c r="G392" s="354"/>
      <c r="H392" s="354"/>
      <c r="I392" s="354"/>
      <c r="J392" s="354"/>
      <c r="K392" s="354"/>
      <c r="L392" s="331"/>
    </row>
    <row r="393" ht="15.75" customHeight="1">
      <c r="A393" s="328"/>
      <c r="B393" s="328"/>
      <c r="C393" s="354"/>
      <c r="D393" s="328"/>
      <c r="E393" s="328"/>
      <c r="F393" s="354"/>
      <c r="G393" s="354"/>
      <c r="H393" s="354"/>
      <c r="I393" s="354"/>
      <c r="J393" s="354"/>
      <c r="K393" s="354"/>
      <c r="L393" s="331"/>
    </row>
    <row r="394" ht="15.75" customHeight="1">
      <c r="A394" s="328"/>
      <c r="B394" s="328"/>
      <c r="C394" s="354"/>
      <c r="D394" s="328"/>
      <c r="E394" s="328"/>
      <c r="F394" s="354"/>
      <c r="G394" s="354"/>
      <c r="H394" s="354"/>
      <c r="I394" s="354"/>
      <c r="J394" s="354"/>
      <c r="K394" s="354"/>
      <c r="L394" s="331"/>
    </row>
    <row r="395" ht="15.75" customHeight="1">
      <c r="A395" s="328"/>
      <c r="B395" s="328"/>
      <c r="C395" s="354"/>
      <c r="D395" s="328"/>
      <c r="E395" s="328"/>
      <c r="F395" s="354"/>
      <c r="G395" s="354"/>
      <c r="H395" s="354"/>
      <c r="I395" s="354"/>
      <c r="J395" s="354"/>
      <c r="K395" s="354"/>
      <c r="L395" s="331"/>
    </row>
    <row r="396" ht="15.75" customHeight="1">
      <c r="A396" s="328"/>
      <c r="B396" s="328"/>
      <c r="C396" s="354"/>
      <c r="D396" s="328"/>
      <c r="E396" s="328"/>
      <c r="F396" s="354"/>
      <c r="G396" s="354"/>
      <c r="H396" s="354"/>
      <c r="I396" s="354"/>
      <c r="J396" s="354"/>
      <c r="K396" s="354"/>
      <c r="L396" s="331"/>
    </row>
    <row r="397" ht="15.75" customHeight="1">
      <c r="A397" s="328"/>
      <c r="B397" s="328"/>
      <c r="C397" s="354"/>
      <c r="D397" s="328"/>
      <c r="E397" s="328"/>
      <c r="F397" s="354"/>
      <c r="G397" s="354"/>
      <c r="H397" s="354"/>
      <c r="I397" s="354"/>
      <c r="J397" s="354"/>
      <c r="K397" s="354"/>
      <c r="L397" s="331"/>
    </row>
    <row r="398" ht="15.75" customHeight="1">
      <c r="A398" s="328"/>
      <c r="B398" s="328"/>
      <c r="C398" s="354"/>
      <c r="D398" s="328"/>
      <c r="E398" s="328"/>
      <c r="F398" s="354"/>
      <c r="G398" s="354"/>
      <c r="H398" s="354"/>
      <c r="I398" s="354"/>
      <c r="J398" s="354"/>
      <c r="K398" s="354"/>
      <c r="L398" s="331"/>
    </row>
    <row r="399" ht="15.75" customHeight="1">
      <c r="A399" s="328"/>
      <c r="B399" s="328"/>
      <c r="C399" s="354"/>
      <c r="D399" s="328"/>
      <c r="E399" s="328"/>
      <c r="F399" s="354"/>
      <c r="G399" s="354"/>
      <c r="H399" s="354"/>
      <c r="I399" s="354"/>
      <c r="J399" s="354"/>
      <c r="K399" s="354"/>
      <c r="L399" s="331"/>
    </row>
    <row r="400" ht="15.75" customHeight="1">
      <c r="A400" s="328"/>
      <c r="B400" s="328"/>
      <c r="C400" s="354"/>
      <c r="D400" s="328"/>
      <c r="E400" s="328"/>
      <c r="F400" s="354"/>
      <c r="G400" s="354"/>
      <c r="H400" s="354"/>
      <c r="I400" s="354"/>
      <c r="J400" s="354"/>
      <c r="K400" s="354"/>
      <c r="L400" s="331"/>
    </row>
    <row r="401" ht="15.75" customHeight="1">
      <c r="A401" s="328"/>
      <c r="B401" s="328"/>
      <c r="C401" s="354"/>
      <c r="D401" s="328"/>
      <c r="E401" s="328"/>
      <c r="F401" s="354"/>
      <c r="G401" s="354"/>
      <c r="H401" s="354"/>
      <c r="I401" s="354"/>
      <c r="J401" s="354"/>
      <c r="K401" s="354"/>
      <c r="L401" s="331"/>
    </row>
    <row r="402" ht="15.75" customHeight="1">
      <c r="A402" s="328"/>
      <c r="B402" s="328"/>
      <c r="C402" s="354"/>
      <c r="D402" s="328"/>
      <c r="E402" s="328"/>
      <c r="F402" s="354"/>
      <c r="G402" s="354"/>
      <c r="H402" s="354"/>
      <c r="I402" s="354"/>
      <c r="J402" s="354"/>
      <c r="K402" s="354"/>
      <c r="L402" s="331"/>
    </row>
    <row r="403" ht="15.75" customHeight="1">
      <c r="A403" s="328"/>
      <c r="B403" s="328"/>
      <c r="C403" s="354"/>
      <c r="D403" s="328"/>
      <c r="E403" s="328"/>
      <c r="F403" s="354"/>
      <c r="G403" s="354"/>
      <c r="H403" s="354"/>
      <c r="I403" s="354"/>
      <c r="J403" s="354"/>
      <c r="K403" s="354"/>
      <c r="L403" s="331"/>
    </row>
    <row r="404" ht="15.75" customHeight="1">
      <c r="A404" s="328"/>
      <c r="B404" s="328"/>
      <c r="C404" s="354"/>
      <c r="D404" s="328"/>
      <c r="E404" s="328"/>
      <c r="F404" s="354"/>
      <c r="G404" s="354"/>
      <c r="H404" s="354"/>
      <c r="I404" s="354"/>
      <c r="J404" s="354"/>
      <c r="K404" s="354"/>
      <c r="L404" s="331"/>
    </row>
    <row r="405" ht="15.75" customHeight="1">
      <c r="A405" s="328"/>
      <c r="B405" s="328"/>
      <c r="C405" s="354"/>
      <c r="D405" s="328"/>
      <c r="E405" s="328"/>
      <c r="F405" s="354"/>
      <c r="G405" s="354"/>
      <c r="H405" s="354"/>
      <c r="I405" s="354"/>
      <c r="J405" s="354"/>
      <c r="K405" s="354"/>
      <c r="L405" s="331"/>
    </row>
    <row r="406" ht="15.75" customHeight="1">
      <c r="A406" s="328"/>
      <c r="B406" s="328"/>
      <c r="C406" s="354"/>
      <c r="D406" s="328"/>
      <c r="E406" s="328"/>
      <c r="F406" s="354"/>
      <c r="G406" s="354"/>
      <c r="H406" s="354"/>
      <c r="I406" s="354"/>
      <c r="J406" s="354"/>
      <c r="K406" s="354"/>
      <c r="L406" s="331"/>
    </row>
    <row r="407" ht="15.75" customHeight="1">
      <c r="A407" s="328"/>
      <c r="B407" s="328"/>
      <c r="C407" s="354"/>
      <c r="D407" s="328"/>
      <c r="E407" s="328"/>
      <c r="F407" s="354"/>
      <c r="G407" s="354"/>
      <c r="H407" s="354"/>
      <c r="I407" s="354"/>
      <c r="J407" s="354"/>
      <c r="K407" s="354"/>
      <c r="L407" s="331"/>
    </row>
    <row r="408" ht="15.75" customHeight="1">
      <c r="A408" s="328"/>
      <c r="B408" s="328"/>
      <c r="C408" s="354"/>
      <c r="D408" s="328"/>
      <c r="E408" s="328"/>
      <c r="F408" s="354"/>
      <c r="G408" s="354"/>
      <c r="H408" s="354"/>
      <c r="I408" s="354"/>
      <c r="J408" s="354"/>
      <c r="K408" s="354"/>
      <c r="L408" s="331"/>
    </row>
    <row r="409" ht="15.75" customHeight="1">
      <c r="A409" s="328"/>
      <c r="B409" s="328"/>
      <c r="C409" s="354"/>
      <c r="D409" s="328"/>
      <c r="E409" s="328"/>
      <c r="F409" s="354"/>
      <c r="G409" s="354"/>
      <c r="H409" s="354"/>
      <c r="I409" s="354"/>
      <c r="J409" s="354"/>
      <c r="K409" s="354"/>
      <c r="L409" s="331"/>
    </row>
    <row r="410" ht="15.75" customHeight="1">
      <c r="A410" s="328"/>
      <c r="B410" s="328"/>
      <c r="C410" s="354"/>
      <c r="D410" s="328"/>
      <c r="E410" s="328"/>
      <c r="F410" s="354"/>
      <c r="G410" s="354"/>
      <c r="H410" s="354"/>
      <c r="I410" s="354"/>
      <c r="J410" s="354"/>
      <c r="K410" s="354"/>
      <c r="L410" s="331"/>
    </row>
    <row r="411" ht="15.75" customHeight="1">
      <c r="A411" s="328"/>
      <c r="B411" s="328"/>
      <c r="C411" s="354"/>
      <c r="D411" s="328"/>
      <c r="E411" s="328"/>
      <c r="F411" s="354"/>
      <c r="G411" s="354"/>
      <c r="H411" s="354"/>
      <c r="I411" s="354"/>
      <c r="J411" s="354"/>
      <c r="K411" s="354"/>
      <c r="L411" s="331"/>
    </row>
    <row r="412" ht="15.75" customHeight="1">
      <c r="A412" s="328"/>
      <c r="B412" s="328"/>
      <c r="C412" s="354"/>
      <c r="D412" s="328"/>
      <c r="E412" s="328"/>
      <c r="F412" s="354"/>
      <c r="G412" s="354"/>
      <c r="H412" s="354"/>
      <c r="I412" s="354"/>
      <c r="J412" s="354"/>
      <c r="K412" s="354"/>
      <c r="L412" s="331"/>
    </row>
    <row r="413" ht="15.75" customHeight="1">
      <c r="A413" s="328"/>
      <c r="B413" s="328"/>
      <c r="C413" s="354"/>
      <c r="D413" s="328"/>
      <c r="E413" s="328"/>
      <c r="F413" s="354"/>
      <c r="G413" s="354"/>
      <c r="H413" s="354"/>
      <c r="I413" s="354"/>
      <c r="J413" s="354"/>
      <c r="K413" s="354"/>
      <c r="L413" s="331"/>
    </row>
    <row r="414" ht="15.75" customHeight="1">
      <c r="A414" s="328"/>
      <c r="B414" s="328"/>
      <c r="C414" s="354"/>
      <c r="D414" s="328"/>
      <c r="E414" s="328"/>
      <c r="F414" s="354"/>
      <c r="G414" s="354"/>
      <c r="H414" s="354"/>
      <c r="I414" s="354"/>
      <c r="J414" s="354"/>
      <c r="K414" s="354"/>
      <c r="L414" s="331"/>
    </row>
    <row r="415" ht="15.75" customHeight="1">
      <c r="A415" s="328"/>
      <c r="B415" s="328"/>
      <c r="C415" s="354"/>
      <c r="D415" s="328"/>
      <c r="E415" s="328"/>
      <c r="F415" s="354"/>
      <c r="G415" s="354"/>
      <c r="H415" s="354"/>
      <c r="I415" s="354"/>
      <c r="J415" s="354"/>
      <c r="K415" s="354"/>
      <c r="L415" s="331"/>
    </row>
    <row r="416" ht="15.75" customHeight="1">
      <c r="A416" s="328"/>
      <c r="B416" s="328"/>
      <c r="C416" s="354"/>
      <c r="D416" s="328"/>
      <c r="E416" s="328"/>
      <c r="F416" s="354"/>
      <c r="G416" s="354"/>
      <c r="H416" s="354"/>
      <c r="I416" s="354"/>
      <c r="J416" s="354"/>
      <c r="K416" s="354"/>
      <c r="L416" s="331"/>
    </row>
    <row r="417" ht="15.75" customHeight="1">
      <c r="A417" s="328"/>
      <c r="B417" s="328"/>
      <c r="C417" s="354"/>
      <c r="D417" s="328"/>
      <c r="E417" s="328"/>
      <c r="F417" s="354"/>
      <c r="G417" s="354"/>
      <c r="H417" s="354"/>
      <c r="I417" s="354"/>
      <c r="J417" s="354"/>
      <c r="K417" s="354"/>
      <c r="L417" s="331"/>
    </row>
    <row r="418" ht="15.75" customHeight="1">
      <c r="A418" s="328"/>
      <c r="B418" s="328"/>
      <c r="C418" s="354"/>
      <c r="D418" s="328"/>
      <c r="E418" s="328"/>
      <c r="F418" s="354"/>
      <c r="G418" s="354"/>
      <c r="H418" s="354"/>
      <c r="I418" s="354"/>
      <c r="J418" s="354"/>
      <c r="K418" s="354"/>
      <c r="L418" s="331"/>
    </row>
    <row r="419" ht="15.75" customHeight="1">
      <c r="A419" s="328"/>
      <c r="B419" s="328"/>
      <c r="C419" s="354"/>
      <c r="D419" s="328"/>
      <c r="E419" s="328"/>
      <c r="F419" s="354"/>
      <c r="G419" s="354"/>
      <c r="H419" s="354"/>
      <c r="I419" s="354"/>
      <c r="J419" s="354"/>
      <c r="K419" s="354"/>
      <c r="L419" s="331"/>
    </row>
    <row r="420" ht="15.75" customHeight="1">
      <c r="A420" s="328"/>
      <c r="B420" s="328"/>
      <c r="C420" s="354"/>
      <c r="D420" s="328"/>
      <c r="E420" s="328"/>
      <c r="F420" s="354"/>
      <c r="G420" s="354"/>
      <c r="H420" s="354"/>
      <c r="I420" s="354"/>
      <c r="J420" s="354"/>
      <c r="K420" s="354"/>
      <c r="L420" s="331"/>
    </row>
    <row r="421" ht="15.75" customHeight="1">
      <c r="A421" s="328"/>
      <c r="B421" s="328"/>
      <c r="C421" s="354"/>
      <c r="D421" s="328"/>
      <c r="E421" s="328"/>
      <c r="F421" s="354"/>
      <c r="G421" s="354"/>
      <c r="H421" s="354"/>
      <c r="I421" s="354"/>
      <c r="J421" s="354"/>
      <c r="K421" s="354"/>
      <c r="L421" s="331"/>
    </row>
    <row r="422" ht="15.75" customHeight="1">
      <c r="A422" s="328"/>
      <c r="B422" s="328"/>
      <c r="C422" s="354"/>
      <c r="D422" s="328"/>
      <c r="E422" s="328"/>
      <c r="F422" s="354"/>
      <c r="G422" s="354"/>
      <c r="H422" s="354"/>
      <c r="I422" s="354"/>
      <c r="J422" s="354"/>
      <c r="K422" s="354"/>
      <c r="L422" s="331"/>
    </row>
    <row r="423" ht="15.75" customHeight="1">
      <c r="A423" s="328"/>
      <c r="B423" s="328"/>
      <c r="C423" s="354"/>
      <c r="D423" s="328"/>
      <c r="E423" s="328"/>
      <c r="F423" s="354"/>
      <c r="G423" s="354"/>
      <c r="H423" s="354"/>
      <c r="I423" s="354"/>
      <c r="J423" s="354"/>
      <c r="K423" s="354"/>
      <c r="L423" s="331"/>
    </row>
    <row r="424" ht="15.75" customHeight="1">
      <c r="A424" s="328"/>
      <c r="B424" s="328"/>
      <c r="C424" s="354"/>
      <c r="D424" s="328"/>
      <c r="E424" s="328"/>
      <c r="F424" s="354"/>
      <c r="G424" s="354"/>
      <c r="H424" s="354"/>
      <c r="I424" s="354"/>
      <c r="J424" s="354"/>
      <c r="K424" s="354"/>
      <c r="L424" s="331"/>
    </row>
    <row r="425" ht="15.75" customHeight="1">
      <c r="A425" s="328"/>
      <c r="B425" s="328"/>
      <c r="C425" s="354"/>
      <c r="D425" s="328"/>
      <c r="E425" s="328"/>
      <c r="F425" s="354"/>
      <c r="G425" s="354"/>
      <c r="H425" s="354"/>
      <c r="I425" s="354"/>
      <c r="J425" s="354"/>
      <c r="K425" s="354"/>
      <c r="L425" s="331"/>
    </row>
    <row r="426" ht="15.75" customHeight="1">
      <c r="A426" s="328"/>
      <c r="B426" s="328"/>
      <c r="C426" s="354"/>
      <c r="D426" s="328"/>
      <c r="E426" s="328"/>
      <c r="F426" s="354"/>
      <c r="G426" s="354"/>
      <c r="H426" s="354"/>
      <c r="I426" s="354"/>
      <c r="J426" s="354"/>
      <c r="K426" s="354"/>
      <c r="L426" s="331"/>
    </row>
    <row r="427" ht="15.75" customHeight="1">
      <c r="A427" s="328"/>
      <c r="B427" s="328"/>
      <c r="C427" s="354"/>
      <c r="D427" s="328"/>
      <c r="E427" s="328"/>
      <c r="F427" s="354"/>
      <c r="G427" s="354"/>
      <c r="H427" s="354"/>
      <c r="I427" s="354"/>
      <c r="J427" s="354"/>
      <c r="K427" s="354"/>
      <c r="L427" s="331"/>
    </row>
    <row r="428" ht="15.75" customHeight="1">
      <c r="A428" s="328"/>
      <c r="B428" s="328"/>
      <c r="C428" s="354"/>
      <c r="D428" s="328"/>
      <c r="E428" s="328"/>
      <c r="F428" s="354"/>
      <c r="G428" s="354"/>
      <c r="H428" s="354"/>
      <c r="I428" s="354"/>
      <c r="J428" s="354"/>
      <c r="K428" s="354"/>
      <c r="L428" s="331"/>
    </row>
    <row r="429" ht="15.75" customHeight="1">
      <c r="A429" s="328"/>
      <c r="B429" s="328"/>
      <c r="C429" s="354"/>
      <c r="D429" s="328"/>
      <c r="E429" s="328"/>
      <c r="F429" s="354"/>
      <c r="G429" s="354"/>
      <c r="H429" s="354"/>
      <c r="I429" s="354"/>
      <c r="J429" s="354"/>
      <c r="K429" s="354"/>
      <c r="L429" s="331"/>
    </row>
    <row r="430" ht="15.75" customHeight="1">
      <c r="A430" s="328"/>
      <c r="B430" s="328"/>
      <c r="C430" s="354"/>
      <c r="D430" s="328"/>
      <c r="E430" s="328"/>
      <c r="F430" s="354"/>
      <c r="G430" s="354"/>
      <c r="H430" s="354"/>
      <c r="I430" s="354"/>
      <c r="J430" s="354"/>
      <c r="K430" s="354"/>
      <c r="L430" s="331"/>
    </row>
    <row r="431" ht="15.75" customHeight="1">
      <c r="A431" s="328"/>
      <c r="B431" s="328"/>
      <c r="C431" s="354"/>
      <c r="D431" s="328"/>
      <c r="E431" s="328"/>
      <c r="F431" s="354"/>
      <c r="G431" s="354"/>
      <c r="H431" s="354"/>
      <c r="I431" s="354"/>
      <c r="J431" s="354"/>
      <c r="K431" s="354"/>
      <c r="L431" s="331"/>
    </row>
    <row r="432" ht="15.75" customHeight="1">
      <c r="A432" s="328"/>
      <c r="B432" s="328"/>
      <c r="C432" s="354"/>
      <c r="D432" s="328"/>
      <c r="E432" s="328"/>
      <c r="F432" s="354"/>
      <c r="G432" s="354"/>
      <c r="H432" s="354"/>
      <c r="I432" s="354"/>
      <c r="J432" s="354"/>
      <c r="K432" s="354"/>
      <c r="L432" s="331"/>
    </row>
    <row r="433" ht="15.75" customHeight="1">
      <c r="A433" s="328"/>
      <c r="B433" s="328"/>
      <c r="C433" s="354"/>
      <c r="D433" s="328"/>
      <c r="E433" s="328"/>
      <c r="F433" s="354"/>
      <c r="G433" s="354"/>
      <c r="H433" s="354"/>
      <c r="I433" s="354"/>
      <c r="J433" s="354"/>
      <c r="K433" s="354"/>
      <c r="L433" s="331"/>
    </row>
    <row r="434" ht="15.75" customHeight="1">
      <c r="A434" s="328"/>
      <c r="B434" s="328"/>
      <c r="C434" s="354"/>
      <c r="D434" s="328"/>
      <c r="E434" s="328"/>
      <c r="F434" s="354"/>
      <c r="G434" s="354"/>
      <c r="H434" s="354"/>
      <c r="I434" s="354"/>
      <c r="J434" s="354"/>
      <c r="K434" s="354"/>
      <c r="L434" s="331"/>
    </row>
    <row r="435" ht="15.75" customHeight="1">
      <c r="A435" s="328"/>
      <c r="B435" s="328"/>
      <c r="C435" s="354"/>
      <c r="D435" s="328"/>
      <c r="E435" s="328"/>
      <c r="F435" s="354"/>
      <c r="G435" s="354"/>
      <c r="H435" s="354"/>
      <c r="I435" s="354"/>
      <c r="J435" s="354"/>
      <c r="K435" s="354"/>
      <c r="L435" s="331"/>
    </row>
    <row r="436" ht="15.75" customHeight="1">
      <c r="A436" s="328"/>
      <c r="B436" s="328"/>
      <c r="C436" s="354"/>
      <c r="D436" s="328"/>
      <c r="E436" s="328"/>
      <c r="F436" s="354"/>
      <c r="G436" s="354"/>
      <c r="H436" s="354"/>
      <c r="I436" s="354"/>
      <c r="J436" s="354"/>
      <c r="K436" s="354"/>
      <c r="L436" s="331"/>
    </row>
    <row r="437" ht="15.75" customHeight="1">
      <c r="A437" s="328"/>
      <c r="B437" s="328"/>
      <c r="C437" s="354"/>
      <c r="D437" s="328"/>
      <c r="E437" s="328"/>
      <c r="F437" s="354"/>
      <c r="G437" s="354"/>
      <c r="H437" s="354"/>
      <c r="I437" s="354"/>
      <c r="J437" s="354"/>
      <c r="K437" s="354"/>
      <c r="L437" s="331"/>
    </row>
    <row r="438" ht="15.75" customHeight="1">
      <c r="A438" s="328"/>
      <c r="B438" s="328"/>
      <c r="C438" s="354"/>
      <c r="D438" s="328"/>
      <c r="E438" s="328"/>
      <c r="F438" s="354"/>
      <c r="G438" s="354"/>
      <c r="H438" s="354"/>
      <c r="I438" s="354"/>
      <c r="J438" s="354"/>
      <c r="K438" s="354"/>
      <c r="L438" s="331"/>
    </row>
    <row r="439" ht="15.75" customHeight="1">
      <c r="A439" s="328"/>
      <c r="B439" s="328"/>
      <c r="C439" s="354"/>
      <c r="D439" s="328"/>
      <c r="E439" s="328"/>
      <c r="F439" s="354"/>
      <c r="G439" s="354"/>
      <c r="H439" s="354"/>
      <c r="I439" s="354"/>
      <c r="J439" s="354"/>
      <c r="K439" s="354"/>
      <c r="L439" s="331"/>
    </row>
    <row r="440" ht="15.75" customHeight="1">
      <c r="A440" s="328"/>
      <c r="B440" s="328"/>
      <c r="C440" s="354"/>
      <c r="D440" s="328"/>
      <c r="E440" s="328"/>
      <c r="F440" s="354"/>
      <c r="G440" s="354"/>
      <c r="H440" s="354"/>
      <c r="I440" s="354"/>
      <c r="J440" s="354"/>
      <c r="K440" s="354"/>
      <c r="L440" s="331"/>
    </row>
    <row r="441" ht="15.75" customHeight="1">
      <c r="A441" s="328"/>
      <c r="B441" s="328"/>
      <c r="C441" s="354"/>
      <c r="D441" s="328"/>
      <c r="E441" s="328"/>
      <c r="F441" s="354"/>
      <c r="G441" s="354"/>
      <c r="H441" s="354"/>
      <c r="I441" s="354"/>
      <c r="J441" s="354"/>
      <c r="K441" s="354"/>
      <c r="L441" s="331"/>
    </row>
    <row r="442" ht="15.75" customHeight="1">
      <c r="A442" s="328"/>
      <c r="B442" s="328"/>
      <c r="C442" s="354"/>
      <c r="D442" s="328"/>
      <c r="E442" s="328"/>
      <c r="F442" s="354"/>
      <c r="G442" s="354"/>
      <c r="H442" s="354"/>
      <c r="I442" s="354"/>
      <c r="J442" s="354"/>
      <c r="K442" s="354"/>
      <c r="L442" s="331"/>
    </row>
    <row r="443" ht="15.75" customHeight="1">
      <c r="A443" s="328"/>
      <c r="B443" s="328"/>
      <c r="C443" s="354"/>
      <c r="D443" s="328"/>
      <c r="E443" s="328"/>
      <c r="F443" s="354"/>
      <c r="G443" s="354"/>
      <c r="H443" s="354"/>
      <c r="I443" s="354"/>
      <c r="J443" s="354"/>
      <c r="K443" s="354"/>
      <c r="L443" s="331"/>
    </row>
    <row r="444" ht="15.75" customHeight="1">
      <c r="A444" s="328"/>
      <c r="B444" s="328"/>
      <c r="C444" s="354"/>
      <c r="D444" s="328"/>
      <c r="E444" s="328"/>
      <c r="F444" s="354"/>
      <c r="G444" s="354"/>
      <c r="H444" s="354"/>
      <c r="I444" s="354"/>
      <c r="J444" s="354"/>
      <c r="K444" s="354"/>
      <c r="L444" s="331"/>
    </row>
    <row r="445" ht="15.75" customHeight="1">
      <c r="A445" s="328"/>
      <c r="B445" s="328"/>
      <c r="C445" s="354"/>
      <c r="D445" s="328"/>
      <c r="E445" s="328"/>
      <c r="F445" s="354"/>
      <c r="G445" s="354"/>
      <c r="H445" s="354"/>
      <c r="I445" s="354"/>
      <c r="J445" s="354"/>
      <c r="K445" s="354"/>
      <c r="L445" s="331"/>
    </row>
    <row r="446" ht="15.75" customHeight="1">
      <c r="A446" s="328"/>
      <c r="B446" s="328"/>
      <c r="C446" s="354"/>
      <c r="D446" s="328"/>
      <c r="E446" s="328"/>
      <c r="F446" s="354"/>
      <c r="G446" s="354"/>
      <c r="H446" s="354"/>
      <c r="I446" s="354"/>
      <c r="J446" s="354"/>
      <c r="K446" s="354"/>
      <c r="L446" s="331"/>
    </row>
    <row r="447" ht="15.75" customHeight="1">
      <c r="A447" s="328"/>
      <c r="B447" s="328"/>
      <c r="C447" s="354"/>
      <c r="D447" s="328"/>
      <c r="E447" s="328"/>
      <c r="F447" s="354"/>
      <c r="G447" s="354"/>
      <c r="H447" s="354"/>
      <c r="I447" s="354"/>
      <c r="J447" s="354"/>
      <c r="K447" s="354"/>
      <c r="L447" s="331"/>
    </row>
    <row r="448" ht="15.75" customHeight="1">
      <c r="A448" s="328"/>
      <c r="B448" s="328"/>
      <c r="C448" s="354"/>
      <c r="D448" s="328"/>
      <c r="E448" s="328"/>
      <c r="F448" s="354"/>
      <c r="G448" s="354"/>
      <c r="H448" s="354"/>
      <c r="I448" s="354"/>
      <c r="J448" s="354"/>
      <c r="K448" s="354"/>
      <c r="L448" s="331"/>
    </row>
    <row r="449" ht="15.75" customHeight="1">
      <c r="A449" s="328"/>
      <c r="B449" s="328"/>
      <c r="C449" s="354"/>
      <c r="D449" s="328"/>
      <c r="E449" s="328"/>
      <c r="F449" s="354"/>
      <c r="G449" s="354"/>
      <c r="H449" s="354"/>
      <c r="I449" s="354"/>
      <c r="J449" s="354"/>
      <c r="K449" s="354"/>
      <c r="L449" s="331"/>
    </row>
    <row r="450" ht="15.75" customHeight="1">
      <c r="A450" s="328"/>
      <c r="B450" s="328"/>
      <c r="C450" s="354"/>
      <c r="D450" s="328"/>
      <c r="E450" s="328"/>
      <c r="F450" s="354"/>
      <c r="G450" s="354"/>
      <c r="H450" s="354"/>
      <c r="I450" s="354"/>
      <c r="J450" s="354"/>
      <c r="K450" s="354"/>
      <c r="L450" s="331"/>
    </row>
    <row r="451" ht="15.75" customHeight="1">
      <c r="A451" s="328"/>
      <c r="B451" s="328"/>
      <c r="C451" s="354"/>
      <c r="D451" s="328"/>
      <c r="E451" s="328"/>
      <c r="F451" s="354"/>
      <c r="G451" s="354"/>
      <c r="H451" s="354"/>
      <c r="I451" s="354"/>
      <c r="J451" s="354"/>
      <c r="K451" s="354"/>
      <c r="L451" s="331"/>
    </row>
    <row r="452" ht="15.75" customHeight="1">
      <c r="A452" s="328"/>
      <c r="B452" s="328"/>
      <c r="C452" s="354"/>
      <c r="D452" s="328"/>
      <c r="E452" s="328"/>
      <c r="F452" s="354"/>
      <c r="G452" s="354"/>
      <c r="H452" s="354"/>
      <c r="I452" s="354"/>
      <c r="J452" s="354"/>
      <c r="K452" s="354"/>
      <c r="L452" s="331"/>
    </row>
    <row r="453" ht="15.75" customHeight="1">
      <c r="A453" s="328"/>
      <c r="B453" s="328"/>
      <c r="C453" s="354"/>
      <c r="D453" s="328"/>
      <c r="E453" s="328"/>
      <c r="F453" s="354"/>
      <c r="G453" s="354"/>
      <c r="H453" s="354"/>
      <c r="I453" s="354"/>
      <c r="J453" s="354"/>
      <c r="K453" s="354"/>
      <c r="L453" s="331"/>
    </row>
    <row r="454" ht="15.75" customHeight="1">
      <c r="A454" s="328"/>
      <c r="B454" s="328"/>
      <c r="C454" s="354"/>
      <c r="D454" s="328"/>
      <c r="E454" s="328"/>
      <c r="F454" s="354"/>
      <c r="G454" s="354"/>
      <c r="H454" s="354"/>
      <c r="I454" s="354"/>
      <c r="J454" s="354"/>
      <c r="K454" s="354"/>
      <c r="L454" s="331"/>
    </row>
    <row r="455" ht="15.75" customHeight="1">
      <c r="A455" s="328"/>
      <c r="B455" s="328"/>
      <c r="C455" s="354"/>
      <c r="D455" s="328"/>
      <c r="E455" s="328"/>
      <c r="F455" s="354"/>
      <c r="G455" s="354"/>
      <c r="H455" s="354"/>
      <c r="I455" s="354"/>
      <c r="J455" s="354"/>
      <c r="K455" s="354"/>
      <c r="L455" s="331"/>
    </row>
    <row r="456" ht="15.75" customHeight="1">
      <c r="A456" s="328"/>
      <c r="B456" s="328"/>
      <c r="C456" s="354"/>
      <c r="D456" s="328"/>
      <c r="E456" s="328"/>
      <c r="F456" s="354"/>
      <c r="G456" s="354"/>
      <c r="H456" s="354"/>
      <c r="I456" s="354"/>
      <c r="J456" s="354"/>
      <c r="K456" s="354"/>
      <c r="L456" s="331"/>
    </row>
    <row r="457" ht="15.75" customHeight="1">
      <c r="A457" s="328"/>
      <c r="B457" s="328"/>
      <c r="C457" s="354"/>
      <c r="D457" s="328"/>
      <c r="E457" s="328"/>
      <c r="F457" s="354"/>
      <c r="G457" s="354"/>
      <c r="H457" s="354"/>
      <c r="I457" s="354"/>
      <c r="J457" s="354"/>
      <c r="K457" s="354"/>
      <c r="L457" s="331"/>
    </row>
    <row r="458" ht="15.75" customHeight="1">
      <c r="A458" s="328"/>
      <c r="B458" s="328"/>
      <c r="C458" s="354"/>
      <c r="D458" s="328"/>
      <c r="E458" s="328"/>
      <c r="F458" s="354"/>
      <c r="G458" s="354"/>
      <c r="H458" s="354"/>
      <c r="I458" s="354"/>
      <c r="J458" s="354"/>
      <c r="K458" s="354"/>
      <c r="L458" s="331"/>
    </row>
    <row r="459" ht="15.75" customHeight="1">
      <c r="A459" s="328"/>
      <c r="B459" s="328"/>
      <c r="C459" s="354"/>
      <c r="D459" s="328"/>
      <c r="E459" s="328"/>
      <c r="F459" s="354"/>
      <c r="G459" s="354"/>
      <c r="H459" s="354"/>
      <c r="I459" s="354"/>
      <c r="J459" s="354"/>
      <c r="K459" s="354"/>
      <c r="L459" s="331"/>
    </row>
    <row r="460" ht="15.75" customHeight="1">
      <c r="A460" s="328"/>
      <c r="B460" s="328"/>
      <c r="C460" s="354"/>
      <c r="D460" s="328"/>
      <c r="E460" s="328"/>
      <c r="F460" s="354"/>
      <c r="G460" s="354"/>
      <c r="H460" s="354"/>
      <c r="I460" s="354"/>
      <c r="J460" s="354"/>
      <c r="K460" s="354"/>
      <c r="L460" s="331"/>
    </row>
    <row r="461" ht="15.75" customHeight="1">
      <c r="A461" s="328"/>
      <c r="B461" s="328"/>
      <c r="C461" s="354"/>
      <c r="D461" s="328"/>
      <c r="E461" s="328"/>
      <c r="F461" s="354"/>
      <c r="G461" s="354"/>
      <c r="H461" s="354"/>
      <c r="I461" s="354"/>
      <c r="J461" s="354"/>
      <c r="K461" s="354"/>
      <c r="L461" s="331"/>
    </row>
    <row r="462" ht="15.75" customHeight="1">
      <c r="A462" s="328"/>
      <c r="B462" s="328"/>
      <c r="C462" s="354"/>
      <c r="D462" s="328"/>
      <c r="E462" s="328"/>
      <c r="F462" s="354"/>
      <c r="G462" s="354"/>
      <c r="H462" s="354"/>
      <c r="I462" s="354"/>
      <c r="J462" s="354"/>
      <c r="K462" s="354"/>
      <c r="L462" s="331"/>
    </row>
    <row r="463" ht="15.75" customHeight="1">
      <c r="A463" s="328"/>
      <c r="B463" s="328"/>
      <c r="C463" s="354"/>
      <c r="D463" s="328"/>
      <c r="E463" s="328"/>
      <c r="F463" s="354"/>
      <c r="G463" s="354"/>
      <c r="H463" s="354"/>
      <c r="I463" s="354"/>
      <c r="J463" s="354"/>
      <c r="K463" s="354"/>
      <c r="L463" s="331"/>
    </row>
    <row r="464" ht="15.75" customHeight="1">
      <c r="A464" s="328"/>
      <c r="B464" s="328"/>
      <c r="C464" s="354"/>
      <c r="D464" s="328"/>
      <c r="E464" s="328"/>
      <c r="F464" s="354"/>
      <c r="G464" s="354"/>
      <c r="H464" s="354"/>
      <c r="I464" s="354"/>
      <c r="J464" s="354"/>
      <c r="K464" s="354"/>
      <c r="L464" s="331"/>
    </row>
    <row r="465" ht="15.75" customHeight="1">
      <c r="A465" s="328"/>
      <c r="B465" s="328"/>
      <c r="C465" s="354"/>
      <c r="D465" s="328"/>
      <c r="E465" s="328"/>
      <c r="F465" s="354"/>
      <c r="G465" s="354"/>
      <c r="H465" s="354"/>
      <c r="I465" s="354"/>
      <c r="J465" s="354"/>
      <c r="K465" s="354"/>
      <c r="L465" s="331"/>
    </row>
    <row r="466" ht="15.75" customHeight="1">
      <c r="A466" s="328"/>
      <c r="B466" s="328"/>
      <c r="C466" s="354"/>
      <c r="D466" s="328"/>
      <c r="E466" s="328"/>
      <c r="F466" s="354"/>
      <c r="G466" s="354"/>
      <c r="H466" s="354"/>
      <c r="I466" s="354"/>
      <c r="J466" s="354"/>
      <c r="K466" s="354"/>
      <c r="L466" s="331"/>
    </row>
    <row r="467" ht="15.75" customHeight="1">
      <c r="A467" s="328"/>
      <c r="B467" s="328"/>
      <c r="C467" s="354"/>
      <c r="D467" s="328"/>
      <c r="E467" s="328"/>
      <c r="F467" s="354"/>
      <c r="G467" s="354"/>
      <c r="H467" s="354"/>
      <c r="I467" s="354"/>
      <c r="J467" s="354"/>
      <c r="K467" s="354"/>
      <c r="L467" s="331"/>
    </row>
    <row r="468" ht="15.75" customHeight="1">
      <c r="A468" s="328"/>
      <c r="B468" s="328"/>
      <c r="C468" s="354"/>
      <c r="D468" s="328"/>
      <c r="E468" s="328"/>
      <c r="F468" s="354"/>
      <c r="G468" s="354"/>
      <c r="H468" s="354"/>
      <c r="I468" s="354"/>
      <c r="J468" s="354"/>
      <c r="K468" s="354"/>
      <c r="L468" s="331"/>
    </row>
    <row r="469" ht="15.75" customHeight="1">
      <c r="A469" s="328"/>
      <c r="B469" s="328"/>
      <c r="C469" s="354"/>
      <c r="D469" s="328"/>
      <c r="E469" s="328"/>
      <c r="F469" s="354"/>
      <c r="G469" s="354"/>
      <c r="H469" s="354"/>
      <c r="I469" s="354"/>
      <c r="J469" s="354"/>
      <c r="K469" s="354"/>
      <c r="L469" s="331"/>
    </row>
    <row r="470" ht="15.75" customHeight="1">
      <c r="A470" s="328"/>
      <c r="B470" s="328"/>
      <c r="C470" s="354"/>
      <c r="D470" s="328"/>
      <c r="E470" s="328"/>
      <c r="F470" s="354"/>
      <c r="G470" s="354"/>
      <c r="H470" s="354"/>
      <c r="I470" s="354"/>
      <c r="J470" s="354"/>
      <c r="K470" s="354"/>
      <c r="L470" s="331"/>
    </row>
    <row r="471" ht="15.75" customHeight="1">
      <c r="A471" s="328"/>
      <c r="B471" s="328"/>
      <c r="C471" s="354"/>
      <c r="D471" s="328"/>
      <c r="E471" s="328"/>
      <c r="F471" s="354"/>
      <c r="G471" s="354"/>
      <c r="H471" s="354"/>
      <c r="I471" s="354"/>
      <c r="J471" s="354"/>
      <c r="K471" s="354"/>
      <c r="L471" s="331"/>
    </row>
    <row r="472" ht="15.75" customHeight="1">
      <c r="A472" s="328"/>
      <c r="B472" s="328"/>
      <c r="C472" s="354"/>
      <c r="D472" s="328"/>
      <c r="E472" s="328"/>
      <c r="F472" s="354"/>
      <c r="G472" s="354"/>
      <c r="H472" s="354"/>
      <c r="I472" s="354"/>
      <c r="J472" s="354"/>
      <c r="K472" s="354"/>
      <c r="L472" s="331"/>
    </row>
    <row r="473" ht="15.75" customHeight="1">
      <c r="A473" s="328"/>
      <c r="B473" s="328"/>
      <c r="C473" s="354"/>
      <c r="D473" s="328"/>
      <c r="E473" s="328"/>
      <c r="F473" s="354"/>
      <c r="G473" s="354"/>
      <c r="H473" s="354"/>
      <c r="I473" s="354"/>
      <c r="J473" s="354"/>
      <c r="K473" s="354"/>
      <c r="L473" s="331"/>
    </row>
    <row r="474" ht="15.75" customHeight="1">
      <c r="A474" s="328"/>
      <c r="B474" s="328"/>
      <c r="C474" s="354"/>
      <c r="D474" s="328"/>
      <c r="E474" s="328"/>
      <c r="F474" s="354"/>
      <c r="G474" s="354"/>
      <c r="H474" s="354"/>
      <c r="I474" s="354"/>
      <c r="J474" s="354"/>
      <c r="K474" s="354"/>
      <c r="L474" s="331"/>
    </row>
    <row r="475" ht="15.75" customHeight="1">
      <c r="A475" s="328"/>
      <c r="B475" s="328"/>
      <c r="C475" s="354"/>
      <c r="D475" s="328"/>
      <c r="E475" s="328"/>
      <c r="F475" s="354"/>
      <c r="G475" s="354"/>
      <c r="H475" s="354"/>
      <c r="I475" s="354"/>
      <c r="J475" s="354"/>
      <c r="K475" s="354"/>
      <c r="L475" s="331"/>
    </row>
    <row r="476" ht="15.75" customHeight="1">
      <c r="A476" s="328"/>
      <c r="B476" s="328"/>
      <c r="C476" s="354"/>
      <c r="D476" s="328"/>
      <c r="E476" s="328"/>
      <c r="F476" s="354"/>
      <c r="G476" s="354"/>
      <c r="H476" s="354"/>
      <c r="I476" s="354"/>
      <c r="J476" s="354"/>
      <c r="K476" s="354"/>
      <c r="L476" s="331"/>
    </row>
    <row r="477" ht="15.75" customHeight="1">
      <c r="A477" s="328"/>
      <c r="B477" s="328"/>
      <c r="C477" s="354"/>
      <c r="D477" s="328"/>
      <c r="E477" s="328"/>
      <c r="F477" s="354"/>
      <c r="G477" s="354"/>
      <c r="H477" s="354"/>
      <c r="I477" s="354"/>
      <c r="J477" s="354"/>
      <c r="K477" s="354"/>
      <c r="L477" s="331"/>
    </row>
    <row r="478" ht="15.75" customHeight="1">
      <c r="A478" s="328"/>
      <c r="B478" s="328"/>
      <c r="C478" s="354"/>
      <c r="D478" s="328"/>
      <c r="E478" s="328"/>
      <c r="F478" s="354"/>
      <c r="G478" s="354"/>
      <c r="H478" s="354"/>
      <c r="I478" s="354"/>
      <c r="J478" s="354"/>
      <c r="K478" s="354"/>
      <c r="L478" s="331"/>
    </row>
    <row r="479" ht="15.75" customHeight="1">
      <c r="A479" s="328"/>
      <c r="B479" s="328"/>
      <c r="C479" s="354"/>
      <c r="D479" s="328"/>
      <c r="E479" s="328"/>
      <c r="F479" s="354"/>
      <c r="G479" s="354"/>
      <c r="H479" s="354"/>
      <c r="I479" s="354"/>
      <c r="J479" s="354"/>
      <c r="K479" s="354"/>
      <c r="L479" s="331"/>
    </row>
    <row r="480" ht="15.75" customHeight="1">
      <c r="A480" s="328"/>
      <c r="B480" s="328"/>
      <c r="C480" s="354"/>
      <c r="D480" s="328"/>
      <c r="E480" s="328"/>
      <c r="F480" s="354"/>
      <c r="G480" s="354"/>
      <c r="H480" s="354"/>
      <c r="I480" s="354"/>
      <c r="J480" s="354"/>
      <c r="K480" s="354"/>
      <c r="L480" s="331"/>
    </row>
    <row r="481" ht="15.75" customHeight="1">
      <c r="A481" s="328"/>
      <c r="B481" s="328"/>
      <c r="C481" s="354"/>
      <c r="D481" s="328"/>
      <c r="E481" s="328"/>
      <c r="F481" s="354"/>
      <c r="G481" s="354"/>
      <c r="H481" s="354"/>
      <c r="I481" s="354"/>
      <c r="J481" s="354"/>
      <c r="K481" s="354"/>
      <c r="L481" s="331"/>
    </row>
    <row r="482" ht="15.75" customHeight="1">
      <c r="A482" s="328"/>
      <c r="B482" s="328"/>
      <c r="C482" s="354"/>
      <c r="D482" s="328"/>
      <c r="E482" s="328"/>
      <c r="F482" s="354"/>
      <c r="G482" s="354"/>
      <c r="H482" s="354"/>
      <c r="I482" s="354"/>
      <c r="J482" s="354"/>
      <c r="K482" s="354"/>
      <c r="L482" s="331"/>
    </row>
    <row r="483" ht="15.75" customHeight="1">
      <c r="A483" s="328"/>
      <c r="B483" s="328"/>
      <c r="C483" s="354"/>
      <c r="D483" s="328"/>
      <c r="E483" s="328"/>
      <c r="F483" s="354"/>
      <c r="G483" s="354"/>
      <c r="H483" s="354"/>
      <c r="I483" s="354"/>
      <c r="J483" s="354"/>
      <c r="K483" s="354"/>
      <c r="L483" s="331"/>
    </row>
    <row r="484" ht="15.75" customHeight="1">
      <c r="A484" s="328"/>
      <c r="B484" s="328"/>
      <c r="C484" s="354"/>
      <c r="D484" s="328"/>
      <c r="E484" s="328"/>
      <c r="F484" s="354"/>
      <c r="G484" s="354"/>
      <c r="H484" s="354"/>
      <c r="I484" s="354"/>
      <c r="J484" s="354"/>
      <c r="K484" s="354"/>
      <c r="L484" s="331"/>
    </row>
    <row r="485" ht="15.75" customHeight="1">
      <c r="A485" s="328"/>
      <c r="B485" s="328"/>
      <c r="C485" s="354"/>
      <c r="D485" s="328"/>
      <c r="E485" s="328"/>
      <c r="F485" s="354"/>
      <c r="G485" s="354"/>
      <c r="H485" s="354"/>
      <c r="I485" s="354"/>
      <c r="J485" s="354"/>
      <c r="K485" s="354"/>
      <c r="L485" s="331"/>
    </row>
    <row r="486" ht="15.75" customHeight="1">
      <c r="A486" s="328"/>
      <c r="B486" s="328"/>
      <c r="C486" s="354"/>
      <c r="D486" s="328"/>
      <c r="E486" s="328"/>
      <c r="F486" s="354"/>
      <c r="G486" s="354"/>
      <c r="H486" s="354"/>
      <c r="I486" s="354"/>
      <c r="J486" s="354"/>
      <c r="K486" s="354"/>
      <c r="L486" s="331"/>
    </row>
    <row r="487" ht="15.75" customHeight="1">
      <c r="A487" s="328"/>
      <c r="B487" s="328"/>
      <c r="C487" s="354"/>
      <c r="D487" s="328"/>
      <c r="E487" s="328"/>
      <c r="F487" s="354"/>
      <c r="G487" s="354"/>
      <c r="H487" s="354"/>
      <c r="I487" s="354"/>
      <c r="J487" s="354"/>
      <c r="K487" s="354"/>
      <c r="L487" s="331"/>
    </row>
    <row r="488" ht="15.75" customHeight="1">
      <c r="A488" s="328"/>
      <c r="B488" s="328"/>
      <c r="C488" s="354"/>
      <c r="D488" s="328"/>
      <c r="E488" s="328"/>
      <c r="F488" s="354"/>
      <c r="G488" s="354"/>
      <c r="H488" s="354"/>
      <c r="I488" s="354"/>
      <c r="J488" s="354"/>
      <c r="K488" s="354"/>
      <c r="L488" s="331"/>
    </row>
    <row r="489" ht="15.75" customHeight="1">
      <c r="A489" s="328"/>
      <c r="B489" s="328"/>
      <c r="C489" s="354"/>
      <c r="D489" s="328"/>
      <c r="E489" s="328"/>
      <c r="F489" s="354"/>
      <c r="G489" s="354"/>
      <c r="H489" s="354"/>
      <c r="I489" s="354"/>
      <c r="J489" s="354"/>
      <c r="K489" s="354"/>
      <c r="L489" s="331"/>
    </row>
    <row r="490" ht="15.75" customHeight="1">
      <c r="A490" s="328"/>
      <c r="B490" s="328"/>
      <c r="C490" s="354"/>
      <c r="D490" s="328"/>
      <c r="E490" s="328"/>
      <c r="F490" s="354"/>
      <c r="G490" s="354"/>
      <c r="H490" s="354"/>
      <c r="I490" s="354"/>
      <c r="J490" s="354"/>
      <c r="K490" s="354"/>
      <c r="L490" s="331"/>
    </row>
    <row r="491" ht="15.75" customHeight="1">
      <c r="A491" s="328"/>
      <c r="B491" s="328"/>
      <c r="C491" s="354"/>
      <c r="D491" s="328"/>
      <c r="E491" s="328"/>
      <c r="F491" s="354"/>
      <c r="G491" s="354"/>
      <c r="H491" s="354"/>
      <c r="I491" s="354"/>
      <c r="J491" s="354"/>
      <c r="K491" s="354"/>
      <c r="L491" s="331"/>
    </row>
    <row r="492" ht="15.75" customHeight="1">
      <c r="A492" s="328"/>
      <c r="B492" s="328"/>
      <c r="C492" s="354"/>
      <c r="D492" s="328"/>
      <c r="E492" s="328"/>
      <c r="F492" s="354"/>
      <c r="G492" s="354"/>
      <c r="H492" s="354"/>
      <c r="I492" s="354"/>
      <c r="J492" s="354"/>
      <c r="K492" s="354"/>
      <c r="L492" s="331"/>
    </row>
    <row r="493" ht="15.75" customHeight="1">
      <c r="A493" s="328"/>
      <c r="B493" s="328"/>
      <c r="C493" s="354"/>
      <c r="D493" s="328"/>
      <c r="E493" s="328"/>
      <c r="F493" s="354"/>
      <c r="G493" s="354"/>
      <c r="H493" s="354"/>
      <c r="I493" s="354"/>
      <c r="J493" s="354"/>
      <c r="K493" s="354"/>
      <c r="L493" s="331"/>
    </row>
    <row r="494" ht="15.75" customHeight="1">
      <c r="A494" s="328"/>
      <c r="B494" s="328"/>
      <c r="C494" s="354"/>
      <c r="D494" s="328"/>
      <c r="E494" s="328"/>
      <c r="F494" s="354"/>
      <c r="G494" s="354"/>
      <c r="H494" s="354"/>
      <c r="I494" s="354"/>
      <c r="J494" s="354"/>
      <c r="K494" s="354"/>
      <c r="L494" s="331"/>
    </row>
    <row r="495" ht="15.75" customHeight="1">
      <c r="A495" s="328"/>
      <c r="B495" s="328"/>
      <c r="C495" s="354"/>
      <c r="D495" s="328"/>
      <c r="E495" s="328"/>
      <c r="F495" s="354"/>
      <c r="G495" s="354"/>
      <c r="H495" s="354"/>
      <c r="I495" s="354"/>
      <c r="J495" s="354"/>
      <c r="K495" s="354"/>
      <c r="L495" s="331"/>
    </row>
    <row r="496" ht="15.75" customHeight="1">
      <c r="A496" s="328"/>
      <c r="B496" s="328"/>
      <c r="C496" s="354"/>
      <c r="D496" s="328"/>
      <c r="E496" s="328"/>
      <c r="F496" s="354"/>
      <c r="G496" s="354"/>
      <c r="H496" s="354"/>
      <c r="I496" s="354"/>
      <c r="J496" s="354"/>
      <c r="K496" s="354"/>
      <c r="L496" s="331"/>
    </row>
    <row r="497" ht="15.75" customHeight="1">
      <c r="A497" s="328"/>
      <c r="B497" s="328"/>
      <c r="C497" s="354"/>
      <c r="D497" s="328"/>
      <c r="E497" s="328"/>
      <c r="F497" s="354"/>
      <c r="G497" s="354"/>
      <c r="H497" s="354"/>
      <c r="I497" s="354"/>
      <c r="J497" s="354"/>
      <c r="K497" s="354"/>
      <c r="L497" s="331"/>
    </row>
    <row r="498" ht="15.75" customHeight="1">
      <c r="A498" s="328"/>
      <c r="B498" s="328"/>
      <c r="C498" s="354"/>
      <c r="D498" s="328"/>
      <c r="E498" s="328"/>
      <c r="F498" s="354"/>
      <c r="G498" s="354"/>
      <c r="H498" s="354"/>
      <c r="I498" s="354"/>
      <c r="J498" s="354"/>
      <c r="K498" s="354"/>
      <c r="L498" s="331"/>
    </row>
    <row r="499" ht="15.75" customHeight="1">
      <c r="A499" s="328"/>
      <c r="B499" s="328"/>
      <c r="C499" s="354"/>
      <c r="D499" s="328"/>
      <c r="E499" s="328"/>
      <c r="F499" s="354"/>
      <c r="G499" s="354"/>
      <c r="H499" s="354"/>
      <c r="I499" s="354"/>
      <c r="J499" s="354"/>
      <c r="K499" s="354"/>
      <c r="L499" s="331"/>
    </row>
    <row r="500" ht="15.75" customHeight="1">
      <c r="A500" s="328"/>
      <c r="B500" s="328"/>
      <c r="C500" s="354"/>
      <c r="D500" s="328"/>
      <c r="E500" s="328"/>
      <c r="F500" s="354"/>
      <c r="G500" s="354"/>
      <c r="H500" s="354"/>
      <c r="I500" s="354"/>
      <c r="J500" s="354"/>
      <c r="K500" s="354"/>
      <c r="L500" s="331"/>
    </row>
    <row r="501" ht="15.75" customHeight="1">
      <c r="A501" s="328"/>
      <c r="B501" s="328"/>
      <c r="C501" s="354"/>
      <c r="D501" s="328"/>
      <c r="E501" s="328"/>
      <c r="F501" s="354"/>
      <c r="G501" s="354"/>
      <c r="H501" s="354"/>
      <c r="I501" s="354"/>
      <c r="J501" s="354"/>
      <c r="K501" s="354"/>
      <c r="L501" s="331"/>
    </row>
    <row r="502" ht="15.75" customHeight="1">
      <c r="A502" s="328"/>
      <c r="B502" s="328"/>
      <c r="C502" s="354"/>
      <c r="D502" s="328"/>
      <c r="E502" s="328"/>
      <c r="F502" s="354"/>
      <c r="G502" s="354"/>
      <c r="H502" s="354"/>
      <c r="I502" s="354"/>
      <c r="J502" s="354"/>
      <c r="K502" s="354"/>
      <c r="L502" s="331"/>
    </row>
    <row r="503" ht="15.75" customHeight="1">
      <c r="A503" s="328"/>
      <c r="B503" s="328"/>
      <c r="C503" s="354"/>
      <c r="D503" s="328"/>
      <c r="E503" s="328"/>
      <c r="F503" s="354"/>
      <c r="G503" s="354"/>
      <c r="H503" s="354"/>
      <c r="I503" s="354"/>
      <c r="J503" s="354"/>
      <c r="K503" s="354"/>
      <c r="L503" s="331"/>
    </row>
    <row r="504" ht="15.75" customHeight="1">
      <c r="A504" s="328"/>
      <c r="B504" s="328"/>
      <c r="C504" s="354"/>
      <c r="D504" s="328"/>
      <c r="E504" s="328"/>
      <c r="F504" s="354"/>
      <c r="G504" s="354"/>
      <c r="H504" s="354"/>
      <c r="I504" s="354"/>
      <c r="J504" s="354"/>
      <c r="K504" s="354"/>
      <c r="L504" s="331"/>
    </row>
    <row r="505" ht="15.75" customHeight="1">
      <c r="A505" s="328"/>
      <c r="B505" s="328"/>
      <c r="C505" s="354"/>
      <c r="D505" s="328"/>
      <c r="E505" s="328"/>
      <c r="F505" s="354"/>
      <c r="G505" s="354"/>
      <c r="H505" s="354"/>
      <c r="I505" s="354"/>
      <c r="J505" s="354"/>
      <c r="K505" s="354"/>
      <c r="L505" s="331"/>
    </row>
    <row r="506" ht="15.75" customHeight="1">
      <c r="A506" s="328"/>
      <c r="B506" s="328"/>
      <c r="C506" s="354"/>
      <c r="D506" s="328"/>
      <c r="E506" s="328"/>
      <c r="F506" s="354"/>
      <c r="G506" s="354"/>
      <c r="H506" s="354"/>
      <c r="I506" s="354"/>
      <c r="J506" s="354"/>
      <c r="K506" s="354"/>
      <c r="L506" s="331"/>
    </row>
    <row r="507" ht="15.75" customHeight="1">
      <c r="A507" s="328"/>
      <c r="B507" s="328"/>
      <c r="C507" s="354"/>
      <c r="D507" s="328"/>
      <c r="E507" s="328"/>
      <c r="F507" s="354"/>
      <c r="G507" s="354"/>
      <c r="H507" s="354"/>
      <c r="I507" s="354"/>
      <c r="J507" s="354"/>
      <c r="K507" s="354"/>
      <c r="L507" s="331"/>
    </row>
    <row r="508" ht="15.75" customHeight="1">
      <c r="A508" s="328"/>
      <c r="B508" s="328"/>
      <c r="C508" s="354"/>
      <c r="D508" s="328"/>
      <c r="E508" s="328"/>
      <c r="F508" s="354"/>
      <c r="G508" s="354"/>
      <c r="H508" s="354"/>
      <c r="I508" s="354"/>
      <c r="J508" s="354"/>
      <c r="K508" s="354"/>
      <c r="L508" s="331"/>
    </row>
    <row r="509" ht="15.75" customHeight="1">
      <c r="A509" s="328"/>
      <c r="B509" s="328"/>
      <c r="C509" s="354"/>
      <c r="D509" s="328"/>
      <c r="E509" s="328"/>
      <c r="F509" s="354"/>
      <c r="G509" s="354"/>
      <c r="H509" s="354"/>
      <c r="I509" s="354"/>
      <c r="J509" s="354"/>
      <c r="K509" s="354"/>
      <c r="L509" s="331"/>
    </row>
    <row r="510" ht="15.75" customHeight="1">
      <c r="A510" s="328"/>
      <c r="B510" s="328"/>
      <c r="C510" s="354"/>
      <c r="D510" s="328"/>
      <c r="E510" s="328"/>
      <c r="F510" s="354"/>
      <c r="G510" s="354"/>
      <c r="H510" s="354"/>
      <c r="I510" s="354"/>
      <c r="J510" s="354"/>
      <c r="K510" s="354"/>
      <c r="L510" s="331"/>
    </row>
    <row r="511" ht="15.75" customHeight="1">
      <c r="A511" s="328"/>
      <c r="B511" s="328"/>
      <c r="C511" s="354"/>
      <c r="D511" s="328"/>
      <c r="E511" s="328"/>
      <c r="F511" s="354"/>
      <c r="G511" s="354"/>
      <c r="H511" s="354"/>
      <c r="I511" s="354"/>
      <c r="J511" s="354"/>
      <c r="K511" s="354"/>
      <c r="L511" s="331"/>
    </row>
    <row r="512" ht="15.75" customHeight="1">
      <c r="A512" s="328"/>
      <c r="B512" s="328"/>
      <c r="C512" s="354"/>
      <c r="D512" s="328"/>
      <c r="E512" s="328"/>
      <c r="F512" s="354"/>
      <c r="G512" s="354"/>
      <c r="H512" s="354"/>
      <c r="I512" s="354"/>
      <c r="J512" s="354"/>
      <c r="K512" s="354"/>
      <c r="L512" s="331"/>
    </row>
    <row r="513" ht="15.75" customHeight="1">
      <c r="A513" s="328"/>
      <c r="B513" s="328"/>
      <c r="C513" s="354"/>
      <c r="D513" s="328"/>
      <c r="E513" s="328"/>
      <c r="F513" s="354"/>
      <c r="G513" s="354"/>
      <c r="H513" s="354"/>
      <c r="I513" s="354"/>
      <c r="J513" s="354"/>
      <c r="K513" s="354"/>
      <c r="L513" s="331"/>
    </row>
    <row r="514" ht="15.75" customHeight="1">
      <c r="A514" s="328"/>
      <c r="B514" s="328"/>
      <c r="C514" s="354"/>
      <c r="D514" s="328"/>
      <c r="E514" s="328"/>
      <c r="F514" s="354"/>
      <c r="G514" s="354"/>
      <c r="H514" s="354"/>
      <c r="I514" s="354"/>
      <c r="J514" s="354"/>
      <c r="K514" s="354"/>
      <c r="L514" s="331"/>
    </row>
    <row r="515" ht="15.75" customHeight="1">
      <c r="A515" s="328"/>
      <c r="B515" s="328"/>
      <c r="C515" s="354"/>
      <c r="D515" s="328"/>
      <c r="E515" s="328"/>
      <c r="F515" s="354"/>
      <c r="G515" s="354"/>
      <c r="H515" s="354"/>
      <c r="I515" s="354"/>
      <c r="J515" s="354"/>
      <c r="K515" s="354"/>
      <c r="L515" s="331"/>
    </row>
    <row r="516" ht="15.75" customHeight="1">
      <c r="A516" s="328"/>
      <c r="B516" s="328"/>
      <c r="C516" s="354"/>
      <c r="D516" s="328"/>
      <c r="E516" s="328"/>
      <c r="F516" s="354"/>
      <c r="G516" s="354"/>
      <c r="H516" s="354"/>
      <c r="I516" s="354"/>
      <c r="J516" s="354"/>
      <c r="K516" s="354"/>
      <c r="L516" s="331"/>
    </row>
    <row r="517" ht="15.75" customHeight="1">
      <c r="A517" s="328"/>
      <c r="B517" s="328"/>
      <c r="C517" s="354"/>
      <c r="D517" s="328"/>
      <c r="E517" s="328"/>
      <c r="F517" s="354"/>
      <c r="G517" s="354"/>
      <c r="H517" s="354"/>
      <c r="I517" s="354"/>
      <c r="J517" s="354"/>
      <c r="K517" s="354"/>
      <c r="L517" s="331"/>
    </row>
    <row r="518" ht="15.75" customHeight="1">
      <c r="A518" s="328"/>
      <c r="B518" s="328"/>
      <c r="C518" s="354"/>
      <c r="D518" s="328"/>
      <c r="E518" s="328"/>
      <c r="F518" s="354"/>
      <c r="G518" s="354"/>
      <c r="H518" s="354"/>
      <c r="I518" s="354"/>
      <c r="J518" s="354"/>
      <c r="K518" s="354"/>
      <c r="L518" s="331"/>
    </row>
    <row r="519" ht="15.75" customHeight="1">
      <c r="A519" s="328"/>
      <c r="B519" s="328"/>
      <c r="C519" s="354"/>
      <c r="D519" s="328"/>
      <c r="E519" s="328"/>
      <c r="F519" s="354"/>
      <c r="G519" s="354"/>
      <c r="H519" s="354"/>
      <c r="I519" s="354"/>
      <c r="J519" s="354"/>
      <c r="K519" s="354"/>
      <c r="L519" s="331"/>
    </row>
    <row r="520" ht="15.75" customHeight="1">
      <c r="A520" s="328"/>
      <c r="B520" s="328"/>
      <c r="C520" s="354"/>
      <c r="D520" s="328"/>
      <c r="E520" s="328"/>
      <c r="F520" s="354"/>
      <c r="G520" s="354"/>
      <c r="H520" s="354"/>
      <c r="I520" s="354"/>
      <c r="J520" s="354"/>
      <c r="K520" s="354"/>
      <c r="L520" s="331"/>
    </row>
    <row r="521" ht="15.75" customHeight="1">
      <c r="A521" s="328"/>
      <c r="B521" s="328"/>
      <c r="C521" s="354"/>
      <c r="D521" s="328"/>
      <c r="E521" s="328"/>
      <c r="F521" s="354"/>
      <c r="G521" s="354"/>
      <c r="H521" s="354"/>
      <c r="I521" s="354"/>
      <c r="J521" s="354"/>
      <c r="K521" s="354"/>
      <c r="L521" s="331"/>
    </row>
    <row r="522" ht="15.75" customHeight="1">
      <c r="A522" s="328"/>
      <c r="B522" s="328"/>
      <c r="C522" s="354"/>
      <c r="D522" s="328"/>
      <c r="E522" s="328"/>
      <c r="F522" s="354"/>
      <c r="G522" s="354"/>
      <c r="H522" s="354"/>
      <c r="I522" s="354"/>
      <c r="J522" s="354"/>
      <c r="K522" s="354"/>
      <c r="L522" s="331"/>
    </row>
    <row r="523" ht="15.75" customHeight="1">
      <c r="A523" s="328"/>
      <c r="B523" s="328"/>
      <c r="C523" s="354"/>
      <c r="D523" s="328"/>
      <c r="E523" s="328"/>
      <c r="F523" s="354"/>
      <c r="G523" s="354"/>
      <c r="H523" s="354"/>
      <c r="I523" s="354"/>
      <c r="J523" s="354"/>
      <c r="K523" s="354"/>
      <c r="L523" s="331"/>
    </row>
    <row r="524" ht="15.75" customHeight="1">
      <c r="A524" s="328"/>
      <c r="B524" s="328"/>
      <c r="C524" s="354"/>
      <c r="D524" s="328"/>
      <c r="E524" s="328"/>
      <c r="F524" s="354"/>
      <c r="G524" s="354"/>
      <c r="H524" s="354"/>
      <c r="I524" s="354"/>
      <c r="J524" s="354"/>
      <c r="K524" s="354"/>
      <c r="L524" s="331"/>
    </row>
    <row r="525" ht="15.75" customHeight="1">
      <c r="A525" s="328"/>
      <c r="B525" s="328"/>
      <c r="C525" s="354"/>
      <c r="D525" s="328"/>
      <c r="E525" s="328"/>
      <c r="F525" s="354"/>
      <c r="G525" s="354"/>
      <c r="H525" s="354"/>
      <c r="I525" s="354"/>
      <c r="J525" s="354"/>
      <c r="K525" s="354"/>
      <c r="L525" s="331"/>
    </row>
    <row r="526" ht="15.75" customHeight="1">
      <c r="A526" s="328"/>
      <c r="B526" s="328"/>
      <c r="C526" s="354"/>
      <c r="D526" s="328"/>
      <c r="E526" s="328"/>
      <c r="F526" s="354"/>
      <c r="G526" s="354"/>
      <c r="H526" s="354"/>
      <c r="I526" s="354"/>
      <c r="J526" s="354"/>
      <c r="K526" s="354"/>
      <c r="L526" s="331"/>
    </row>
    <row r="527" ht="15.75" customHeight="1">
      <c r="A527" s="328"/>
      <c r="B527" s="328"/>
      <c r="C527" s="354"/>
      <c r="D527" s="328"/>
      <c r="E527" s="328"/>
      <c r="F527" s="354"/>
      <c r="G527" s="354"/>
      <c r="H527" s="354"/>
      <c r="I527" s="354"/>
      <c r="J527" s="354"/>
      <c r="K527" s="354"/>
      <c r="L527" s="331"/>
    </row>
    <row r="528" ht="15.75" customHeight="1">
      <c r="A528" s="328"/>
      <c r="B528" s="328"/>
      <c r="C528" s="354"/>
      <c r="D528" s="328"/>
      <c r="E528" s="328"/>
      <c r="F528" s="354"/>
      <c r="G528" s="354"/>
      <c r="H528" s="354"/>
      <c r="I528" s="354"/>
      <c r="J528" s="354"/>
      <c r="K528" s="354"/>
      <c r="L528" s="331"/>
    </row>
    <row r="529" ht="15.75" customHeight="1">
      <c r="A529" s="328"/>
      <c r="B529" s="328"/>
      <c r="C529" s="354"/>
      <c r="D529" s="328"/>
      <c r="E529" s="328"/>
      <c r="F529" s="354"/>
      <c r="G529" s="354"/>
      <c r="H529" s="354"/>
      <c r="I529" s="354"/>
      <c r="J529" s="354"/>
      <c r="K529" s="354"/>
      <c r="L529" s="331"/>
    </row>
    <row r="530" ht="15.75" customHeight="1">
      <c r="A530" s="328"/>
      <c r="B530" s="328"/>
      <c r="C530" s="354"/>
      <c r="D530" s="328"/>
      <c r="E530" s="328"/>
      <c r="F530" s="354"/>
      <c r="G530" s="354"/>
      <c r="H530" s="354"/>
      <c r="I530" s="354"/>
      <c r="J530" s="354"/>
      <c r="K530" s="354"/>
      <c r="L530" s="331"/>
    </row>
    <row r="531" ht="15.75" customHeight="1">
      <c r="A531" s="328"/>
      <c r="B531" s="328"/>
      <c r="C531" s="354"/>
      <c r="D531" s="328"/>
      <c r="E531" s="328"/>
      <c r="F531" s="354"/>
      <c r="G531" s="354"/>
      <c r="H531" s="354"/>
      <c r="I531" s="354"/>
      <c r="J531" s="354"/>
      <c r="K531" s="354"/>
      <c r="L531" s="331"/>
    </row>
    <row r="532" ht="15.75" customHeight="1">
      <c r="A532" s="328"/>
      <c r="B532" s="328"/>
      <c r="C532" s="354"/>
      <c r="D532" s="328"/>
      <c r="E532" s="328"/>
      <c r="F532" s="354"/>
      <c r="G532" s="354"/>
      <c r="H532" s="354"/>
      <c r="I532" s="354"/>
      <c r="J532" s="354"/>
      <c r="K532" s="354"/>
      <c r="L532" s="331"/>
    </row>
    <row r="533" ht="15.75" customHeight="1">
      <c r="A533" s="328"/>
      <c r="B533" s="328"/>
      <c r="C533" s="354"/>
      <c r="D533" s="328"/>
      <c r="E533" s="328"/>
      <c r="F533" s="354"/>
      <c r="G533" s="354"/>
      <c r="H533" s="354"/>
      <c r="I533" s="354"/>
      <c r="J533" s="354"/>
      <c r="K533" s="354"/>
      <c r="L533" s="331"/>
    </row>
    <row r="534" ht="15.75" customHeight="1">
      <c r="A534" s="328"/>
      <c r="B534" s="328"/>
      <c r="C534" s="354"/>
      <c r="D534" s="328"/>
      <c r="E534" s="328"/>
      <c r="F534" s="354"/>
      <c r="G534" s="354"/>
      <c r="H534" s="354"/>
      <c r="I534" s="354"/>
      <c r="J534" s="354"/>
      <c r="K534" s="354"/>
      <c r="L534" s="331"/>
    </row>
    <row r="535" ht="15.75" customHeight="1">
      <c r="A535" s="328"/>
      <c r="B535" s="328"/>
      <c r="C535" s="354"/>
      <c r="D535" s="328"/>
      <c r="E535" s="328"/>
      <c r="F535" s="354"/>
      <c r="G535" s="354"/>
      <c r="H535" s="354"/>
      <c r="I535" s="354"/>
      <c r="J535" s="354"/>
      <c r="K535" s="354"/>
      <c r="L535" s="331"/>
    </row>
    <row r="536" ht="15.75" customHeight="1">
      <c r="A536" s="328"/>
      <c r="B536" s="328"/>
      <c r="C536" s="354"/>
      <c r="D536" s="328"/>
      <c r="E536" s="328"/>
      <c r="F536" s="354"/>
      <c r="G536" s="354"/>
      <c r="H536" s="354"/>
      <c r="I536" s="354"/>
      <c r="J536" s="354"/>
      <c r="K536" s="354"/>
      <c r="L536" s="331"/>
    </row>
    <row r="537" ht="15.75" customHeight="1">
      <c r="A537" s="328"/>
      <c r="B537" s="328"/>
      <c r="C537" s="354"/>
      <c r="D537" s="328"/>
      <c r="E537" s="328"/>
      <c r="F537" s="354"/>
      <c r="G537" s="354"/>
      <c r="H537" s="354"/>
      <c r="I537" s="354"/>
      <c r="J537" s="354"/>
      <c r="K537" s="354"/>
      <c r="L537" s="331"/>
    </row>
    <row r="538" ht="15.75" customHeight="1">
      <c r="A538" s="328"/>
      <c r="B538" s="328"/>
      <c r="C538" s="354"/>
      <c r="D538" s="328"/>
      <c r="E538" s="328"/>
      <c r="F538" s="354"/>
      <c r="G538" s="354"/>
      <c r="H538" s="354"/>
      <c r="I538" s="354"/>
      <c r="J538" s="354"/>
      <c r="K538" s="354"/>
      <c r="L538" s="331"/>
    </row>
    <row r="539" ht="15.75" customHeight="1">
      <c r="A539" s="328"/>
      <c r="B539" s="328"/>
      <c r="C539" s="354"/>
      <c r="D539" s="328"/>
      <c r="E539" s="328"/>
      <c r="F539" s="354"/>
      <c r="G539" s="354"/>
      <c r="H539" s="354"/>
      <c r="I539" s="354"/>
      <c r="J539" s="354"/>
      <c r="K539" s="354"/>
      <c r="L539" s="331"/>
    </row>
    <row r="540" ht="15.75" customHeight="1">
      <c r="A540" s="328"/>
      <c r="B540" s="328"/>
      <c r="C540" s="354"/>
      <c r="D540" s="328"/>
      <c r="E540" s="328"/>
      <c r="F540" s="354"/>
      <c r="G540" s="354"/>
      <c r="H540" s="354"/>
      <c r="I540" s="354"/>
      <c r="J540" s="354"/>
      <c r="K540" s="354"/>
      <c r="L540" s="331"/>
    </row>
    <row r="541" ht="15.75" customHeight="1">
      <c r="A541" s="328"/>
      <c r="B541" s="328"/>
      <c r="C541" s="354"/>
      <c r="D541" s="328"/>
      <c r="E541" s="328"/>
      <c r="F541" s="354"/>
      <c r="G541" s="354"/>
      <c r="H541" s="354"/>
      <c r="I541" s="354"/>
      <c r="J541" s="354"/>
      <c r="K541" s="354"/>
      <c r="L541" s="331"/>
    </row>
    <row r="542" ht="15.75" customHeight="1">
      <c r="A542" s="328"/>
      <c r="B542" s="328"/>
      <c r="C542" s="354"/>
      <c r="D542" s="328"/>
      <c r="E542" s="328"/>
      <c r="F542" s="354"/>
      <c r="G542" s="354"/>
      <c r="H542" s="354"/>
      <c r="I542" s="354"/>
      <c r="J542" s="354"/>
      <c r="K542" s="354"/>
      <c r="L542" s="331"/>
    </row>
    <row r="543" ht="15.75" customHeight="1">
      <c r="A543" s="328"/>
      <c r="B543" s="328"/>
      <c r="C543" s="354"/>
      <c r="D543" s="328"/>
      <c r="E543" s="328"/>
      <c r="F543" s="354"/>
      <c r="G543" s="354"/>
      <c r="H543" s="354"/>
      <c r="I543" s="354"/>
      <c r="J543" s="354"/>
      <c r="K543" s="354"/>
      <c r="L543" s="331"/>
    </row>
    <row r="544" ht="15.75" customHeight="1">
      <c r="A544" s="328"/>
      <c r="B544" s="328"/>
      <c r="C544" s="354"/>
      <c r="D544" s="328"/>
      <c r="E544" s="328"/>
      <c r="F544" s="354"/>
      <c r="G544" s="354"/>
      <c r="H544" s="354"/>
      <c r="I544" s="354"/>
      <c r="J544" s="354"/>
      <c r="K544" s="354"/>
      <c r="L544" s="331"/>
    </row>
    <row r="545" ht="15.75" customHeight="1">
      <c r="A545" s="328"/>
      <c r="B545" s="328"/>
      <c r="C545" s="354"/>
      <c r="D545" s="328"/>
      <c r="E545" s="328"/>
      <c r="F545" s="354"/>
      <c r="G545" s="354"/>
      <c r="H545" s="354"/>
      <c r="I545" s="354"/>
      <c r="J545" s="354"/>
      <c r="K545" s="354"/>
      <c r="L545" s="331"/>
    </row>
    <row r="546" ht="15.75" customHeight="1">
      <c r="A546" s="328"/>
      <c r="B546" s="328"/>
      <c r="C546" s="354"/>
      <c r="D546" s="328"/>
      <c r="E546" s="328"/>
      <c r="F546" s="354"/>
      <c r="G546" s="354"/>
      <c r="H546" s="354"/>
      <c r="I546" s="354"/>
      <c r="J546" s="354"/>
      <c r="K546" s="354"/>
      <c r="L546" s="331"/>
    </row>
    <row r="547" ht="15.75" customHeight="1">
      <c r="A547" s="328"/>
      <c r="B547" s="328"/>
      <c r="C547" s="354"/>
      <c r="D547" s="328"/>
      <c r="E547" s="328"/>
      <c r="F547" s="354"/>
      <c r="G547" s="354"/>
      <c r="H547" s="354"/>
      <c r="I547" s="354"/>
      <c r="J547" s="354"/>
      <c r="K547" s="354"/>
      <c r="L547" s="331"/>
    </row>
    <row r="548" ht="15.75" customHeight="1">
      <c r="A548" s="328"/>
      <c r="B548" s="328"/>
      <c r="C548" s="354"/>
      <c r="D548" s="328"/>
      <c r="E548" s="328"/>
      <c r="F548" s="354"/>
      <c r="G548" s="354"/>
      <c r="H548" s="354"/>
      <c r="I548" s="354"/>
      <c r="J548" s="354"/>
      <c r="K548" s="354"/>
      <c r="L548" s="331"/>
    </row>
    <row r="549" ht="15.75" customHeight="1">
      <c r="A549" s="328"/>
      <c r="B549" s="328"/>
      <c r="C549" s="354"/>
      <c r="D549" s="328"/>
      <c r="E549" s="328"/>
      <c r="F549" s="354"/>
      <c r="G549" s="354"/>
      <c r="H549" s="354"/>
      <c r="I549" s="354"/>
      <c r="J549" s="354"/>
      <c r="K549" s="354"/>
      <c r="L549" s="331"/>
    </row>
    <row r="550" ht="15.75" customHeight="1">
      <c r="A550" s="328"/>
      <c r="B550" s="328"/>
      <c r="C550" s="354"/>
      <c r="D550" s="328"/>
      <c r="E550" s="328"/>
      <c r="F550" s="354"/>
      <c r="G550" s="354"/>
      <c r="H550" s="354"/>
      <c r="I550" s="354"/>
      <c r="J550" s="354"/>
      <c r="K550" s="354"/>
      <c r="L550" s="331"/>
    </row>
    <row r="551" ht="15.75" customHeight="1">
      <c r="A551" s="328"/>
      <c r="B551" s="328"/>
      <c r="C551" s="354"/>
      <c r="D551" s="328"/>
      <c r="E551" s="328"/>
      <c r="F551" s="354"/>
      <c r="G551" s="354"/>
      <c r="H551" s="354"/>
      <c r="I551" s="354"/>
      <c r="J551" s="354"/>
      <c r="K551" s="354"/>
      <c r="L551" s="331"/>
    </row>
    <row r="552" ht="15.75" customHeight="1">
      <c r="A552" s="328"/>
      <c r="B552" s="328"/>
      <c r="C552" s="354"/>
      <c r="D552" s="328"/>
      <c r="E552" s="328"/>
      <c r="F552" s="354"/>
      <c r="G552" s="354"/>
      <c r="H552" s="354"/>
      <c r="I552" s="354"/>
      <c r="J552" s="354"/>
      <c r="K552" s="354"/>
      <c r="L552" s="331"/>
    </row>
    <row r="553" ht="15.75" customHeight="1">
      <c r="A553" s="328"/>
      <c r="B553" s="328"/>
      <c r="C553" s="354"/>
      <c r="D553" s="328"/>
      <c r="E553" s="328"/>
      <c r="F553" s="354"/>
      <c r="G553" s="354"/>
      <c r="H553" s="354"/>
      <c r="I553" s="354"/>
      <c r="J553" s="354"/>
      <c r="K553" s="354"/>
      <c r="L553" s="331"/>
    </row>
    <row r="554" ht="15.75" customHeight="1">
      <c r="A554" s="328"/>
      <c r="B554" s="328"/>
      <c r="C554" s="354"/>
      <c r="D554" s="328"/>
      <c r="E554" s="328"/>
      <c r="F554" s="354"/>
      <c r="G554" s="354"/>
      <c r="H554" s="354"/>
      <c r="I554" s="354"/>
      <c r="J554" s="354"/>
      <c r="K554" s="354"/>
      <c r="L554" s="331"/>
    </row>
    <row r="555" ht="15.75" customHeight="1">
      <c r="A555" s="328"/>
      <c r="B555" s="328"/>
      <c r="C555" s="354"/>
      <c r="D555" s="328"/>
      <c r="E555" s="328"/>
      <c r="F555" s="354"/>
      <c r="G555" s="354"/>
      <c r="H555" s="354"/>
      <c r="I555" s="354"/>
      <c r="J555" s="354"/>
      <c r="K555" s="354"/>
      <c r="L555" s="331"/>
    </row>
    <row r="556" ht="15.75" customHeight="1">
      <c r="A556" s="328"/>
      <c r="B556" s="328"/>
      <c r="C556" s="354"/>
      <c r="D556" s="328"/>
      <c r="E556" s="328"/>
      <c r="F556" s="354"/>
      <c r="G556" s="354"/>
      <c r="H556" s="354"/>
      <c r="I556" s="354"/>
      <c r="J556" s="354"/>
      <c r="K556" s="354"/>
      <c r="L556" s="331"/>
    </row>
    <row r="557" ht="15.75" customHeight="1">
      <c r="A557" s="328"/>
      <c r="B557" s="328"/>
      <c r="C557" s="354"/>
      <c r="D557" s="328"/>
      <c r="E557" s="328"/>
      <c r="F557" s="354"/>
      <c r="G557" s="354"/>
      <c r="H557" s="354"/>
      <c r="I557" s="354"/>
      <c r="J557" s="354"/>
      <c r="K557" s="354"/>
      <c r="L557" s="331"/>
    </row>
    <row r="558" ht="15.75" customHeight="1">
      <c r="A558" s="328"/>
      <c r="B558" s="328"/>
      <c r="C558" s="354"/>
      <c r="D558" s="328"/>
      <c r="E558" s="328"/>
      <c r="F558" s="354"/>
      <c r="G558" s="354"/>
      <c r="H558" s="354"/>
      <c r="I558" s="354"/>
      <c r="J558" s="354"/>
      <c r="K558" s="354"/>
      <c r="L558" s="331"/>
    </row>
    <row r="559" ht="15.75" customHeight="1">
      <c r="A559" s="328"/>
      <c r="B559" s="328"/>
      <c r="C559" s="354"/>
      <c r="D559" s="328"/>
      <c r="E559" s="328"/>
      <c r="F559" s="354"/>
      <c r="G559" s="354"/>
      <c r="H559" s="354"/>
      <c r="I559" s="354"/>
      <c r="J559" s="354"/>
      <c r="K559" s="354"/>
      <c r="L559" s="331"/>
    </row>
    <row r="560" ht="15.75" customHeight="1">
      <c r="A560" s="328"/>
      <c r="B560" s="328"/>
      <c r="C560" s="354"/>
      <c r="D560" s="328"/>
      <c r="E560" s="328"/>
      <c r="F560" s="354"/>
      <c r="G560" s="354"/>
      <c r="H560" s="354"/>
      <c r="I560" s="354"/>
      <c r="J560" s="354"/>
      <c r="K560" s="354"/>
      <c r="L560" s="331"/>
    </row>
    <row r="561" ht="15.75" customHeight="1">
      <c r="A561" s="328"/>
      <c r="B561" s="328"/>
      <c r="C561" s="354"/>
      <c r="D561" s="328"/>
      <c r="E561" s="328"/>
      <c r="F561" s="354"/>
      <c r="G561" s="354"/>
      <c r="H561" s="354"/>
      <c r="I561" s="354"/>
      <c r="J561" s="354"/>
      <c r="K561" s="354"/>
      <c r="L561" s="331"/>
    </row>
    <row r="562" ht="15.75" customHeight="1">
      <c r="A562" s="328"/>
      <c r="B562" s="328"/>
      <c r="C562" s="354"/>
      <c r="D562" s="328"/>
      <c r="E562" s="328"/>
      <c r="F562" s="354"/>
      <c r="G562" s="354"/>
      <c r="H562" s="354"/>
      <c r="I562" s="354"/>
      <c r="J562" s="354"/>
      <c r="K562" s="354"/>
      <c r="L562" s="331"/>
    </row>
    <row r="563" ht="15.75" customHeight="1">
      <c r="A563" s="328"/>
      <c r="B563" s="328"/>
      <c r="C563" s="354"/>
      <c r="D563" s="328"/>
      <c r="E563" s="328"/>
      <c r="F563" s="354"/>
      <c r="G563" s="354"/>
      <c r="H563" s="354"/>
      <c r="I563" s="354"/>
      <c r="J563" s="354"/>
      <c r="K563" s="354"/>
      <c r="L563" s="331"/>
    </row>
    <row r="564" ht="15.75" customHeight="1">
      <c r="A564" s="328"/>
      <c r="B564" s="328"/>
      <c r="C564" s="354"/>
      <c r="D564" s="328"/>
      <c r="E564" s="328"/>
      <c r="F564" s="354"/>
      <c r="G564" s="354"/>
      <c r="H564" s="354"/>
      <c r="I564" s="354"/>
      <c r="J564" s="354"/>
      <c r="K564" s="354"/>
      <c r="L564" s="331"/>
    </row>
    <row r="565" ht="15.75" customHeight="1">
      <c r="A565" s="328"/>
      <c r="B565" s="328"/>
      <c r="C565" s="354"/>
      <c r="D565" s="328"/>
      <c r="E565" s="328"/>
      <c r="F565" s="354"/>
      <c r="G565" s="354"/>
      <c r="H565" s="354"/>
      <c r="I565" s="354"/>
      <c r="J565" s="354"/>
      <c r="K565" s="354"/>
      <c r="L565" s="331"/>
    </row>
    <row r="566" ht="15.75" customHeight="1">
      <c r="A566" s="328"/>
      <c r="B566" s="328"/>
      <c r="C566" s="354"/>
      <c r="D566" s="328"/>
      <c r="E566" s="328"/>
      <c r="F566" s="354"/>
      <c r="G566" s="354"/>
      <c r="H566" s="354"/>
      <c r="I566" s="354"/>
      <c r="J566" s="354"/>
      <c r="K566" s="354"/>
      <c r="L566" s="331"/>
    </row>
    <row r="567" ht="15.75" customHeight="1">
      <c r="A567" s="328"/>
      <c r="B567" s="328"/>
      <c r="C567" s="354"/>
      <c r="D567" s="328"/>
      <c r="E567" s="328"/>
      <c r="F567" s="354"/>
      <c r="G567" s="354"/>
      <c r="H567" s="354"/>
      <c r="I567" s="354"/>
      <c r="J567" s="354"/>
      <c r="K567" s="354"/>
      <c r="L567" s="331"/>
    </row>
    <row r="568" ht="15.75" customHeight="1">
      <c r="A568" s="328"/>
      <c r="B568" s="328"/>
      <c r="C568" s="354"/>
      <c r="D568" s="328"/>
      <c r="E568" s="328"/>
      <c r="F568" s="354"/>
      <c r="G568" s="354"/>
      <c r="H568" s="354"/>
      <c r="I568" s="354"/>
      <c r="J568" s="354"/>
      <c r="K568" s="354"/>
      <c r="L568" s="331"/>
    </row>
    <row r="569" ht="15.75" customHeight="1">
      <c r="A569" s="328"/>
      <c r="B569" s="328"/>
      <c r="C569" s="354"/>
      <c r="D569" s="328"/>
      <c r="E569" s="328"/>
      <c r="F569" s="354"/>
      <c r="G569" s="354"/>
      <c r="H569" s="354"/>
      <c r="I569" s="354"/>
      <c r="J569" s="354"/>
      <c r="K569" s="354"/>
      <c r="L569" s="331"/>
    </row>
    <row r="570" ht="15.75" customHeight="1">
      <c r="A570" s="328"/>
      <c r="B570" s="328"/>
      <c r="C570" s="354"/>
      <c r="D570" s="328"/>
      <c r="E570" s="328"/>
      <c r="F570" s="354"/>
      <c r="G570" s="354"/>
      <c r="H570" s="354"/>
      <c r="I570" s="354"/>
      <c r="J570" s="354"/>
      <c r="K570" s="354"/>
      <c r="L570" s="331"/>
    </row>
    <row r="571" ht="15.75" customHeight="1">
      <c r="A571" s="328"/>
      <c r="B571" s="328"/>
      <c r="C571" s="354"/>
      <c r="D571" s="328"/>
      <c r="E571" s="328"/>
      <c r="F571" s="354"/>
      <c r="G571" s="354"/>
      <c r="H571" s="354"/>
      <c r="I571" s="354"/>
      <c r="J571" s="354"/>
      <c r="K571" s="354"/>
      <c r="L571" s="331"/>
    </row>
    <row r="572" ht="15.75" customHeight="1">
      <c r="A572" s="328"/>
      <c r="B572" s="328"/>
      <c r="C572" s="354"/>
      <c r="D572" s="328"/>
      <c r="E572" s="328"/>
      <c r="F572" s="354"/>
      <c r="G572" s="354"/>
      <c r="H572" s="354"/>
      <c r="I572" s="354"/>
      <c r="J572" s="354"/>
      <c r="K572" s="354"/>
      <c r="L572" s="331"/>
    </row>
    <row r="573" ht="15.75" customHeight="1">
      <c r="A573" s="328"/>
      <c r="B573" s="328"/>
      <c r="C573" s="354"/>
      <c r="D573" s="328"/>
      <c r="E573" s="328"/>
      <c r="F573" s="354"/>
      <c r="G573" s="354"/>
      <c r="H573" s="354"/>
      <c r="I573" s="354"/>
      <c r="J573" s="354"/>
      <c r="K573" s="354"/>
      <c r="L573" s="331"/>
    </row>
    <row r="574" ht="15.75" customHeight="1">
      <c r="A574" s="328"/>
      <c r="B574" s="328"/>
      <c r="C574" s="354"/>
      <c r="D574" s="328"/>
      <c r="E574" s="328"/>
      <c r="F574" s="354"/>
      <c r="G574" s="354"/>
      <c r="H574" s="354"/>
      <c r="I574" s="354"/>
      <c r="J574" s="354"/>
      <c r="K574" s="354"/>
      <c r="L574" s="331"/>
    </row>
    <row r="575" ht="15.75" customHeight="1">
      <c r="A575" s="328"/>
      <c r="B575" s="328"/>
      <c r="C575" s="354"/>
      <c r="D575" s="328"/>
      <c r="E575" s="328"/>
      <c r="F575" s="354"/>
      <c r="G575" s="354"/>
      <c r="H575" s="354"/>
      <c r="I575" s="354"/>
      <c r="J575" s="354"/>
      <c r="K575" s="354"/>
      <c r="L575" s="331"/>
    </row>
    <row r="576" ht="15.75" customHeight="1">
      <c r="A576" s="328"/>
      <c r="B576" s="328"/>
      <c r="C576" s="354"/>
      <c r="D576" s="328"/>
      <c r="E576" s="328"/>
      <c r="F576" s="354"/>
      <c r="G576" s="354"/>
      <c r="H576" s="354"/>
      <c r="I576" s="354"/>
      <c r="J576" s="354"/>
      <c r="K576" s="354"/>
      <c r="L576" s="331"/>
    </row>
    <row r="577" ht="15.75" customHeight="1">
      <c r="A577" s="328"/>
      <c r="B577" s="328"/>
      <c r="C577" s="354"/>
      <c r="D577" s="328"/>
      <c r="E577" s="328"/>
      <c r="F577" s="354"/>
      <c r="G577" s="354"/>
      <c r="H577" s="354"/>
      <c r="I577" s="354"/>
      <c r="J577" s="354"/>
      <c r="K577" s="354"/>
      <c r="L577" s="331"/>
    </row>
    <row r="578" ht="15.75" customHeight="1">
      <c r="A578" s="328"/>
      <c r="B578" s="328"/>
      <c r="C578" s="354"/>
      <c r="D578" s="328"/>
      <c r="E578" s="328"/>
      <c r="F578" s="354"/>
      <c r="G578" s="354"/>
      <c r="H578" s="354"/>
      <c r="I578" s="354"/>
      <c r="J578" s="354"/>
      <c r="K578" s="354"/>
      <c r="L578" s="331"/>
    </row>
    <row r="579" ht="15.75" customHeight="1">
      <c r="A579" s="328"/>
      <c r="B579" s="328"/>
      <c r="C579" s="354"/>
      <c r="D579" s="328"/>
      <c r="E579" s="328"/>
      <c r="F579" s="354"/>
      <c r="G579" s="354"/>
      <c r="H579" s="354"/>
      <c r="I579" s="354"/>
      <c r="J579" s="354"/>
      <c r="K579" s="354"/>
      <c r="L579" s="331"/>
    </row>
    <row r="580" ht="15.75" customHeight="1">
      <c r="A580" s="328"/>
      <c r="B580" s="328"/>
      <c r="C580" s="354"/>
      <c r="D580" s="328"/>
      <c r="E580" s="328"/>
      <c r="F580" s="354"/>
      <c r="G580" s="354"/>
      <c r="H580" s="354"/>
      <c r="I580" s="354"/>
      <c r="J580" s="354"/>
      <c r="K580" s="354"/>
      <c r="L580" s="331"/>
    </row>
    <row r="581" ht="15.75" customHeight="1">
      <c r="A581" s="328"/>
      <c r="B581" s="328"/>
      <c r="C581" s="354"/>
      <c r="D581" s="328"/>
      <c r="E581" s="328"/>
      <c r="F581" s="354"/>
      <c r="G581" s="354"/>
      <c r="H581" s="354"/>
      <c r="I581" s="354"/>
      <c r="J581" s="354"/>
      <c r="K581" s="354"/>
      <c r="L581" s="331"/>
    </row>
    <row r="582" ht="15.75" customHeight="1">
      <c r="A582" s="328"/>
      <c r="B582" s="328"/>
      <c r="C582" s="354"/>
      <c r="D582" s="328"/>
      <c r="E582" s="328"/>
      <c r="F582" s="354"/>
      <c r="G582" s="354"/>
      <c r="H582" s="354"/>
      <c r="I582" s="354"/>
      <c r="J582" s="354"/>
      <c r="K582" s="354"/>
      <c r="L582" s="331"/>
    </row>
    <row r="583" ht="15.75" customHeight="1">
      <c r="A583" s="328"/>
      <c r="B583" s="328"/>
      <c r="C583" s="354"/>
      <c r="D583" s="328"/>
      <c r="E583" s="328"/>
      <c r="F583" s="354"/>
      <c r="G583" s="354"/>
      <c r="H583" s="354"/>
      <c r="I583" s="354"/>
      <c r="J583" s="354"/>
      <c r="K583" s="354"/>
      <c r="L583" s="331"/>
    </row>
    <row r="584" ht="15.75" customHeight="1">
      <c r="A584" s="328"/>
      <c r="B584" s="328"/>
      <c r="C584" s="354"/>
      <c r="D584" s="328"/>
      <c r="E584" s="328"/>
      <c r="F584" s="354"/>
      <c r="G584" s="354"/>
      <c r="H584" s="354"/>
      <c r="I584" s="354"/>
      <c r="J584" s="354"/>
      <c r="K584" s="354"/>
      <c r="L584" s="331"/>
    </row>
    <row r="585" ht="15.75" customHeight="1">
      <c r="A585" s="328"/>
      <c r="B585" s="328"/>
      <c r="C585" s="354"/>
      <c r="D585" s="328"/>
      <c r="E585" s="328"/>
      <c r="F585" s="354"/>
      <c r="G585" s="354"/>
      <c r="H585" s="354"/>
      <c r="I585" s="354"/>
      <c r="J585" s="354"/>
      <c r="K585" s="354"/>
      <c r="L585" s="331"/>
    </row>
    <row r="586" ht="15.75" customHeight="1">
      <c r="A586" s="328"/>
      <c r="B586" s="328"/>
      <c r="C586" s="354"/>
      <c r="D586" s="328"/>
      <c r="E586" s="328"/>
      <c r="F586" s="354"/>
      <c r="G586" s="354"/>
      <c r="H586" s="354"/>
      <c r="I586" s="354"/>
      <c r="J586" s="354"/>
      <c r="K586" s="354"/>
      <c r="L586" s="331"/>
    </row>
    <row r="587" ht="15.75" customHeight="1">
      <c r="A587" s="328"/>
      <c r="B587" s="328"/>
      <c r="C587" s="354"/>
      <c r="D587" s="328"/>
      <c r="E587" s="328"/>
      <c r="F587" s="354"/>
      <c r="G587" s="354"/>
      <c r="H587" s="354"/>
      <c r="I587" s="354"/>
      <c r="J587" s="354"/>
      <c r="K587" s="354"/>
      <c r="L587" s="331"/>
    </row>
    <row r="588" ht="15.75" customHeight="1">
      <c r="A588" s="328"/>
      <c r="B588" s="328"/>
      <c r="C588" s="354"/>
      <c r="D588" s="328"/>
      <c r="E588" s="328"/>
      <c r="F588" s="354"/>
      <c r="G588" s="354"/>
      <c r="H588" s="354"/>
      <c r="I588" s="354"/>
      <c r="J588" s="354"/>
      <c r="K588" s="354"/>
      <c r="L588" s="331"/>
    </row>
    <row r="589" ht="15.75" customHeight="1">
      <c r="A589" s="328"/>
      <c r="B589" s="328"/>
      <c r="C589" s="354"/>
      <c r="D589" s="328"/>
      <c r="E589" s="328"/>
      <c r="F589" s="354"/>
      <c r="G589" s="354"/>
      <c r="H589" s="354"/>
      <c r="I589" s="354"/>
      <c r="J589" s="354"/>
      <c r="K589" s="354"/>
      <c r="L589" s="331"/>
    </row>
    <row r="590" ht="15.75" customHeight="1">
      <c r="A590" s="328"/>
      <c r="B590" s="328"/>
      <c r="C590" s="354"/>
      <c r="D590" s="328"/>
      <c r="E590" s="328"/>
      <c r="F590" s="354"/>
      <c r="G590" s="354"/>
      <c r="H590" s="354"/>
      <c r="I590" s="354"/>
      <c r="J590" s="354"/>
      <c r="K590" s="354"/>
      <c r="L590" s="331"/>
    </row>
    <row r="591" ht="15.75" customHeight="1">
      <c r="A591" s="328"/>
      <c r="B591" s="328"/>
      <c r="C591" s="354"/>
      <c r="D591" s="328"/>
      <c r="E591" s="328"/>
      <c r="F591" s="354"/>
      <c r="G591" s="354"/>
      <c r="H591" s="354"/>
      <c r="I591" s="354"/>
      <c r="J591" s="354"/>
      <c r="K591" s="354"/>
      <c r="L591" s="331"/>
    </row>
    <row r="592" ht="15.75" customHeight="1">
      <c r="A592" s="328"/>
      <c r="B592" s="328"/>
      <c r="C592" s="354"/>
      <c r="D592" s="328"/>
      <c r="E592" s="328"/>
      <c r="F592" s="354"/>
      <c r="G592" s="354"/>
      <c r="H592" s="354"/>
      <c r="I592" s="354"/>
      <c r="J592" s="354"/>
      <c r="K592" s="354"/>
      <c r="L592" s="331"/>
    </row>
    <row r="593" ht="15.75" customHeight="1">
      <c r="A593" s="328"/>
      <c r="B593" s="328"/>
      <c r="C593" s="354"/>
      <c r="D593" s="328"/>
      <c r="E593" s="328"/>
      <c r="F593" s="354"/>
      <c r="G593" s="354"/>
      <c r="H593" s="354"/>
      <c r="I593" s="354"/>
      <c r="J593" s="354"/>
      <c r="K593" s="354"/>
      <c r="L593" s="331"/>
    </row>
    <row r="594" ht="15.75" customHeight="1">
      <c r="A594" s="328"/>
      <c r="B594" s="328"/>
      <c r="C594" s="354"/>
      <c r="D594" s="328"/>
      <c r="E594" s="328"/>
      <c r="F594" s="354"/>
      <c r="G594" s="354"/>
      <c r="H594" s="354"/>
      <c r="I594" s="354"/>
      <c r="J594" s="354"/>
      <c r="K594" s="354"/>
      <c r="L594" s="331"/>
    </row>
    <row r="595" ht="15.75" customHeight="1">
      <c r="A595" s="328"/>
      <c r="B595" s="328"/>
      <c r="C595" s="354"/>
      <c r="D595" s="328"/>
      <c r="E595" s="328"/>
      <c r="F595" s="354"/>
      <c r="G595" s="354"/>
      <c r="H595" s="354"/>
      <c r="I595" s="354"/>
      <c r="J595" s="354"/>
      <c r="K595" s="354"/>
      <c r="L595" s="331"/>
    </row>
    <row r="596" ht="15.75" customHeight="1">
      <c r="A596" s="328"/>
      <c r="B596" s="328"/>
      <c r="C596" s="354"/>
      <c r="D596" s="328"/>
      <c r="E596" s="328"/>
      <c r="F596" s="354"/>
      <c r="G596" s="354"/>
      <c r="H596" s="354"/>
      <c r="I596" s="354"/>
      <c r="J596" s="354"/>
      <c r="K596" s="354"/>
      <c r="L596" s="331"/>
    </row>
    <row r="597" ht="15.75" customHeight="1">
      <c r="A597" s="328"/>
      <c r="B597" s="328"/>
      <c r="C597" s="354"/>
      <c r="D597" s="328"/>
      <c r="E597" s="328"/>
      <c r="F597" s="354"/>
      <c r="G597" s="354"/>
      <c r="H597" s="354"/>
      <c r="I597" s="354"/>
      <c r="J597" s="354"/>
      <c r="K597" s="354"/>
      <c r="L597" s="331"/>
    </row>
    <row r="598" ht="15.75" customHeight="1">
      <c r="A598" s="328"/>
      <c r="B598" s="328"/>
      <c r="C598" s="354"/>
      <c r="D598" s="328"/>
      <c r="E598" s="328"/>
      <c r="F598" s="354"/>
      <c r="G598" s="354"/>
      <c r="H598" s="354"/>
      <c r="I598" s="354"/>
      <c r="J598" s="354"/>
      <c r="K598" s="354"/>
      <c r="L598" s="331"/>
    </row>
    <row r="599" ht="15.75" customHeight="1">
      <c r="A599" s="328"/>
      <c r="B599" s="328"/>
      <c r="C599" s="354"/>
      <c r="D599" s="328"/>
      <c r="E599" s="328"/>
      <c r="F599" s="354"/>
      <c r="G599" s="354"/>
      <c r="H599" s="354"/>
      <c r="I599" s="354"/>
      <c r="J599" s="354"/>
      <c r="K599" s="354"/>
      <c r="L599" s="331"/>
    </row>
    <row r="600" ht="15.75" customHeight="1">
      <c r="A600" s="328"/>
      <c r="B600" s="328"/>
      <c r="C600" s="354"/>
      <c r="D600" s="328"/>
      <c r="E600" s="328"/>
      <c r="F600" s="354"/>
      <c r="G600" s="354"/>
      <c r="H600" s="354"/>
      <c r="I600" s="354"/>
      <c r="J600" s="354"/>
      <c r="K600" s="354"/>
      <c r="L600" s="331"/>
    </row>
    <row r="601" ht="15.75" customHeight="1">
      <c r="A601" s="328"/>
      <c r="B601" s="328"/>
      <c r="C601" s="354"/>
      <c r="D601" s="328"/>
      <c r="E601" s="328"/>
      <c r="F601" s="354"/>
      <c r="G601" s="354"/>
      <c r="H601" s="354"/>
      <c r="I601" s="354"/>
      <c r="J601" s="354"/>
      <c r="K601" s="354"/>
      <c r="L601" s="331"/>
    </row>
    <row r="602" ht="15.75" customHeight="1">
      <c r="A602" s="328"/>
      <c r="B602" s="328"/>
      <c r="C602" s="354"/>
      <c r="D602" s="328"/>
      <c r="E602" s="328"/>
      <c r="F602" s="354"/>
      <c r="G602" s="354"/>
      <c r="H602" s="354"/>
      <c r="I602" s="354"/>
      <c r="J602" s="354"/>
      <c r="K602" s="354"/>
      <c r="L602" s="331"/>
    </row>
    <row r="603" ht="15.75" customHeight="1">
      <c r="A603" s="328"/>
      <c r="B603" s="328"/>
      <c r="C603" s="354"/>
      <c r="D603" s="328"/>
      <c r="E603" s="328"/>
      <c r="F603" s="354"/>
      <c r="G603" s="354"/>
      <c r="H603" s="354"/>
      <c r="I603" s="354"/>
      <c r="J603" s="354"/>
      <c r="K603" s="354"/>
      <c r="L603" s="331"/>
    </row>
    <row r="604" ht="15.75" customHeight="1">
      <c r="A604" s="328"/>
      <c r="B604" s="328"/>
      <c r="C604" s="354"/>
      <c r="D604" s="328"/>
      <c r="E604" s="328"/>
      <c r="F604" s="354"/>
      <c r="G604" s="354"/>
      <c r="H604" s="354"/>
      <c r="I604" s="354"/>
      <c r="J604" s="354"/>
      <c r="K604" s="354"/>
      <c r="L604" s="331"/>
    </row>
    <row r="605" ht="15.75" customHeight="1">
      <c r="A605" s="328"/>
      <c r="B605" s="328"/>
      <c r="C605" s="354"/>
      <c r="D605" s="328"/>
      <c r="E605" s="328"/>
      <c r="F605" s="354"/>
      <c r="G605" s="354"/>
      <c r="H605" s="354"/>
      <c r="I605" s="354"/>
      <c r="J605" s="354"/>
      <c r="K605" s="354"/>
      <c r="L605" s="331"/>
    </row>
    <row r="606" ht="15.75" customHeight="1">
      <c r="A606" s="328"/>
      <c r="B606" s="328"/>
      <c r="C606" s="354"/>
      <c r="D606" s="328"/>
      <c r="E606" s="328"/>
      <c r="F606" s="354"/>
      <c r="G606" s="354"/>
      <c r="H606" s="354"/>
      <c r="I606" s="354"/>
      <c r="J606" s="354"/>
      <c r="K606" s="354"/>
      <c r="L606" s="331"/>
    </row>
    <row r="607" ht="15.75" customHeight="1">
      <c r="A607" s="328"/>
      <c r="B607" s="328"/>
      <c r="C607" s="354"/>
      <c r="D607" s="328"/>
      <c r="E607" s="328"/>
      <c r="F607" s="354"/>
      <c r="G607" s="354"/>
      <c r="H607" s="354"/>
      <c r="I607" s="354"/>
      <c r="J607" s="354"/>
      <c r="K607" s="354"/>
      <c r="L607" s="331"/>
    </row>
    <row r="608" ht="15.75" customHeight="1">
      <c r="A608" s="328"/>
      <c r="B608" s="328"/>
      <c r="C608" s="354"/>
      <c r="D608" s="328"/>
      <c r="E608" s="328"/>
      <c r="F608" s="354"/>
      <c r="G608" s="354"/>
      <c r="H608" s="354"/>
      <c r="I608" s="354"/>
      <c r="J608" s="354"/>
      <c r="K608" s="354"/>
      <c r="L608" s="331"/>
    </row>
    <row r="609" ht="15.75" customHeight="1">
      <c r="A609" s="328"/>
      <c r="B609" s="328"/>
      <c r="C609" s="354"/>
      <c r="D609" s="328"/>
      <c r="E609" s="328"/>
      <c r="F609" s="354"/>
      <c r="G609" s="354"/>
      <c r="H609" s="354"/>
      <c r="I609" s="354"/>
      <c r="J609" s="354"/>
      <c r="K609" s="354"/>
      <c r="L609" s="331"/>
    </row>
    <row r="610" ht="15.75" customHeight="1">
      <c r="A610" s="328"/>
      <c r="B610" s="328"/>
      <c r="C610" s="354"/>
      <c r="D610" s="328"/>
      <c r="E610" s="328"/>
      <c r="F610" s="354"/>
      <c r="G610" s="354"/>
      <c r="H610" s="354"/>
      <c r="I610" s="354"/>
      <c r="J610" s="354"/>
      <c r="K610" s="354"/>
      <c r="L610" s="331"/>
    </row>
    <row r="611" ht="15.75" customHeight="1">
      <c r="A611" s="328"/>
      <c r="B611" s="328"/>
      <c r="C611" s="354"/>
      <c r="D611" s="328"/>
      <c r="E611" s="328"/>
      <c r="F611" s="354"/>
      <c r="G611" s="354"/>
      <c r="H611" s="354"/>
      <c r="I611" s="354"/>
      <c r="J611" s="354"/>
      <c r="K611" s="354"/>
      <c r="L611" s="331"/>
    </row>
    <row r="612" ht="15.75" customHeight="1">
      <c r="A612" s="328"/>
      <c r="B612" s="328"/>
      <c r="C612" s="354"/>
      <c r="D612" s="328"/>
      <c r="E612" s="328"/>
      <c r="F612" s="354"/>
      <c r="G612" s="354"/>
      <c r="H612" s="354"/>
      <c r="I612" s="354"/>
      <c r="J612" s="354"/>
      <c r="K612" s="354"/>
      <c r="L612" s="331"/>
    </row>
    <row r="613" ht="15.75" customHeight="1">
      <c r="A613" s="328"/>
      <c r="B613" s="328"/>
      <c r="C613" s="354"/>
      <c r="D613" s="328"/>
      <c r="E613" s="328"/>
      <c r="F613" s="354"/>
      <c r="G613" s="354"/>
      <c r="H613" s="354"/>
      <c r="I613" s="354"/>
      <c r="J613" s="354"/>
      <c r="K613" s="354"/>
      <c r="L613" s="331"/>
    </row>
    <row r="614" ht="15.75" customHeight="1">
      <c r="A614" s="328"/>
      <c r="B614" s="328"/>
      <c r="C614" s="354"/>
      <c r="D614" s="328"/>
      <c r="E614" s="328"/>
      <c r="F614" s="354"/>
      <c r="G614" s="354"/>
      <c r="H614" s="354"/>
      <c r="I614" s="354"/>
      <c r="J614" s="354"/>
      <c r="K614" s="354"/>
      <c r="L614" s="331"/>
    </row>
    <row r="615" ht="15.75" customHeight="1">
      <c r="A615" s="328"/>
      <c r="B615" s="328"/>
      <c r="C615" s="354"/>
      <c r="D615" s="328"/>
      <c r="E615" s="328"/>
      <c r="F615" s="354"/>
      <c r="G615" s="354"/>
      <c r="H615" s="354"/>
      <c r="I615" s="354"/>
      <c r="J615" s="354"/>
      <c r="K615" s="354"/>
      <c r="L615" s="331"/>
    </row>
    <row r="616" ht="15.75" customHeight="1">
      <c r="A616" s="328"/>
      <c r="B616" s="328"/>
      <c r="C616" s="354"/>
      <c r="D616" s="328"/>
      <c r="E616" s="328"/>
      <c r="F616" s="354"/>
      <c r="G616" s="354"/>
      <c r="H616" s="354"/>
      <c r="I616" s="354"/>
      <c r="J616" s="354"/>
      <c r="K616" s="354"/>
      <c r="L616" s="331"/>
    </row>
    <row r="617" ht="15.75" customHeight="1">
      <c r="A617" s="328"/>
      <c r="B617" s="328"/>
      <c r="C617" s="354"/>
      <c r="D617" s="328"/>
      <c r="E617" s="328"/>
      <c r="F617" s="354"/>
      <c r="G617" s="354"/>
      <c r="H617" s="354"/>
      <c r="I617" s="354"/>
      <c r="J617" s="354"/>
      <c r="K617" s="354"/>
      <c r="L617" s="331"/>
    </row>
    <row r="618" ht="15.75" customHeight="1">
      <c r="A618" s="328"/>
      <c r="B618" s="328"/>
      <c r="C618" s="354"/>
      <c r="D618" s="328"/>
      <c r="E618" s="328"/>
      <c r="F618" s="354"/>
      <c r="G618" s="354"/>
      <c r="H618" s="354"/>
      <c r="I618" s="354"/>
      <c r="J618" s="354"/>
      <c r="K618" s="354"/>
      <c r="L618" s="331"/>
    </row>
    <row r="619" ht="15.75" customHeight="1">
      <c r="A619" s="328"/>
      <c r="B619" s="328"/>
      <c r="C619" s="354"/>
      <c r="D619" s="328"/>
      <c r="E619" s="328"/>
      <c r="F619" s="354"/>
      <c r="G619" s="354"/>
      <c r="H619" s="354"/>
      <c r="I619" s="354"/>
      <c r="J619" s="354"/>
      <c r="K619" s="354"/>
      <c r="L619" s="331"/>
    </row>
    <row r="620" ht="15.75" customHeight="1">
      <c r="A620" s="328"/>
      <c r="B620" s="328"/>
      <c r="C620" s="354"/>
      <c r="D620" s="328"/>
      <c r="E620" s="328"/>
      <c r="F620" s="354"/>
      <c r="G620" s="354"/>
      <c r="H620" s="354"/>
      <c r="I620" s="354"/>
      <c r="J620" s="354"/>
      <c r="K620" s="354"/>
      <c r="L620" s="331"/>
    </row>
    <row r="621" ht="15.75" customHeight="1">
      <c r="A621" s="328"/>
      <c r="B621" s="328"/>
      <c r="C621" s="354"/>
      <c r="D621" s="328"/>
      <c r="E621" s="328"/>
      <c r="F621" s="354"/>
      <c r="G621" s="354"/>
      <c r="H621" s="354"/>
      <c r="I621" s="354"/>
      <c r="J621" s="354"/>
      <c r="K621" s="354"/>
      <c r="L621" s="331"/>
    </row>
    <row r="622" ht="15.75" customHeight="1">
      <c r="A622" s="328"/>
      <c r="B622" s="328"/>
      <c r="C622" s="354"/>
      <c r="D622" s="328"/>
      <c r="E622" s="328"/>
      <c r="F622" s="354"/>
      <c r="G622" s="354"/>
      <c r="H622" s="354"/>
      <c r="I622" s="354"/>
      <c r="J622" s="354"/>
      <c r="K622" s="354"/>
      <c r="L622" s="331"/>
    </row>
    <row r="623" ht="15.75" customHeight="1">
      <c r="A623" s="328"/>
      <c r="B623" s="328"/>
      <c r="C623" s="354"/>
      <c r="D623" s="328"/>
      <c r="E623" s="328"/>
      <c r="F623" s="354"/>
      <c r="G623" s="354"/>
      <c r="H623" s="354"/>
      <c r="I623" s="354"/>
      <c r="J623" s="354"/>
      <c r="K623" s="354"/>
      <c r="L623" s="331"/>
    </row>
    <row r="624" ht="15.75" customHeight="1">
      <c r="A624" s="328"/>
      <c r="B624" s="328"/>
      <c r="C624" s="354"/>
      <c r="D624" s="328"/>
      <c r="E624" s="328"/>
      <c r="F624" s="354"/>
      <c r="G624" s="354"/>
      <c r="H624" s="354"/>
      <c r="I624" s="354"/>
      <c r="J624" s="354"/>
      <c r="K624" s="354"/>
      <c r="L624" s="331"/>
    </row>
    <row r="625" ht="15.75" customHeight="1">
      <c r="A625" s="328"/>
      <c r="B625" s="328"/>
      <c r="C625" s="354"/>
      <c r="D625" s="328"/>
      <c r="E625" s="328"/>
      <c r="F625" s="354"/>
      <c r="G625" s="354"/>
      <c r="H625" s="354"/>
      <c r="I625" s="354"/>
      <c r="J625" s="354"/>
      <c r="K625" s="354"/>
      <c r="L625" s="331"/>
    </row>
    <row r="626" ht="15.75" customHeight="1">
      <c r="A626" s="328"/>
      <c r="B626" s="328"/>
      <c r="C626" s="354"/>
      <c r="D626" s="328"/>
      <c r="E626" s="328"/>
      <c r="F626" s="354"/>
      <c r="G626" s="354"/>
      <c r="H626" s="354"/>
      <c r="I626" s="354"/>
      <c r="J626" s="354"/>
      <c r="K626" s="354"/>
      <c r="L626" s="331"/>
    </row>
    <row r="627" ht="15.75" customHeight="1">
      <c r="A627" s="328"/>
      <c r="B627" s="328"/>
      <c r="C627" s="354"/>
      <c r="D627" s="328"/>
      <c r="E627" s="328"/>
      <c r="F627" s="354"/>
      <c r="G627" s="354"/>
      <c r="H627" s="354"/>
      <c r="I627" s="354"/>
      <c r="J627" s="354"/>
      <c r="K627" s="354"/>
      <c r="L627" s="331"/>
    </row>
    <row r="628" ht="15.75" customHeight="1">
      <c r="A628" s="328"/>
      <c r="B628" s="328"/>
      <c r="C628" s="354"/>
      <c r="D628" s="328"/>
      <c r="E628" s="328"/>
      <c r="F628" s="354"/>
      <c r="G628" s="354"/>
      <c r="H628" s="354"/>
      <c r="I628" s="354"/>
      <c r="J628" s="354"/>
      <c r="K628" s="354"/>
      <c r="L628" s="331"/>
    </row>
    <row r="629" ht="15.75" customHeight="1">
      <c r="A629" s="328"/>
      <c r="B629" s="328"/>
      <c r="C629" s="354"/>
      <c r="D629" s="328"/>
      <c r="E629" s="328"/>
      <c r="F629" s="354"/>
      <c r="G629" s="354"/>
      <c r="H629" s="354"/>
      <c r="I629" s="354"/>
      <c r="J629" s="354"/>
      <c r="K629" s="354"/>
      <c r="L629" s="331"/>
    </row>
    <row r="630" ht="15.75" customHeight="1">
      <c r="A630" s="328"/>
      <c r="B630" s="328"/>
      <c r="C630" s="354"/>
      <c r="D630" s="328"/>
      <c r="E630" s="328"/>
      <c r="F630" s="354"/>
      <c r="G630" s="354"/>
      <c r="H630" s="354"/>
      <c r="I630" s="354"/>
      <c r="J630" s="354"/>
      <c r="K630" s="354"/>
      <c r="L630" s="331"/>
    </row>
    <row r="631" ht="15.75" customHeight="1">
      <c r="A631" s="328"/>
      <c r="B631" s="328"/>
      <c r="C631" s="354"/>
      <c r="D631" s="328"/>
      <c r="E631" s="328"/>
      <c r="F631" s="354"/>
      <c r="G631" s="354"/>
      <c r="H631" s="354"/>
      <c r="I631" s="354"/>
      <c r="J631" s="354"/>
      <c r="K631" s="354"/>
      <c r="L631" s="331"/>
    </row>
    <row r="632" ht="15.75" customHeight="1">
      <c r="A632" s="328"/>
      <c r="B632" s="328"/>
      <c r="C632" s="354"/>
      <c r="D632" s="328"/>
      <c r="E632" s="328"/>
      <c r="F632" s="354"/>
      <c r="G632" s="354"/>
      <c r="H632" s="354"/>
      <c r="I632" s="354"/>
      <c r="J632" s="354"/>
      <c r="K632" s="354"/>
      <c r="L632" s="331"/>
    </row>
    <row r="633" ht="15.75" customHeight="1">
      <c r="A633" s="328"/>
      <c r="B633" s="328"/>
      <c r="C633" s="354"/>
      <c r="D633" s="328"/>
      <c r="E633" s="328"/>
      <c r="F633" s="354"/>
      <c r="G633" s="354"/>
      <c r="H633" s="354"/>
      <c r="I633" s="354"/>
      <c r="J633" s="354"/>
      <c r="K633" s="354"/>
      <c r="L633" s="331"/>
    </row>
    <row r="634" ht="15.75" customHeight="1">
      <c r="A634" s="328"/>
      <c r="B634" s="328"/>
      <c r="C634" s="354"/>
      <c r="D634" s="328"/>
      <c r="E634" s="328"/>
      <c r="F634" s="354"/>
      <c r="G634" s="354"/>
      <c r="H634" s="354"/>
      <c r="I634" s="354"/>
      <c r="J634" s="354"/>
      <c r="K634" s="354"/>
      <c r="L634" s="331"/>
    </row>
    <row r="635" ht="15.75" customHeight="1">
      <c r="A635" s="328"/>
      <c r="B635" s="328"/>
      <c r="C635" s="354"/>
      <c r="D635" s="328"/>
      <c r="E635" s="328"/>
      <c r="F635" s="354"/>
      <c r="G635" s="354"/>
      <c r="H635" s="354"/>
      <c r="I635" s="354"/>
      <c r="J635" s="354"/>
      <c r="K635" s="354"/>
      <c r="L635" s="331"/>
    </row>
    <row r="636" ht="15.75" customHeight="1">
      <c r="A636" s="328"/>
      <c r="B636" s="328"/>
      <c r="C636" s="354"/>
      <c r="D636" s="328"/>
      <c r="E636" s="328"/>
      <c r="F636" s="354"/>
      <c r="G636" s="354"/>
      <c r="H636" s="354"/>
      <c r="I636" s="354"/>
      <c r="J636" s="354"/>
      <c r="K636" s="354"/>
      <c r="L636" s="331"/>
    </row>
    <row r="637" ht="15.75" customHeight="1">
      <c r="A637" s="328"/>
      <c r="B637" s="328"/>
      <c r="C637" s="354"/>
      <c r="D637" s="328"/>
      <c r="E637" s="328"/>
      <c r="F637" s="354"/>
      <c r="G637" s="354"/>
      <c r="H637" s="354"/>
      <c r="I637" s="354"/>
      <c r="J637" s="354"/>
      <c r="K637" s="354"/>
      <c r="L637" s="331"/>
    </row>
    <row r="638" ht="15.75" customHeight="1">
      <c r="A638" s="328"/>
      <c r="B638" s="328"/>
      <c r="C638" s="354"/>
      <c r="D638" s="328"/>
      <c r="E638" s="328"/>
      <c r="F638" s="354"/>
      <c r="G638" s="354"/>
      <c r="H638" s="354"/>
      <c r="I638" s="354"/>
      <c r="J638" s="354"/>
      <c r="K638" s="354"/>
      <c r="L638" s="331"/>
    </row>
    <row r="639" ht="15.75" customHeight="1">
      <c r="A639" s="328"/>
      <c r="B639" s="328"/>
      <c r="C639" s="354"/>
      <c r="D639" s="328"/>
      <c r="E639" s="328"/>
      <c r="F639" s="354"/>
      <c r="G639" s="354"/>
      <c r="H639" s="354"/>
      <c r="I639" s="354"/>
      <c r="J639" s="354"/>
      <c r="K639" s="354"/>
      <c r="L639" s="331"/>
    </row>
    <row r="640" ht="15.75" customHeight="1">
      <c r="A640" s="328"/>
      <c r="B640" s="328"/>
      <c r="C640" s="354"/>
      <c r="D640" s="328"/>
      <c r="E640" s="328"/>
      <c r="F640" s="354"/>
      <c r="G640" s="354"/>
      <c r="H640" s="354"/>
      <c r="I640" s="354"/>
      <c r="J640" s="354"/>
      <c r="K640" s="354"/>
      <c r="L640" s="331"/>
    </row>
    <row r="641" ht="15.75" customHeight="1">
      <c r="A641" s="328"/>
      <c r="B641" s="328"/>
      <c r="C641" s="354"/>
      <c r="D641" s="328"/>
      <c r="E641" s="328"/>
      <c r="F641" s="354"/>
      <c r="G641" s="354"/>
      <c r="H641" s="354"/>
      <c r="I641" s="354"/>
      <c r="J641" s="354"/>
      <c r="K641" s="354"/>
      <c r="L641" s="331"/>
    </row>
    <row r="642" ht="15.75" customHeight="1">
      <c r="A642" s="328"/>
      <c r="B642" s="328"/>
      <c r="C642" s="354"/>
      <c r="D642" s="328"/>
      <c r="E642" s="328"/>
      <c r="F642" s="354"/>
      <c r="G642" s="354"/>
      <c r="H642" s="354"/>
      <c r="I642" s="354"/>
      <c r="J642" s="354"/>
      <c r="K642" s="354"/>
      <c r="L642" s="331"/>
    </row>
    <row r="643" ht="15.75" customHeight="1">
      <c r="A643" s="328"/>
      <c r="B643" s="328"/>
      <c r="C643" s="354"/>
      <c r="D643" s="328"/>
      <c r="E643" s="328"/>
      <c r="F643" s="354"/>
      <c r="G643" s="354"/>
      <c r="H643" s="354"/>
      <c r="I643" s="354"/>
      <c r="J643" s="354"/>
      <c r="K643" s="354"/>
      <c r="L643" s="331"/>
    </row>
    <row r="644" ht="15.75" customHeight="1">
      <c r="A644" s="328"/>
      <c r="B644" s="328"/>
      <c r="C644" s="354"/>
      <c r="D644" s="328"/>
      <c r="E644" s="328"/>
      <c r="F644" s="354"/>
      <c r="G644" s="354"/>
      <c r="H644" s="354"/>
      <c r="I644" s="354"/>
      <c r="J644" s="354"/>
      <c r="K644" s="354"/>
      <c r="L644" s="331"/>
    </row>
    <row r="645" ht="15.75" customHeight="1">
      <c r="A645" s="328"/>
      <c r="B645" s="328"/>
      <c r="C645" s="354"/>
      <c r="D645" s="328"/>
      <c r="E645" s="328"/>
      <c r="F645" s="354"/>
      <c r="G645" s="354"/>
      <c r="H645" s="354"/>
      <c r="I645" s="354"/>
      <c r="J645" s="354"/>
      <c r="K645" s="354"/>
      <c r="L645" s="331"/>
    </row>
    <row r="646" ht="15.75" customHeight="1">
      <c r="A646" s="328"/>
      <c r="B646" s="328"/>
      <c r="C646" s="354"/>
      <c r="D646" s="328"/>
      <c r="E646" s="328"/>
      <c r="F646" s="354"/>
      <c r="G646" s="354"/>
      <c r="H646" s="354"/>
      <c r="I646" s="354"/>
      <c r="J646" s="354"/>
      <c r="K646" s="354"/>
      <c r="L646" s="331"/>
    </row>
    <row r="647" ht="15.75" customHeight="1">
      <c r="A647" s="328"/>
      <c r="B647" s="328"/>
      <c r="C647" s="354"/>
      <c r="D647" s="328"/>
      <c r="E647" s="328"/>
      <c r="F647" s="354"/>
      <c r="G647" s="354"/>
      <c r="H647" s="354"/>
      <c r="I647" s="354"/>
      <c r="J647" s="354"/>
      <c r="K647" s="354"/>
      <c r="L647" s="331"/>
    </row>
    <row r="648" ht="15.75" customHeight="1">
      <c r="A648" s="328"/>
      <c r="B648" s="328"/>
      <c r="C648" s="354"/>
      <c r="D648" s="328"/>
      <c r="E648" s="328"/>
      <c r="F648" s="354"/>
      <c r="G648" s="354"/>
      <c r="H648" s="354"/>
      <c r="I648" s="354"/>
      <c r="J648" s="354"/>
      <c r="K648" s="354"/>
      <c r="L648" s="331"/>
    </row>
    <row r="649" ht="15.75" customHeight="1">
      <c r="A649" s="328"/>
      <c r="B649" s="328"/>
      <c r="C649" s="354"/>
      <c r="D649" s="328"/>
      <c r="E649" s="328"/>
      <c r="F649" s="354"/>
      <c r="G649" s="354"/>
      <c r="H649" s="354"/>
      <c r="I649" s="354"/>
      <c r="J649" s="354"/>
      <c r="K649" s="354"/>
      <c r="L649" s="331"/>
    </row>
    <row r="650" ht="15.75" customHeight="1">
      <c r="A650" s="328"/>
      <c r="B650" s="328"/>
      <c r="C650" s="354"/>
      <c r="D650" s="328"/>
      <c r="E650" s="328"/>
      <c r="F650" s="354"/>
      <c r="G650" s="354"/>
      <c r="H650" s="354"/>
      <c r="I650" s="354"/>
      <c r="J650" s="354"/>
      <c r="K650" s="354"/>
      <c r="L650" s="331"/>
    </row>
    <row r="651" ht="15.75" customHeight="1">
      <c r="A651" s="328"/>
      <c r="B651" s="328"/>
      <c r="C651" s="354"/>
      <c r="D651" s="328"/>
      <c r="E651" s="328"/>
      <c r="F651" s="354"/>
      <c r="G651" s="354"/>
      <c r="H651" s="354"/>
      <c r="I651" s="354"/>
      <c r="J651" s="354"/>
      <c r="K651" s="354"/>
      <c r="L651" s="331"/>
    </row>
    <row r="652" ht="15.75" customHeight="1">
      <c r="A652" s="328"/>
      <c r="B652" s="328"/>
      <c r="C652" s="354"/>
      <c r="D652" s="328"/>
      <c r="E652" s="328"/>
      <c r="F652" s="354"/>
      <c r="G652" s="354"/>
      <c r="H652" s="354"/>
      <c r="I652" s="354"/>
      <c r="J652" s="354"/>
      <c r="K652" s="354"/>
      <c r="L652" s="331"/>
    </row>
    <row r="653" ht="15.75" customHeight="1">
      <c r="A653" s="328"/>
      <c r="B653" s="328"/>
      <c r="C653" s="354"/>
      <c r="D653" s="328"/>
      <c r="E653" s="328"/>
      <c r="F653" s="354"/>
      <c r="G653" s="354"/>
      <c r="H653" s="354"/>
      <c r="I653" s="354"/>
      <c r="J653" s="354"/>
      <c r="K653" s="354"/>
      <c r="L653" s="331"/>
    </row>
    <row r="654" ht="15.75" customHeight="1">
      <c r="A654" s="328"/>
      <c r="B654" s="328"/>
      <c r="C654" s="354"/>
      <c r="D654" s="328"/>
      <c r="E654" s="328"/>
      <c r="F654" s="354"/>
      <c r="G654" s="354"/>
      <c r="H654" s="354"/>
      <c r="I654" s="354"/>
      <c r="J654" s="354"/>
      <c r="K654" s="354"/>
      <c r="L654" s="331"/>
    </row>
    <row r="655" ht="15.75" customHeight="1">
      <c r="A655" s="328"/>
      <c r="B655" s="328"/>
      <c r="C655" s="354"/>
      <c r="D655" s="328"/>
      <c r="E655" s="328"/>
      <c r="F655" s="354"/>
      <c r="G655" s="354"/>
      <c r="H655" s="354"/>
      <c r="I655" s="354"/>
      <c r="J655" s="354"/>
      <c r="K655" s="354"/>
      <c r="L655" s="331"/>
    </row>
    <row r="656" ht="15.75" customHeight="1">
      <c r="A656" s="328"/>
      <c r="B656" s="328"/>
      <c r="C656" s="354"/>
      <c r="D656" s="328"/>
      <c r="E656" s="328"/>
      <c r="F656" s="354"/>
      <c r="G656" s="354"/>
      <c r="H656" s="354"/>
      <c r="I656" s="354"/>
      <c r="J656" s="354"/>
      <c r="K656" s="354"/>
      <c r="L656" s="331"/>
    </row>
    <row r="657" ht="15.75" customHeight="1">
      <c r="A657" s="328"/>
      <c r="B657" s="328"/>
      <c r="C657" s="354"/>
      <c r="D657" s="328"/>
      <c r="E657" s="328"/>
      <c r="F657" s="354"/>
      <c r="G657" s="354"/>
      <c r="H657" s="354"/>
      <c r="I657" s="354"/>
      <c r="J657" s="354"/>
      <c r="K657" s="354"/>
      <c r="L657" s="331"/>
    </row>
    <row r="658" ht="15.75" customHeight="1">
      <c r="A658" s="328"/>
      <c r="B658" s="328"/>
      <c r="C658" s="354"/>
      <c r="D658" s="328"/>
      <c r="E658" s="328"/>
      <c r="F658" s="354"/>
      <c r="G658" s="354"/>
      <c r="H658" s="354"/>
      <c r="I658" s="354"/>
      <c r="J658" s="354"/>
      <c r="K658" s="354"/>
      <c r="L658" s="331"/>
    </row>
    <row r="659" ht="15.75" customHeight="1">
      <c r="A659" s="328"/>
      <c r="B659" s="328"/>
      <c r="C659" s="354"/>
      <c r="D659" s="328"/>
      <c r="E659" s="328"/>
      <c r="F659" s="354"/>
      <c r="G659" s="354"/>
      <c r="H659" s="354"/>
      <c r="I659" s="354"/>
      <c r="J659" s="354"/>
      <c r="K659" s="354"/>
      <c r="L659" s="331"/>
    </row>
    <row r="660" ht="15.75" customHeight="1">
      <c r="A660" s="328"/>
      <c r="B660" s="328"/>
      <c r="C660" s="354"/>
      <c r="D660" s="328"/>
      <c r="E660" s="328"/>
      <c r="F660" s="354"/>
      <c r="G660" s="354"/>
      <c r="H660" s="354"/>
      <c r="I660" s="354"/>
      <c r="J660" s="354"/>
      <c r="K660" s="354"/>
      <c r="L660" s="331"/>
    </row>
    <row r="661" ht="15.75" customHeight="1">
      <c r="A661" s="328"/>
      <c r="B661" s="328"/>
      <c r="C661" s="354"/>
      <c r="D661" s="328"/>
      <c r="E661" s="328"/>
      <c r="F661" s="354"/>
      <c r="G661" s="354"/>
      <c r="H661" s="354"/>
      <c r="I661" s="354"/>
      <c r="J661" s="354"/>
      <c r="K661" s="354"/>
      <c r="L661" s="331"/>
    </row>
    <row r="662" ht="15.75" customHeight="1">
      <c r="A662" s="328"/>
      <c r="B662" s="328"/>
      <c r="C662" s="354"/>
      <c r="D662" s="328"/>
      <c r="E662" s="328"/>
      <c r="F662" s="354"/>
      <c r="G662" s="354"/>
      <c r="H662" s="354"/>
      <c r="I662" s="354"/>
      <c r="J662" s="354"/>
      <c r="K662" s="354"/>
      <c r="L662" s="331"/>
    </row>
    <row r="663" ht="15.75" customHeight="1">
      <c r="A663" s="328"/>
      <c r="B663" s="328"/>
      <c r="C663" s="354"/>
      <c r="D663" s="328"/>
      <c r="E663" s="328"/>
      <c r="F663" s="354"/>
      <c r="G663" s="354"/>
      <c r="H663" s="354"/>
      <c r="I663" s="354"/>
      <c r="J663" s="354"/>
      <c r="K663" s="354"/>
      <c r="L663" s="331"/>
    </row>
    <row r="664" ht="15.75" customHeight="1">
      <c r="A664" s="328"/>
      <c r="B664" s="328"/>
      <c r="C664" s="354"/>
      <c r="D664" s="328"/>
      <c r="E664" s="328"/>
      <c r="F664" s="354"/>
      <c r="G664" s="354"/>
      <c r="H664" s="354"/>
      <c r="I664" s="354"/>
      <c r="J664" s="354"/>
      <c r="K664" s="354"/>
      <c r="L664" s="331"/>
    </row>
    <row r="665" ht="15.75" customHeight="1">
      <c r="A665" s="328"/>
      <c r="B665" s="328"/>
      <c r="C665" s="354"/>
      <c r="D665" s="328"/>
      <c r="E665" s="328"/>
      <c r="F665" s="354"/>
      <c r="G665" s="354"/>
      <c r="H665" s="354"/>
      <c r="I665" s="354"/>
      <c r="J665" s="354"/>
      <c r="K665" s="354"/>
      <c r="L665" s="331"/>
    </row>
    <row r="666" ht="15.75" customHeight="1">
      <c r="A666" s="328"/>
      <c r="B666" s="328"/>
      <c r="C666" s="354"/>
      <c r="D666" s="328"/>
      <c r="E666" s="328"/>
      <c r="F666" s="354"/>
      <c r="G666" s="354"/>
      <c r="H666" s="354"/>
      <c r="I666" s="354"/>
      <c r="J666" s="354"/>
      <c r="K666" s="354"/>
      <c r="L666" s="331"/>
    </row>
    <row r="667" ht="15.75" customHeight="1">
      <c r="A667" s="328"/>
      <c r="B667" s="328"/>
      <c r="C667" s="354"/>
      <c r="D667" s="328"/>
      <c r="E667" s="328"/>
      <c r="F667" s="354"/>
      <c r="G667" s="354"/>
      <c r="H667" s="354"/>
      <c r="I667" s="354"/>
      <c r="J667" s="354"/>
      <c r="K667" s="354"/>
      <c r="L667" s="331"/>
    </row>
    <row r="668" ht="15.75" customHeight="1">
      <c r="A668" s="328"/>
      <c r="B668" s="328"/>
      <c r="C668" s="354"/>
      <c r="D668" s="328"/>
      <c r="E668" s="328"/>
      <c r="F668" s="354"/>
      <c r="G668" s="354"/>
      <c r="H668" s="354"/>
      <c r="I668" s="354"/>
      <c r="J668" s="354"/>
      <c r="K668" s="354"/>
      <c r="L668" s="331"/>
    </row>
    <row r="669" ht="15.75" customHeight="1">
      <c r="A669" s="328"/>
      <c r="B669" s="328"/>
      <c r="C669" s="354"/>
      <c r="D669" s="328"/>
      <c r="E669" s="328"/>
      <c r="F669" s="354"/>
      <c r="G669" s="354"/>
      <c r="H669" s="354"/>
      <c r="I669" s="354"/>
      <c r="J669" s="354"/>
      <c r="K669" s="354"/>
      <c r="L669" s="331"/>
    </row>
    <row r="670" ht="15.75" customHeight="1">
      <c r="A670" s="328"/>
      <c r="B670" s="328"/>
      <c r="C670" s="354"/>
      <c r="D670" s="328"/>
      <c r="E670" s="328"/>
      <c r="F670" s="354"/>
      <c r="G670" s="354"/>
      <c r="H670" s="354"/>
      <c r="I670" s="354"/>
      <c r="J670" s="354"/>
      <c r="K670" s="354"/>
      <c r="L670" s="331"/>
    </row>
    <row r="671" ht="15.75" customHeight="1">
      <c r="A671" s="328"/>
      <c r="B671" s="328"/>
      <c r="C671" s="354"/>
      <c r="D671" s="328"/>
      <c r="E671" s="328"/>
      <c r="F671" s="354"/>
      <c r="G671" s="354"/>
      <c r="H671" s="354"/>
      <c r="I671" s="354"/>
      <c r="J671" s="354"/>
      <c r="K671" s="354"/>
      <c r="L671" s="331"/>
    </row>
    <row r="672" ht="15.75" customHeight="1">
      <c r="A672" s="328"/>
      <c r="B672" s="328"/>
      <c r="C672" s="354"/>
      <c r="D672" s="328"/>
      <c r="E672" s="328"/>
      <c r="F672" s="354"/>
      <c r="G672" s="354"/>
      <c r="H672" s="354"/>
      <c r="I672" s="354"/>
      <c r="J672" s="354"/>
      <c r="K672" s="354"/>
      <c r="L672" s="331"/>
    </row>
    <row r="673" ht="15.75" customHeight="1">
      <c r="A673" s="328"/>
      <c r="B673" s="328"/>
      <c r="C673" s="354"/>
      <c r="D673" s="328"/>
      <c r="E673" s="328"/>
      <c r="F673" s="354"/>
      <c r="G673" s="354"/>
      <c r="H673" s="354"/>
      <c r="I673" s="354"/>
      <c r="J673" s="354"/>
      <c r="K673" s="354"/>
      <c r="L673" s="331"/>
    </row>
    <row r="674" ht="15.75" customHeight="1">
      <c r="A674" s="328"/>
      <c r="B674" s="328"/>
      <c r="C674" s="354"/>
      <c r="D674" s="328"/>
      <c r="E674" s="328"/>
      <c r="F674" s="354"/>
      <c r="G674" s="354"/>
      <c r="H674" s="354"/>
      <c r="I674" s="354"/>
      <c r="J674" s="354"/>
      <c r="K674" s="354"/>
      <c r="L674" s="331"/>
    </row>
    <row r="675" ht="15.75" customHeight="1">
      <c r="A675" s="328"/>
      <c r="B675" s="328"/>
      <c r="C675" s="354"/>
      <c r="D675" s="328"/>
      <c r="E675" s="328"/>
      <c r="F675" s="354"/>
      <c r="G675" s="354"/>
      <c r="H675" s="354"/>
      <c r="I675" s="354"/>
      <c r="J675" s="354"/>
      <c r="K675" s="354"/>
      <c r="L675" s="331"/>
    </row>
    <row r="676" ht="15.75" customHeight="1">
      <c r="A676" s="328"/>
      <c r="B676" s="328"/>
      <c r="C676" s="354"/>
      <c r="D676" s="328"/>
      <c r="E676" s="328"/>
      <c r="F676" s="354"/>
      <c r="G676" s="354"/>
      <c r="H676" s="354"/>
      <c r="I676" s="354"/>
      <c r="J676" s="354"/>
      <c r="K676" s="354"/>
      <c r="L676" s="331"/>
    </row>
    <row r="677" ht="15.75" customHeight="1">
      <c r="A677" s="328"/>
      <c r="B677" s="328"/>
      <c r="C677" s="354"/>
      <c r="D677" s="328"/>
      <c r="E677" s="328"/>
      <c r="F677" s="354"/>
      <c r="G677" s="354"/>
      <c r="H677" s="354"/>
      <c r="I677" s="354"/>
      <c r="J677" s="354"/>
      <c r="K677" s="354"/>
      <c r="L677" s="331"/>
    </row>
    <row r="678" ht="15.75" customHeight="1">
      <c r="A678" s="328"/>
      <c r="B678" s="328"/>
      <c r="C678" s="354"/>
      <c r="D678" s="328"/>
      <c r="E678" s="328"/>
      <c r="F678" s="354"/>
      <c r="G678" s="354"/>
      <c r="H678" s="354"/>
      <c r="I678" s="354"/>
      <c r="J678" s="354"/>
      <c r="K678" s="354"/>
      <c r="L678" s="331"/>
    </row>
    <row r="679" ht="15.75" customHeight="1">
      <c r="A679" s="328"/>
      <c r="B679" s="328"/>
      <c r="C679" s="354"/>
      <c r="D679" s="328"/>
      <c r="E679" s="328"/>
      <c r="F679" s="354"/>
      <c r="G679" s="354"/>
      <c r="H679" s="354"/>
      <c r="I679" s="354"/>
      <c r="J679" s="354"/>
      <c r="K679" s="354"/>
      <c r="L679" s="331"/>
    </row>
    <row r="680" ht="15.75" customHeight="1">
      <c r="A680" s="328"/>
      <c r="B680" s="328"/>
      <c r="C680" s="354"/>
      <c r="D680" s="328"/>
      <c r="E680" s="328"/>
      <c r="F680" s="354"/>
      <c r="G680" s="354"/>
      <c r="H680" s="354"/>
      <c r="I680" s="354"/>
      <c r="J680" s="354"/>
      <c r="K680" s="354"/>
      <c r="L680" s="331"/>
    </row>
    <row r="681" ht="15.75" customHeight="1">
      <c r="A681" s="328"/>
      <c r="B681" s="328"/>
      <c r="C681" s="354"/>
      <c r="D681" s="328"/>
      <c r="E681" s="328"/>
      <c r="F681" s="354"/>
      <c r="G681" s="354"/>
      <c r="H681" s="354"/>
      <c r="I681" s="354"/>
      <c r="J681" s="354"/>
      <c r="K681" s="354"/>
      <c r="L681" s="331"/>
    </row>
    <row r="682" ht="15.75" customHeight="1">
      <c r="A682" s="328"/>
      <c r="B682" s="328"/>
      <c r="C682" s="354"/>
      <c r="D682" s="328"/>
      <c r="E682" s="328"/>
      <c r="F682" s="354"/>
      <c r="G682" s="354"/>
      <c r="H682" s="354"/>
      <c r="I682" s="354"/>
      <c r="J682" s="354"/>
      <c r="K682" s="354"/>
      <c r="L682" s="331"/>
    </row>
    <row r="683" ht="15.75" customHeight="1">
      <c r="A683" s="328"/>
      <c r="B683" s="328"/>
      <c r="C683" s="354"/>
      <c r="D683" s="328"/>
      <c r="E683" s="328"/>
      <c r="F683" s="354"/>
      <c r="G683" s="354"/>
      <c r="H683" s="354"/>
      <c r="I683" s="354"/>
      <c r="J683" s="354"/>
      <c r="K683" s="354"/>
      <c r="L683" s="331"/>
    </row>
    <row r="684" ht="15.75" customHeight="1">
      <c r="A684" s="328"/>
      <c r="B684" s="328"/>
      <c r="C684" s="354"/>
      <c r="D684" s="328"/>
      <c r="E684" s="328"/>
      <c r="F684" s="354"/>
      <c r="G684" s="354"/>
      <c r="H684" s="354"/>
      <c r="I684" s="354"/>
      <c r="J684" s="354"/>
      <c r="K684" s="354"/>
      <c r="L684" s="331"/>
    </row>
    <row r="685" ht="15.75" customHeight="1">
      <c r="A685" s="328"/>
      <c r="B685" s="328"/>
      <c r="C685" s="354"/>
      <c r="D685" s="328"/>
      <c r="E685" s="328"/>
      <c r="F685" s="354"/>
      <c r="G685" s="354"/>
      <c r="H685" s="354"/>
      <c r="I685" s="354"/>
      <c r="J685" s="354"/>
      <c r="K685" s="354"/>
      <c r="L685" s="331"/>
    </row>
    <row r="686" ht="15.75" customHeight="1">
      <c r="A686" s="328"/>
      <c r="B686" s="328"/>
      <c r="C686" s="354"/>
      <c r="D686" s="328"/>
      <c r="E686" s="328"/>
      <c r="F686" s="354"/>
      <c r="G686" s="354"/>
      <c r="H686" s="354"/>
      <c r="I686" s="354"/>
      <c r="J686" s="354"/>
      <c r="K686" s="354"/>
      <c r="L686" s="331"/>
    </row>
    <row r="687" ht="15.75" customHeight="1">
      <c r="A687" s="328"/>
      <c r="B687" s="328"/>
      <c r="C687" s="354"/>
      <c r="D687" s="328"/>
      <c r="E687" s="328"/>
      <c r="F687" s="354"/>
      <c r="G687" s="354"/>
      <c r="H687" s="354"/>
      <c r="I687" s="354"/>
      <c r="J687" s="354"/>
      <c r="K687" s="354"/>
      <c r="L687" s="331"/>
    </row>
    <row r="688" ht="15.75" customHeight="1">
      <c r="A688" s="328"/>
      <c r="B688" s="328"/>
      <c r="C688" s="354"/>
      <c r="D688" s="328"/>
      <c r="E688" s="328"/>
      <c r="F688" s="354"/>
      <c r="G688" s="354"/>
      <c r="H688" s="354"/>
      <c r="I688" s="354"/>
      <c r="J688" s="354"/>
      <c r="K688" s="354"/>
      <c r="L688" s="331"/>
    </row>
    <row r="689" ht="15.75" customHeight="1">
      <c r="A689" s="328"/>
      <c r="B689" s="328"/>
      <c r="C689" s="354"/>
      <c r="D689" s="328"/>
      <c r="E689" s="328"/>
      <c r="F689" s="354"/>
      <c r="G689" s="354"/>
      <c r="H689" s="354"/>
      <c r="I689" s="354"/>
      <c r="J689" s="354"/>
      <c r="K689" s="354"/>
      <c r="L689" s="331"/>
    </row>
    <row r="690" ht="15.75" customHeight="1">
      <c r="A690" s="328"/>
      <c r="B690" s="328"/>
      <c r="C690" s="354"/>
      <c r="D690" s="328"/>
      <c r="E690" s="328"/>
      <c r="F690" s="354"/>
      <c r="G690" s="354"/>
      <c r="H690" s="354"/>
      <c r="I690" s="354"/>
      <c r="J690" s="354"/>
      <c r="K690" s="354"/>
      <c r="L690" s="331"/>
    </row>
    <row r="691" ht="15.75" customHeight="1">
      <c r="A691" s="328"/>
      <c r="B691" s="328"/>
      <c r="C691" s="354"/>
      <c r="D691" s="328"/>
      <c r="E691" s="328"/>
      <c r="F691" s="354"/>
      <c r="G691" s="354"/>
      <c r="H691" s="354"/>
      <c r="I691" s="354"/>
      <c r="J691" s="354"/>
      <c r="K691" s="354"/>
      <c r="L691" s="331"/>
    </row>
    <row r="692" ht="15.75" customHeight="1">
      <c r="A692" s="328"/>
      <c r="B692" s="328"/>
      <c r="C692" s="354"/>
      <c r="D692" s="328"/>
      <c r="E692" s="328"/>
      <c r="F692" s="354"/>
      <c r="G692" s="354"/>
      <c r="H692" s="354"/>
      <c r="I692" s="354"/>
      <c r="J692" s="354"/>
      <c r="K692" s="354"/>
      <c r="L692" s="331"/>
    </row>
    <row r="693" ht="15.75" customHeight="1">
      <c r="A693" s="328"/>
      <c r="B693" s="328"/>
      <c r="C693" s="354"/>
      <c r="D693" s="328"/>
      <c r="E693" s="328"/>
      <c r="F693" s="354"/>
      <c r="G693" s="354"/>
      <c r="H693" s="354"/>
      <c r="I693" s="354"/>
      <c r="J693" s="354"/>
      <c r="K693" s="354"/>
      <c r="L693" s="331"/>
    </row>
    <row r="694" ht="15.75" customHeight="1">
      <c r="A694" s="328"/>
      <c r="B694" s="328"/>
      <c r="C694" s="354"/>
      <c r="D694" s="328"/>
      <c r="E694" s="328"/>
      <c r="F694" s="354"/>
      <c r="G694" s="354"/>
      <c r="H694" s="354"/>
      <c r="I694" s="354"/>
      <c r="J694" s="354"/>
      <c r="K694" s="354"/>
      <c r="L694" s="331"/>
    </row>
    <row r="695" ht="15.75" customHeight="1">
      <c r="A695" s="328"/>
      <c r="B695" s="328"/>
      <c r="C695" s="354"/>
      <c r="D695" s="328"/>
      <c r="E695" s="328"/>
      <c r="F695" s="354"/>
      <c r="G695" s="354"/>
      <c r="H695" s="354"/>
      <c r="I695" s="354"/>
      <c r="J695" s="354"/>
      <c r="K695" s="354"/>
      <c r="L695" s="331"/>
    </row>
    <row r="696" ht="15.75" customHeight="1">
      <c r="A696" s="328"/>
      <c r="B696" s="328"/>
      <c r="C696" s="354"/>
      <c r="D696" s="328"/>
      <c r="E696" s="328"/>
      <c r="F696" s="354"/>
      <c r="G696" s="354"/>
      <c r="H696" s="354"/>
      <c r="I696" s="354"/>
      <c r="J696" s="354"/>
      <c r="K696" s="354"/>
      <c r="L696" s="331"/>
    </row>
    <row r="697" ht="15.75" customHeight="1">
      <c r="A697" s="328"/>
      <c r="B697" s="328"/>
      <c r="C697" s="354"/>
      <c r="D697" s="328"/>
      <c r="E697" s="328"/>
      <c r="F697" s="354"/>
      <c r="G697" s="354"/>
      <c r="H697" s="354"/>
      <c r="I697" s="354"/>
      <c r="J697" s="354"/>
      <c r="K697" s="354"/>
      <c r="L697" s="331"/>
    </row>
    <row r="698" ht="15.75" customHeight="1">
      <c r="A698" s="328"/>
      <c r="B698" s="328"/>
      <c r="C698" s="354"/>
      <c r="D698" s="328"/>
      <c r="E698" s="328"/>
      <c r="F698" s="354"/>
      <c r="G698" s="354"/>
      <c r="H698" s="354"/>
      <c r="I698" s="354"/>
      <c r="J698" s="354"/>
      <c r="K698" s="354"/>
      <c r="L698" s="331"/>
    </row>
    <row r="699" ht="15.75" customHeight="1">
      <c r="A699" s="328"/>
      <c r="B699" s="328"/>
      <c r="C699" s="354"/>
      <c r="D699" s="328"/>
      <c r="E699" s="328"/>
      <c r="F699" s="354"/>
      <c r="G699" s="354"/>
      <c r="H699" s="354"/>
      <c r="I699" s="354"/>
      <c r="J699" s="354"/>
      <c r="K699" s="354"/>
      <c r="L699" s="331"/>
    </row>
    <row r="700" ht="15.75" customHeight="1">
      <c r="A700" s="328"/>
      <c r="B700" s="328"/>
      <c r="C700" s="354"/>
      <c r="D700" s="328"/>
      <c r="E700" s="328"/>
      <c r="F700" s="354"/>
      <c r="G700" s="354"/>
      <c r="H700" s="354"/>
      <c r="I700" s="354"/>
      <c r="J700" s="354"/>
      <c r="K700" s="354"/>
      <c r="L700" s="331"/>
    </row>
    <row r="701" ht="15.75" customHeight="1">
      <c r="A701" s="328"/>
      <c r="B701" s="328"/>
      <c r="C701" s="354"/>
      <c r="D701" s="328"/>
      <c r="E701" s="328"/>
      <c r="F701" s="354"/>
      <c r="G701" s="354"/>
      <c r="H701" s="354"/>
      <c r="I701" s="354"/>
      <c r="J701" s="354"/>
      <c r="K701" s="354"/>
      <c r="L701" s="331"/>
    </row>
    <row r="702" ht="15.75" customHeight="1">
      <c r="A702" s="328"/>
      <c r="B702" s="328"/>
      <c r="C702" s="354"/>
      <c r="D702" s="328"/>
      <c r="E702" s="328"/>
      <c r="F702" s="354"/>
      <c r="G702" s="354"/>
      <c r="H702" s="354"/>
      <c r="I702" s="354"/>
      <c r="J702" s="354"/>
      <c r="K702" s="354"/>
      <c r="L702" s="331"/>
    </row>
    <row r="703" ht="15.75" customHeight="1">
      <c r="A703" s="328"/>
      <c r="B703" s="328"/>
      <c r="C703" s="354"/>
      <c r="D703" s="328"/>
      <c r="E703" s="328"/>
      <c r="F703" s="354"/>
      <c r="G703" s="354"/>
      <c r="H703" s="354"/>
      <c r="I703" s="354"/>
      <c r="J703" s="354"/>
      <c r="K703" s="354"/>
      <c r="L703" s="331"/>
    </row>
    <row r="704" ht="15.75" customHeight="1">
      <c r="A704" s="328"/>
      <c r="B704" s="328"/>
      <c r="C704" s="354"/>
      <c r="D704" s="328"/>
      <c r="E704" s="328"/>
      <c r="F704" s="354"/>
      <c r="G704" s="354"/>
      <c r="H704" s="354"/>
      <c r="I704" s="354"/>
      <c r="J704" s="354"/>
      <c r="K704" s="354"/>
      <c r="L704" s="331"/>
    </row>
    <row r="705" ht="15.75" customHeight="1">
      <c r="A705" s="328"/>
      <c r="B705" s="328"/>
      <c r="C705" s="354"/>
      <c r="D705" s="328"/>
      <c r="E705" s="328"/>
      <c r="F705" s="354"/>
      <c r="G705" s="354"/>
      <c r="H705" s="354"/>
      <c r="I705" s="354"/>
      <c r="J705" s="354"/>
      <c r="K705" s="354"/>
      <c r="L705" s="331"/>
    </row>
    <row r="706" ht="15.75" customHeight="1">
      <c r="A706" s="328"/>
      <c r="B706" s="328"/>
      <c r="C706" s="354"/>
      <c r="D706" s="328"/>
      <c r="E706" s="328"/>
      <c r="F706" s="354"/>
      <c r="G706" s="354"/>
      <c r="H706" s="354"/>
      <c r="I706" s="354"/>
      <c r="J706" s="354"/>
      <c r="K706" s="354"/>
      <c r="L706" s="331"/>
    </row>
    <row r="707" ht="15.75" customHeight="1">
      <c r="A707" s="328"/>
      <c r="B707" s="328"/>
      <c r="C707" s="354"/>
      <c r="D707" s="328"/>
      <c r="E707" s="328"/>
      <c r="F707" s="354"/>
      <c r="G707" s="354"/>
      <c r="H707" s="354"/>
      <c r="I707" s="354"/>
      <c r="J707" s="354"/>
      <c r="K707" s="354"/>
      <c r="L707" s="331"/>
    </row>
    <row r="708" ht="15.75" customHeight="1">
      <c r="A708" s="328"/>
      <c r="B708" s="328"/>
      <c r="C708" s="354"/>
      <c r="D708" s="328"/>
      <c r="E708" s="328"/>
      <c r="F708" s="354"/>
      <c r="G708" s="354"/>
      <c r="H708" s="354"/>
      <c r="I708" s="354"/>
      <c r="J708" s="354"/>
      <c r="K708" s="354"/>
      <c r="L708" s="331"/>
    </row>
    <row r="709" ht="15.75" customHeight="1">
      <c r="A709" s="328"/>
      <c r="B709" s="328"/>
      <c r="C709" s="354"/>
      <c r="D709" s="328"/>
      <c r="E709" s="328"/>
      <c r="F709" s="354"/>
      <c r="G709" s="354"/>
      <c r="H709" s="354"/>
      <c r="I709" s="354"/>
      <c r="J709" s="354"/>
      <c r="K709" s="354"/>
      <c r="L709" s="331"/>
    </row>
    <row r="710" ht="15.75" customHeight="1">
      <c r="A710" s="328"/>
      <c r="B710" s="328"/>
      <c r="C710" s="354"/>
      <c r="D710" s="328"/>
      <c r="E710" s="328"/>
      <c r="F710" s="354"/>
      <c r="G710" s="354"/>
      <c r="H710" s="354"/>
      <c r="I710" s="354"/>
      <c r="J710" s="354"/>
      <c r="K710" s="354"/>
      <c r="L710" s="331"/>
    </row>
    <row r="711" ht="15.75" customHeight="1">
      <c r="A711" s="328"/>
      <c r="B711" s="328"/>
      <c r="C711" s="354"/>
      <c r="D711" s="328"/>
      <c r="E711" s="328"/>
      <c r="F711" s="354"/>
      <c r="G711" s="354"/>
      <c r="H711" s="354"/>
      <c r="I711" s="354"/>
      <c r="J711" s="354"/>
      <c r="K711" s="354"/>
      <c r="L711" s="331"/>
    </row>
    <row r="712" ht="15.75" customHeight="1">
      <c r="A712" s="328"/>
      <c r="B712" s="328"/>
      <c r="C712" s="354"/>
      <c r="D712" s="328"/>
      <c r="E712" s="328"/>
      <c r="F712" s="354"/>
      <c r="G712" s="354"/>
      <c r="H712" s="354"/>
      <c r="I712" s="354"/>
      <c r="J712" s="354"/>
      <c r="K712" s="354"/>
      <c r="L712" s="331"/>
    </row>
    <row r="713" ht="15.75" customHeight="1">
      <c r="A713" s="328"/>
      <c r="B713" s="328"/>
      <c r="C713" s="354"/>
      <c r="D713" s="328"/>
      <c r="E713" s="328"/>
      <c r="F713" s="354"/>
      <c r="G713" s="354"/>
      <c r="H713" s="354"/>
      <c r="I713" s="354"/>
      <c r="J713" s="354"/>
      <c r="K713" s="354"/>
      <c r="L713" s="331"/>
    </row>
    <row r="714" ht="15.75" customHeight="1">
      <c r="A714" s="328"/>
      <c r="B714" s="328"/>
      <c r="C714" s="354"/>
      <c r="D714" s="328"/>
      <c r="E714" s="328"/>
      <c r="F714" s="354"/>
      <c r="G714" s="354"/>
      <c r="H714" s="354"/>
      <c r="I714" s="354"/>
      <c r="J714" s="354"/>
      <c r="K714" s="354"/>
      <c r="L714" s="331"/>
    </row>
    <row r="715" ht="15.75" customHeight="1">
      <c r="A715" s="328"/>
      <c r="B715" s="328"/>
      <c r="C715" s="354"/>
      <c r="D715" s="328"/>
      <c r="E715" s="328"/>
      <c r="F715" s="354"/>
      <c r="G715" s="354"/>
      <c r="H715" s="354"/>
      <c r="I715" s="354"/>
      <c r="J715" s="354"/>
      <c r="K715" s="354"/>
      <c r="L715" s="331"/>
    </row>
    <row r="716" ht="15.75" customHeight="1">
      <c r="A716" s="328"/>
      <c r="B716" s="328"/>
      <c r="C716" s="354"/>
      <c r="D716" s="328"/>
      <c r="E716" s="328"/>
      <c r="F716" s="354"/>
      <c r="G716" s="354"/>
      <c r="H716" s="354"/>
      <c r="I716" s="354"/>
      <c r="J716" s="354"/>
      <c r="K716" s="354"/>
      <c r="L716" s="331"/>
    </row>
    <row r="717" ht="15.75" customHeight="1">
      <c r="A717" s="328"/>
      <c r="B717" s="328"/>
      <c r="C717" s="354"/>
      <c r="D717" s="328"/>
      <c r="E717" s="328"/>
      <c r="F717" s="354"/>
      <c r="G717" s="354"/>
      <c r="H717" s="354"/>
      <c r="I717" s="354"/>
      <c r="J717" s="354"/>
      <c r="K717" s="354"/>
      <c r="L717" s="331"/>
    </row>
    <row r="718" ht="15.75" customHeight="1">
      <c r="A718" s="328"/>
      <c r="B718" s="328"/>
      <c r="C718" s="354"/>
      <c r="D718" s="328"/>
      <c r="E718" s="328"/>
      <c r="F718" s="354"/>
      <c r="G718" s="354"/>
      <c r="H718" s="354"/>
      <c r="I718" s="354"/>
      <c r="J718" s="354"/>
      <c r="K718" s="354"/>
      <c r="L718" s="331"/>
    </row>
    <row r="719" ht="15.75" customHeight="1">
      <c r="A719" s="328"/>
      <c r="B719" s="328"/>
      <c r="C719" s="354"/>
      <c r="D719" s="328"/>
      <c r="E719" s="328"/>
      <c r="F719" s="354"/>
      <c r="G719" s="354"/>
      <c r="H719" s="354"/>
      <c r="I719" s="354"/>
      <c r="J719" s="354"/>
      <c r="K719" s="354"/>
      <c r="L719" s="331"/>
    </row>
    <row r="720" ht="15.75" customHeight="1">
      <c r="A720" s="328"/>
      <c r="B720" s="328"/>
      <c r="C720" s="354"/>
      <c r="D720" s="328"/>
      <c r="E720" s="328"/>
      <c r="F720" s="354"/>
      <c r="G720" s="354"/>
      <c r="H720" s="354"/>
      <c r="I720" s="354"/>
      <c r="J720" s="354"/>
      <c r="K720" s="354"/>
      <c r="L720" s="331"/>
    </row>
    <row r="721" ht="15.75" customHeight="1">
      <c r="A721" s="328"/>
      <c r="B721" s="328"/>
      <c r="C721" s="354"/>
      <c r="D721" s="328"/>
      <c r="E721" s="328"/>
      <c r="F721" s="354"/>
      <c r="G721" s="354"/>
      <c r="H721" s="354"/>
      <c r="I721" s="354"/>
      <c r="J721" s="354"/>
      <c r="K721" s="354"/>
      <c r="L721" s="331"/>
    </row>
    <row r="722" ht="15.75" customHeight="1">
      <c r="A722" s="328"/>
      <c r="B722" s="328"/>
      <c r="C722" s="354"/>
      <c r="D722" s="328"/>
      <c r="E722" s="328"/>
      <c r="F722" s="354"/>
      <c r="G722" s="354"/>
      <c r="H722" s="354"/>
      <c r="I722" s="354"/>
      <c r="J722" s="354"/>
      <c r="K722" s="354"/>
      <c r="L722" s="331"/>
    </row>
    <row r="723" ht="15.75" customHeight="1">
      <c r="A723" s="328"/>
      <c r="B723" s="328"/>
      <c r="C723" s="354"/>
      <c r="D723" s="328"/>
      <c r="E723" s="328"/>
      <c r="F723" s="354"/>
      <c r="G723" s="354"/>
      <c r="H723" s="354"/>
      <c r="I723" s="354"/>
      <c r="J723" s="354"/>
      <c r="K723" s="354"/>
      <c r="L723" s="331"/>
    </row>
    <row r="724" ht="15.75" customHeight="1">
      <c r="A724" s="328"/>
      <c r="B724" s="328"/>
      <c r="C724" s="354"/>
      <c r="D724" s="328"/>
      <c r="E724" s="328"/>
      <c r="F724" s="354"/>
      <c r="G724" s="354"/>
      <c r="H724" s="354"/>
      <c r="I724" s="354"/>
      <c r="J724" s="354"/>
      <c r="K724" s="354"/>
      <c r="L724" s="331"/>
    </row>
    <row r="725" ht="15.75" customHeight="1">
      <c r="A725" s="328"/>
      <c r="B725" s="328"/>
      <c r="C725" s="354"/>
      <c r="D725" s="328"/>
      <c r="E725" s="328"/>
      <c r="F725" s="354"/>
      <c r="G725" s="354"/>
      <c r="H725" s="354"/>
      <c r="I725" s="354"/>
      <c r="J725" s="354"/>
      <c r="K725" s="354"/>
      <c r="L725" s="331"/>
    </row>
    <row r="726" ht="15.75" customHeight="1">
      <c r="A726" s="328"/>
      <c r="B726" s="328"/>
      <c r="C726" s="354"/>
      <c r="D726" s="328"/>
      <c r="E726" s="328"/>
      <c r="F726" s="354"/>
      <c r="G726" s="354"/>
      <c r="H726" s="354"/>
      <c r="I726" s="354"/>
      <c r="J726" s="354"/>
      <c r="K726" s="354"/>
      <c r="L726" s="331"/>
    </row>
    <row r="727" ht="15.75" customHeight="1">
      <c r="A727" s="328"/>
      <c r="B727" s="328"/>
      <c r="C727" s="354"/>
      <c r="D727" s="328"/>
      <c r="E727" s="328"/>
      <c r="F727" s="354"/>
      <c r="G727" s="354"/>
      <c r="H727" s="354"/>
      <c r="I727" s="354"/>
      <c r="J727" s="354"/>
      <c r="K727" s="354"/>
      <c r="L727" s="331"/>
    </row>
    <row r="728" ht="15.75" customHeight="1">
      <c r="A728" s="328"/>
      <c r="B728" s="328"/>
      <c r="C728" s="354"/>
      <c r="D728" s="328"/>
      <c r="E728" s="328"/>
      <c r="F728" s="354"/>
      <c r="G728" s="354"/>
      <c r="H728" s="354"/>
      <c r="I728" s="354"/>
      <c r="J728" s="354"/>
      <c r="K728" s="354"/>
      <c r="L728" s="331"/>
    </row>
    <row r="729" ht="15.75" customHeight="1">
      <c r="A729" s="328"/>
      <c r="B729" s="328"/>
      <c r="C729" s="354"/>
      <c r="D729" s="328"/>
      <c r="E729" s="328"/>
      <c r="F729" s="354"/>
      <c r="G729" s="354"/>
      <c r="H729" s="354"/>
      <c r="I729" s="354"/>
      <c r="J729" s="354"/>
      <c r="K729" s="354"/>
      <c r="L729" s="331"/>
    </row>
    <row r="730" ht="15.75" customHeight="1">
      <c r="A730" s="328"/>
      <c r="B730" s="328"/>
      <c r="C730" s="354"/>
      <c r="D730" s="328"/>
      <c r="E730" s="328"/>
      <c r="F730" s="354"/>
      <c r="G730" s="354"/>
      <c r="H730" s="354"/>
      <c r="I730" s="354"/>
      <c r="J730" s="354"/>
      <c r="K730" s="354"/>
      <c r="L730" s="331"/>
    </row>
    <row r="731" ht="15.75" customHeight="1">
      <c r="A731" s="328"/>
      <c r="B731" s="328"/>
      <c r="C731" s="354"/>
      <c r="D731" s="328"/>
      <c r="E731" s="328"/>
      <c r="F731" s="354"/>
      <c r="G731" s="354"/>
      <c r="H731" s="354"/>
      <c r="I731" s="354"/>
      <c r="J731" s="354"/>
      <c r="K731" s="354"/>
      <c r="L731" s="331"/>
    </row>
    <row r="732" ht="15.75" customHeight="1">
      <c r="A732" s="328"/>
      <c r="B732" s="328"/>
      <c r="C732" s="354"/>
      <c r="D732" s="328"/>
      <c r="E732" s="328"/>
      <c r="F732" s="354"/>
      <c r="G732" s="354"/>
      <c r="H732" s="354"/>
      <c r="I732" s="354"/>
      <c r="J732" s="354"/>
      <c r="K732" s="354"/>
      <c r="L732" s="331"/>
    </row>
    <row r="733" ht="15.75" customHeight="1">
      <c r="A733" s="328"/>
      <c r="B733" s="328"/>
      <c r="C733" s="354"/>
      <c r="D733" s="328"/>
      <c r="E733" s="328"/>
      <c r="F733" s="354"/>
      <c r="G733" s="354"/>
      <c r="H733" s="354"/>
      <c r="I733" s="354"/>
      <c r="J733" s="354"/>
      <c r="K733" s="354"/>
      <c r="L733" s="331"/>
    </row>
    <row r="734" ht="15.75" customHeight="1">
      <c r="A734" s="328"/>
      <c r="B734" s="328"/>
      <c r="C734" s="354"/>
      <c r="D734" s="328"/>
      <c r="E734" s="328"/>
      <c r="F734" s="354"/>
      <c r="G734" s="354"/>
      <c r="H734" s="354"/>
      <c r="I734" s="354"/>
      <c r="J734" s="354"/>
      <c r="K734" s="354"/>
      <c r="L734" s="331"/>
    </row>
    <row r="735" ht="15.75" customHeight="1">
      <c r="A735" s="328"/>
      <c r="B735" s="328"/>
      <c r="C735" s="354"/>
      <c r="D735" s="328"/>
      <c r="E735" s="328"/>
      <c r="F735" s="354"/>
      <c r="G735" s="354"/>
      <c r="H735" s="354"/>
      <c r="I735" s="354"/>
      <c r="J735" s="354"/>
      <c r="K735" s="354"/>
      <c r="L735" s="331"/>
    </row>
    <row r="736" ht="15.75" customHeight="1">
      <c r="A736" s="328"/>
      <c r="B736" s="328"/>
      <c r="C736" s="354"/>
      <c r="D736" s="328"/>
      <c r="E736" s="328"/>
      <c r="F736" s="354"/>
      <c r="G736" s="354"/>
      <c r="H736" s="354"/>
      <c r="I736" s="354"/>
      <c r="J736" s="354"/>
      <c r="K736" s="354"/>
      <c r="L736" s="331"/>
    </row>
    <row r="737" ht="15.75" customHeight="1">
      <c r="A737" s="328"/>
      <c r="B737" s="328"/>
      <c r="C737" s="354"/>
      <c r="D737" s="328"/>
      <c r="E737" s="328"/>
      <c r="F737" s="354"/>
      <c r="G737" s="354"/>
      <c r="H737" s="354"/>
      <c r="I737" s="354"/>
      <c r="J737" s="354"/>
      <c r="K737" s="354"/>
      <c r="L737" s="331"/>
    </row>
    <row r="738" ht="15.75" customHeight="1">
      <c r="A738" s="328"/>
      <c r="B738" s="328"/>
      <c r="C738" s="354"/>
      <c r="D738" s="328"/>
      <c r="E738" s="328"/>
      <c r="F738" s="354"/>
      <c r="G738" s="354"/>
      <c r="H738" s="354"/>
      <c r="I738" s="354"/>
      <c r="J738" s="354"/>
      <c r="K738" s="354"/>
      <c r="L738" s="331"/>
    </row>
    <row r="739" ht="15.75" customHeight="1">
      <c r="A739" s="328"/>
      <c r="B739" s="328"/>
      <c r="C739" s="354"/>
      <c r="D739" s="328"/>
      <c r="E739" s="328"/>
      <c r="F739" s="354"/>
      <c r="G739" s="354"/>
      <c r="H739" s="354"/>
      <c r="I739" s="354"/>
      <c r="J739" s="354"/>
      <c r="K739" s="354"/>
      <c r="L739" s="331"/>
    </row>
    <row r="740" ht="15.75" customHeight="1">
      <c r="A740" s="328"/>
      <c r="B740" s="328"/>
      <c r="C740" s="354"/>
      <c r="D740" s="328"/>
      <c r="E740" s="328"/>
      <c r="F740" s="354"/>
      <c r="G740" s="354"/>
      <c r="H740" s="354"/>
      <c r="I740" s="354"/>
      <c r="J740" s="354"/>
      <c r="K740" s="354"/>
      <c r="L740" s="331"/>
    </row>
    <row r="741" ht="15.75" customHeight="1">
      <c r="A741" s="328"/>
      <c r="B741" s="328"/>
      <c r="C741" s="354"/>
      <c r="D741" s="328"/>
      <c r="E741" s="328"/>
      <c r="F741" s="354"/>
      <c r="G741" s="354"/>
      <c r="H741" s="354"/>
      <c r="I741" s="354"/>
      <c r="J741" s="354"/>
      <c r="K741" s="354"/>
      <c r="L741" s="331"/>
    </row>
    <row r="742" ht="15.75" customHeight="1">
      <c r="A742" s="328"/>
      <c r="B742" s="328"/>
      <c r="C742" s="354"/>
      <c r="D742" s="328"/>
      <c r="E742" s="328"/>
      <c r="F742" s="354"/>
      <c r="G742" s="354"/>
      <c r="H742" s="354"/>
      <c r="I742" s="354"/>
      <c r="J742" s="354"/>
      <c r="K742" s="354"/>
      <c r="L742" s="331"/>
    </row>
    <row r="743" ht="15.75" customHeight="1">
      <c r="A743" s="328"/>
      <c r="B743" s="328"/>
      <c r="C743" s="354"/>
      <c r="D743" s="328"/>
      <c r="E743" s="328"/>
      <c r="F743" s="354"/>
      <c r="G743" s="354"/>
      <c r="H743" s="354"/>
      <c r="I743" s="354"/>
      <c r="J743" s="354"/>
      <c r="K743" s="354"/>
      <c r="L743" s="331"/>
    </row>
    <row r="744" ht="15.75" customHeight="1">
      <c r="A744" s="328"/>
      <c r="B744" s="328"/>
      <c r="C744" s="354"/>
      <c r="D744" s="328"/>
      <c r="E744" s="328"/>
      <c r="F744" s="354"/>
      <c r="G744" s="354"/>
      <c r="H744" s="354"/>
      <c r="I744" s="354"/>
      <c r="J744" s="354"/>
      <c r="K744" s="354"/>
      <c r="L744" s="331"/>
    </row>
    <row r="745" ht="15.75" customHeight="1">
      <c r="A745" s="328"/>
      <c r="B745" s="328"/>
      <c r="C745" s="354"/>
      <c r="D745" s="328"/>
      <c r="E745" s="328"/>
      <c r="F745" s="354"/>
      <c r="G745" s="354"/>
      <c r="H745" s="354"/>
      <c r="I745" s="354"/>
      <c r="J745" s="354"/>
      <c r="K745" s="354"/>
      <c r="L745" s="331"/>
    </row>
    <row r="746" ht="15.75" customHeight="1">
      <c r="A746" s="328"/>
      <c r="B746" s="328"/>
      <c r="C746" s="354"/>
      <c r="D746" s="328"/>
      <c r="E746" s="328"/>
      <c r="F746" s="354"/>
      <c r="G746" s="354"/>
      <c r="H746" s="354"/>
      <c r="I746" s="354"/>
      <c r="J746" s="354"/>
      <c r="K746" s="354"/>
      <c r="L746" s="331"/>
    </row>
    <row r="747" ht="15.75" customHeight="1">
      <c r="A747" s="328"/>
      <c r="B747" s="328"/>
      <c r="C747" s="354"/>
      <c r="D747" s="328"/>
      <c r="E747" s="328"/>
      <c r="F747" s="354"/>
      <c r="G747" s="354"/>
      <c r="H747" s="354"/>
      <c r="I747" s="354"/>
      <c r="J747" s="354"/>
      <c r="K747" s="354"/>
      <c r="L747" s="331"/>
    </row>
    <row r="748" ht="15.75" customHeight="1">
      <c r="A748" s="328"/>
      <c r="B748" s="328"/>
      <c r="C748" s="354"/>
      <c r="D748" s="328"/>
      <c r="E748" s="328"/>
      <c r="F748" s="354"/>
      <c r="G748" s="354"/>
      <c r="H748" s="354"/>
      <c r="I748" s="354"/>
      <c r="J748" s="354"/>
      <c r="K748" s="354"/>
      <c r="L748" s="331"/>
    </row>
    <row r="749" ht="15.75" customHeight="1">
      <c r="A749" s="328"/>
      <c r="B749" s="328"/>
      <c r="C749" s="354"/>
      <c r="D749" s="328"/>
      <c r="E749" s="328"/>
      <c r="F749" s="354"/>
      <c r="G749" s="354"/>
      <c r="H749" s="354"/>
      <c r="I749" s="354"/>
      <c r="J749" s="354"/>
      <c r="K749" s="354"/>
      <c r="L749" s="331"/>
    </row>
    <row r="750" ht="15.75" customHeight="1">
      <c r="A750" s="328"/>
      <c r="B750" s="328"/>
      <c r="C750" s="354"/>
      <c r="D750" s="328"/>
      <c r="E750" s="328"/>
      <c r="F750" s="354"/>
      <c r="G750" s="354"/>
      <c r="H750" s="354"/>
      <c r="I750" s="354"/>
      <c r="J750" s="354"/>
      <c r="K750" s="354"/>
      <c r="L750" s="331"/>
    </row>
    <row r="751" ht="15.75" customHeight="1">
      <c r="A751" s="328"/>
      <c r="B751" s="328"/>
      <c r="C751" s="354"/>
      <c r="D751" s="328"/>
      <c r="E751" s="328"/>
      <c r="F751" s="354"/>
      <c r="G751" s="354"/>
      <c r="H751" s="354"/>
      <c r="I751" s="354"/>
      <c r="J751" s="354"/>
      <c r="K751" s="354"/>
      <c r="L751" s="331"/>
    </row>
    <row r="752" ht="15.75" customHeight="1">
      <c r="A752" s="328"/>
      <c r="B752" s="328"/>
      <c r="C752" s="354"/>
      <c r="D752" s="328"/>
      <c r="E752" s="328"/>
      <c r="F752" s="354"/>
      <c r="G752" s="354"/>
      <c r="H752" s="354"/>
      <c r="I752" s="354"/>
      <c r="J752" s="354"/>
      <c r="K752" s="354"/>
      <c r="L752" s="331"/>
    </row>
    <row r="753" ht="15.75" customHeight="1">
      <c r="A753" s="328"/>
      <c r="B753" s="328"/>
      <c r="C753" s="354"/>
      <c r="D753" s="328"/>
      <c r="E753" s="328"/>
      <c r="F753" s="354"/>
      <c r="G753" s="354"/>
      <c r="H753" s="354"/>
      <c r="I753" s="354"/>
      <c r="J753" s="354"/>
      <c r="K753" s="354"/>
      <c r="L753" s="331"/>
    </row>
    <row r="754" ht="15.75" customHeight="1">
      <c r="A754" s="328"/>
      <c r="B754" s="328"/>
      <c r="C754" s="354"/>
      <c r="D754" s="328"/>
      <c r="E754" s="328"/>
      <c r="F754" s="354"/>
      <c r="G754" s="354"/>
      <c r="H754" s="354"/>
      <c r="I754" s="354"/>
      <c r="J754" s="354"/>
      <c r="K754" s="354"/>
      <c r="L754" s="331"/>
    </row>
    <row r="755" ht="15.75" customHeight="1">
      <c r="A755" s="328"/>
      <c r="B755" s="328"/>
      <c r="C755" s="354"/>
      <c r="D755" s="328"/>
      <c r="E755" s="328"/>
      <c r="F755" s="354"/>
      <c r="G755" s="354"/>
      <c r="H755" s="354"/>
      <c r="I755" s="354"/>
      <c r="J755" s="354"/>
      <c r="K755" s="354"/>
      <c r="L755" s="331"/>
    </row>
    <row r="756" ht="15.75" customHeight="1">
      <c r="A756" s="328"/>
      <c r="B756" s="328"/>
      <c r="C756" s="354"/>
      <c r="D756" s="328"/>
      <c r="E756" s="328"/>
      <c r="F756" s="354"/>
      <c r="G756" s="354"/>
      <c r="H756" s="354"/>
      <c r="I756" s="354"/>
      <c r="J756" s="354"/>
      <c r="K756" s="354"/>
      <c r="L756" s="331"/>
    </row>
    <row r="757" ht="15.75" customHeight="1">
      <c r="A757" s="328"/>
      <c r="B757" s="328"/>
      <c r="C757" s="354"/>
      <c r="D757" s="328"/>
      <c r="E757" s="328"/>
      <c r="F757" s="354"/>
      <c r="G757" s="354"/>
      <c r="H757" s="354"/>
      <c r="I757" s="354"/>
      <c r="J757" s="354"/>
      <c r="K757" s="354"/>
      <c r="L757" s="331"/>
    </row>
    <row r="758" ht="15.75" customHeight="1">
      <c r="A758" s="328"/>
      <c r="B758" s="328"/>
      <c r="C758" s="354"/>
      <c r="D758" s="328"/>
      <c r="E758" s="328"/>
      <c r="F758" s="354"/>
      <c r="G758" s="354"/>
      <c r="H758" s="354"/>
      <c r="I758" s="354"/>
      <c r="J758" s="354"/>
      <c r="K758" s="354"/>
      <c r="L758" s="331"/>
    </row>
    <row r="759" ht="15.75" customHeight="1">
      <c r="A759" s="328"/>
      <c r="B759" s="328"/>
      <c r="C759" s="354"/>
      <c r="D759" s="328"/>
      <c r="E759" s="328"/>
      <c r="F759" s="354"/>
      <c r="G759" s="354"/>
      <c r="H759" s="354"/>
      <c r="I759" s="354"/>
      <c r="J759" s="354"/>
      <c r="K759" s="354"/>
      <c r="L759" s="331"/>
    </row>
    <row r="760" ht="15.75" customHeight="1">
      <c r="A760" s="328"/>
      <c r="B760" s="328"/>
      <c r="C760" s="354"/>
      <c r="D760" s="328"/>
      <c r="E760" s="328"/>
      <c r="F760" s="354"/>
      <c r="G760" s="354"/>
      <c r="H760" s="354"/>
      <c r="I760" s="354"/>
      <c r="J760" s="354"/>
      <c r="K760" s="354"/>
      <c r="L760" s="331"/>
    </row>
    <row r="761" ht="15.75" customHeight="1">
      <c r="A761" s="328"/>
      <c r="B761" s="328"/>
      <c r="C761" s="354"/>
      <c r="D761" s="328"/>
      <c r="E761" s="328"/>
      <c r="F761" s="354"/>
      <c r="G761" s="354"/>
      <c r="H761" s="354"/>
      <c r="I761" s="354"/>
      <c r="J761" s="354"/>
      <c r="K761" s="354"/>
      <c r="L761" s="331"/>
    </row>
    <row r="762" ht="15.75" customHeight="1">
      <c r="A762" s="328"/>
      <c r="B762" s="328"/>
      <c r="C762" s="354"/>
      <c r="D762" s="328"/>
      <c r="E762" s="328"/>
      <c r="F762" s="354"/>
      <c r="G762" s="354"/>
      <c r="H762" s="354"/>
      <c r="I762" s="354"/>
      <c r="J762" s="354"/>
      <c r="K762" s="354"/>
      <c r="L762" s="331"/>
    </row>
    <row r="763" ht="15.75" customHeight="1">
      <c r="A763" s="328"/>
      <c r="B763" s="328"/>
      <c r="C763" s="354"/>
      <c r="D763" s="328"/>
      <c r="E763" s="328"/>
      <c r="F763" s="354"/>
      <c r="G763" s="354"/>
      <c r="H763" s="354"/>
      <c r="I763" s="354"/>
      <c r="J763" s="354"/>
      <c r="K763" s="354"/>
      <c r="L763" s="331"/>
    </row>
    <row r="764" ht="15.75" customHeight="1">
      <c r="A764" s="328"/>
      <c r="B764" s="328"/>
      <c r="C764" s="354"/>
      <c r="D764" s="328"/>
      <c r="E764" s="328"/>
      <c r="F764" s="354"/>
      <c r="G764" s="354"/>
      <c r="H764" s="354"/>
      <c r="I764" s="354"/>
      <c r="J764" s="354"/>
      <c r="K764" s="354"/>
      <c r="L764" s="331"/>
    </row>
    <row r="765" ht="15.75" customHeight="1">
      <c r="A765" s="328"/>
      <c r="B765" s="328"/>
      <c r="C765" s="354"/>
      <c r="D765" s="328"/>
      <c r="E765" s="328"/>
      <c r="F765" s="354"/>
      <c r="G765" s="354"/>
      <c r="H765" s="354"/>
      <c r="I765" s="354"/>
      <c r="J765" s="354"/>
      <c r="K765" s="354"/>
      <c r="L765" s="331"/>
    </row>
    <row r="766" ht="15.75" customHeight="1">
      <c r="A766" s="328"/>
      <c r="B766" s="328"/>
      <c r="C766" s="354"/>
      <c r="D766" s="328"/>
      <c r="E766" s="328"/>
      <c r="F766" s="354"/>
      <c r="G766" s="354"/>
      <c r="H766" s="354"/>
      <c r="I766" s="354"/>
      <c r="J766" s="354"/>
      <c r="K766" s="354"/>
      <c r="L766" s="331"/>
    </row>
    <row r="767" ht="15.75" customHeight="1">
      <c r="A767" s="328"/>
      <c r="B767" s="328"/>
      <c r="C767" s="354"/>
      <c r="D767" s="328"/>
      <c r="E767" s="328"/>
      <c r="F767" s="354"/>
      <c r="G767" s="354"/>
      <c r="H767" s="354"/>
      <c r="I767" s="354"/>
      <c r="J767" s="354"/>
      <c r="K767" s="354"/>
      <c r="L767" s="331"/>
    </row>
    <row r="768" ht="15.75" customHeight="1">
      <c r="A768" s="328"/>
      <c r="B768" s="328"/>
      <c r="C768" s="354"/>
      <c r="D768" s="328"/>
      <c r="E768" s="328"/>
      <c r="F768" s="354"/>
      <c r="G768" s="354"/>
      <c r="H768" s="354"/>
      <c r="I768" s="354"/>
      <c r="J768" s="354"/>
      <c r="K768" s="354"/>
      <c r="L768" s="331"/>
    </row>
    <row r="769" ht="15.75" customHeight="1">
      <c r="A769" s="328"/>
      <c r="B769" s="328"/>
      <c r="C769" s="354"/>
      <c r="D769" s="328"/>
      <c r="E769" s="328"/>
      <c r="F769" s="354"/>
      <c r="G769" s="354"/>
      <c r="H769" s="354"/>
      <c r="I769" s="354"/>
      <c r="J769" s="354"/>
      <c r="K769" s="354"/>
      <c r="L769" s="331"/>
    </row>
    <row r="770" ht="15.75" customHeight="1">
      <c r="A770" s="328"/>
      <c r="B770" s="328"/>
      <c r="C770" s="354"/>
      <c r="D770" s="328"/>
      <c r="E770" s="328"/>
      <c r="F770" s="354"/>
      <c r="G770" s="354"/>
      <c r="H770" s="354"/>
      <c r="I770" s="354"/>
      <c r="J770" s="354"/>
      <c r="K770" s="354"/>
      <c r="L770" s="331"/>
    </row>
    <row r="771" ht="15.75" customHeight="1">
      <c r="A771" s="328"/>
      <c r="B771" s="328"/>
      <c r="C771" s="354"/>
      <c r="D771" s="328"/>
      <c r="E771" s="328"/>
      <c r="F771" s="354"/>
      <c r="G771" s="354"/>
      <c r="H771" s="354"/>
      <c r="I771" s="354"/>
      <c r="J771" s="354"/>
      <c r="K771" s="354"/>
      <c r="L771" s="331"/>
    </row>
    <row r="772" ht="15.75" customHeight="1">
      <c r="A772" s="328"/>
      <c r="B772" s="328"/>
      <c r="C772" s="354"/>
      <c r="D772" s="328"/>
      <c r="E772" s="328"/>
      <c r="F772" s="354"/>
      <c r="G772" s="354"/>
      <c r="H772" s="354"/>
      <c r="I772" s="354"/>
      <c r="J772" s="354"/>
      <c r="K772" s="354"/>
      <c r="L772" s="331"/>
    </row>
    <row r="773" ht="15.75" customHeight="1">
      <c r="A773" s="328"/>
      <c r="B773" s="328"/>
      <c r="C773" s="354"/>
      <c r="D773" s="328"/>
      <c r="E773" s="328"/>
      <c r="F773" s="354"/>
      <c r="G773" s="354"/>
      <c r="H773" s="354"/>
      <c r="I773" s="354"/>
      <c r="J773" s="354"/>
      <c r="K773" s="354"/>
      <c r="L773" s="331"/>
    </row>
    <row r="774" ht="15.75" customHeight="1">
      <c r="A774" s="328"/>
      <c r="B774" s="328"/>
      <c r="C774" s="354"/>
      <c r="D774" s="328"/>
      <c r="E774" s="328"/>
      <c r="F774" s="354"/>
      <c r="G774" s="354"/>
      <c r="H774" s="354"/>
      <c r="I774" s="354"/>
      <c r="J774" s="354"/>
      <c r="K774" s="354"/>
      <c r="L774" s="331"/>
    </row>
    <row r="775" ht="15.75" customHeight="1">
      <c r="A775" s="328"/>
      <c r="B775" s="328"/>
      <c r="C775" s="354"/>
      <c r="D775" s="328"/>
      <c r="E775" s="328"/>
      <c r="F775" s="354"/>
      <c r="G775" s="354"/>
      <c r="H775" s="354"/>
      <c r="I775" s="354"/>
      <c r="J775" s="354"/>
      <c r="K775" s="354"/>
      <c r="L775" s="331"/>
    </row>
    <row r="776" ht="15.75" customHeight="1">
      <c r="A776" s="328"/>
      <c r="B776" s="328"/>
      <c r="C776" s="354"/>
      <c r="D776" s="328"/>
      <c r="E776" s="328"/>
      <c r="F776" s="354"/>
      <c r="G776" s="354"/>
      <c r="H776" s="354"/>
      <c r="I776" s="354"/>
      <c r="J776" s="354"/>
      <c r="K776" s="354"/>
      <c r="L776" s="331"/>
    </row>
    <row r="777" ht="15.75" customHeight="1">
      <c r="A777" s="328"/>
      <c r="B777" s="328"/>
      <c r="C777" s="354"/>
      <c r="D777" s="328"/>
      <c r="E777" s="328"/>
      <c r="F777" s="354"/>
      <c r="G777" s="354"/>
      <c r="H777" s="354"/>
      <c r="I777" s="354"/>
      <c r="J777" s="354"/>
      <c r="K777" s="354"/>
      <c r="L777" s="331"/>
    </row>
    <row r="778" ht="15.75" customHeight="1">
      <c r="A778" s="328"/>
      <c r="B778" s="328"/>
      <c r="C778" s="354"/>
      <c r="D778" s="328"/>
      <c r="E778" s="328"/>
      <c r="F778" s="354"/>
      <c r="G778" s="354"/>
      <c r="H778" s="354"/>
      <c r="I778" s="354"/>
      <c r="J778" s="354"/>
      <c r="K778" s="354"/>
      <c r="L778" s="331"/>
    </row>
    <row r="779" ht="15.75" customHeight="1">
      <c r="A779" s="328"/>
      <c r="B779" s="328"/>
      <c r="C779" s="354"/>
      <c r="D779" s="328"/>
      <c r="E779" s="328"/>
      <c r="F779" s="354"/>
      <c r="G779" s="354"/>
      <c r="H779" s="354"/>
      <c r="I779" s="354"/>
      <c r="J779" s="354"/>
      <c r="K779" s="354"/>
      <c r="L779" s="331"/>
    </row>
    <row r="780" ht="15.75" customHeight="1">
      <c r="A780" s="328"/>
      <c r="B780" s="328"/>
      <c r="C780" s="354"/>
      <c r="D780" s="328"/>
      <c r="E780" s="328"/>
      <c r="F780" s="354"/>
      <c r="G780" s="354"/>
      <c r="H780" s="354"/>
      <c r="I780" s="354"/>
      <c r="J780" s="354"/>
      <c r="K780" s="354"/>
      <c r="L780" s="331"/>
    </row>
    <row r="781" ht="15.75" customHeight="1">
      <c r="A781" s="328"/>
      <c r="B781" s="328"/>
      <c r="C781" s="354"/>
      <c r="D781" s="328"/>
      <c r="E781" s="328"/>
      <c r="F781" s="354"/>
      <c r="G781" s="354"/>
      <c r="H781" s="354"/>
      <c r="I781" s="354"/>
      <c r="J781" s="354"/>
      <c r="K781" s="354"/>
      <c r="L781" s="331"/>
    </row>
    <row r="782" ht="15.75" customHeight="1">
      <c r="A782" s="328"/>
      <c r="B782" s="328"/>
      <c r="C782" s="354"/>
      <c r="D782" s="328"/>
      <c r="E782" s="328"/>
      <c r="F782" s="354"/>
      <c r="G782" s="354"/>
      <c r="H782" s="354"/>
      <c r="I782" s="354"/>
      <c r="J782" s="354"/>
      <c r="K782" s="354"/>
      <c r="L782" s="331"/>
    </row>
    <row r="783" ht="15.75" customHeight="1">
      <c r="A783" s="328"/>
      <c r="B783" s="328"/>
      <c r="C783" s="354"/>
      <c r="D783" s="328"/>
      <c r="E783" s="328"/>
      <c r="F783" s="354"/>
      <c r="G783" s="354"/>
      <c r="H783" s="354"/>
      <c r="I783" s="354"/>
      <c r="J783" s="354"/>
      <c r="K783" s="354"/>
      <c r="L783" s="331"/>
    </row>
    <row r="784" ht="15.75" customHeight="1">
      <c r="A784" s="328"/>
      <c r="B784" s="328"/>
      <c r="C784" s="354"/>
      <c r="D784" s="328"/>
      <c r="E784" s="328"/>
      <c r="F784" s="354"/>
      <c r="G784" s="354"/>
      <c r="H784" s="354"/>
      <c r="I784" s="354"/>
      <c r="J784" s="354"/>
      <c r="K784" s="354"/>
      <c r="L784" s="331"/>
    </row>
    <row r="785" ht="15.75" customHeight="1">
      <c r="A785" s="328"/>
      <c r="B785" s="328"/>
      <c r="C785" s="354"/>
      <c r="D785" s="328"/>
      <c r="E785" s="328"/>
      <c r="F785" s="354"/>
      <c r="G785" s="354"/>
      <c r="H785" s="354"/>
      <c r="I785" s="354"/>
      <c r="J785" s="354"/>
      <c r="K785" s="354"/>
      <c r="L785" s="331"/>
    </row>
    <row r="786" ht="15.75" customHeight="1">
      <c r="A786" s="328"/>
      <c r="B786" s="328"/>
      <c r="C786" s="354"/>
      <c r="D786" s="328"/>
      <c r="E786" s="328"/>
      <c r="F786" s="354"/>
      <c r="G786" s="354"/>
      <c r="H786" s="354"/>
      <c r="I786" s="354"/>
      <c r="J786" s="354"/>
      <c r="K786" s="354"/>
      <c r="L786" s="331"/>
    </row>
    <row r="787" ht="15.75" customHeight="1">
      <c r="A787" s="328"/>
      <c r="B787" s="328"/>
      <c r="C787" s="354"/>
      <c r="D787" s="328"/>
      <c r="E787" s="328"/>
      <c r="F787" s="354"/>
      <c r="G787" s="354"/>
      <c r="H787" s="354"/>
      <c r="I787" s="354"/>
      <c r="J787" s="354"/>
      <c r="K787" s="354"/>
      <c r="L787" s="331"/>
    </row>
    <row r="788" ht="15.75" customHeight="1">
      <c r="A788" s="328"/>
      <c r="B788" s="328"/>
      <c r="C788" s="354"/>
      <c r="D788" s="328"/>
      <c r="E788" s="328"/>
      <c r="F788" s="354"/>
      <c r="G788" s="354"/>
      <c r="H788" s="354"/>
      <c r="I788" s="354"/>
      <c r="J788" s="354"/>
      <c r="K788" s="354"/>
      <c r="L788" s="331"/>
    </row>
    <row r="789" ht="15.75" customHeight="1">
      <c r="A789" s="328"/>
      <c r="B789" s="328"/>
      <c r="C789" s="354"/>
      <c r="D789" s="328"/>
      <c r="E789" s="328"/>
      <c r="F789" s="354"/>
      <c r="G789" s="354"/>
      <c r="H789" s="354"/>
      <c r="I789" s="354"/>
      <c r="J789" s="354"/>
      <c r="K789" s="354"/>
      <c r="L789" s="331"/>
    </row>
    <row r="790" ht="15.75" customHeight="1">
      <c r="A790" s="328"/>
      <c r="B790" s="328"/>
      <c r="C790" s="354"/>
      <c r="D790" s="328"/>
      <c r="E790" s="328"/>
      <c r="F790" s="354"/>
      <c r="G790" s="354"/>
      <c r="H790" s="354"/>
      <c r="I790" s="354"/>
      <c r="J790" s="354"/>
      <c r="K790" s="354"/>
      <c r="L790" s="331"/>
    </row>
    <row r="791" ht="15.75" customHeight="1">
      <c r="A791" s="328"/>
      <c r="B791" s="328"/>
      <c r="C791" s="354"/>
      <c r="D791" s="328"/>
      <c r="E791" s="328"/>
      <c r="F791" s="354"/>
      <c r="G791" s="354"/>
      <c r="H791" s="354"/>
      <c r="I791" s="354"/>
      <c r="J791" s="354"/>
      <c r="K791" s="354"/>
      <c r="L791" s="331"/>
    </row>
    <row r="792" ht="15.75" customHeight="1">
      <c r="A792" s="328"/>
      <c r="B792" s="328"/>
      <c r="C792" s="354"/>
      <c r="D792" s="328"/>
      <c r="E792" s="328"/>
      <c r="F792" s="354"/>
      <c r="G792" s="354"/>
      <c r="H792" s="354"/>
      <c r="I792" s="354"/>
      <c r="J792" s="354"/>
      <c r="K792" s="354"/>
      <c r="L792" s="331"/>
    </row>
    <row r="793" ht="15.75" customHeight="1">
      <c r="A793" s="328"/>
      <c r="B793" s="328"/>
      <c r="C793" s="354"/>
      <c r="D793" s="328"/>
      <c r="E793" s="328"/>
      <c r="F793" s="354"/>
      <c r="G793" s="354"/>
      <c r="H793" s="354"/>
      <c r="I793" s="354"/>
      <c r="J793" s="354"/>
      <c r="K793" s="354"/>
      <c r="L793" s="331"/>
    </row>
    <row r="794" ht="15.75" customHeight="1">
      <c r="A794" s="328"/>
      <c r="B794" s="328"/>
      <c r="C794" s="354"/>
      <c r="D794" s="328"/>
      <c r="E794" s="328"/>
      <c r="F794" s="354"/>
      <c r="G794" s="354"/>
      <c r="H794" s="354"/>
      <c r="I794" s="354"/>
      <c r="J794" s="354"/>
      <c r="K794" s="354"/>
      <c r="L794" s="331"/>
    </row>
    <row r="795" ht="15.75" customHeight="1">
      <c r="A795" s="328"/>
      <c r="B795" s="328"/>
      <c r="C795" s="354"/>
      <c r="D795" s="328"/>
      <c r="E795" s="328"/>
      <c r="F795" s="354"/>
      <c r="G795" s="354"/>
      <c r="H795" s="354"/>
      <c r="I795" s="354"/>
      <c r="J795" s="354"/>
      <c r="K795" s="354"/>
      <c r="L795" s="331"/>
    </row>
    <row r="796" ht="15.75" customHeight="1">
      <c r="A796" s="328"/>
      <c r="B796" s="328"/>
      <c r="C796" s="354"/>
      <c r="D796" s="328"/>
      <c r="E796" s="328"/>
      <c r="F796" s="354"/>
      <c r="G796" s="354"/>
      <c r="H796" s="354"/>
      <c r="I796" s="354"/>
      <c r="J796" s="354"/>
      <c r="K796" s="354"/>
      <c r="L796" s="331"/>
    </row>
    <row r="797" ht="15.75" customHeight="1">
      <c r="A797" s="328"/>
      <c r="B797" s="328"/>
      <c r="C797" s="354"/>
      <c r="D797" s="328"/>
      <c r="E797" s="328"/>
      <c r="F797" s="354"/>
      <c r="G797" s="354"/>
      <c r="H797" s="354"/>
      <c r="I797" s="354"/>
      <c r="J797" s="354"/>
      <c r="K797" s="354"/>
      <c r="L797" s="331"/>
    </row>
    <row r="798" ht="15.75" customHeight="1">
      <c r="A798" s="328"/>
      <c r="B798" s="328"/>
      <c r="C798" s="354"/>
      <c r="D798" s="328"/>
      <c r="E798" s="328"/>
      <c r="F798" s="354"/>
      <c r="G798" s="354"/>
      <c r="H798" s="354"/>
      <c r="I798" s="354"/>
      <c r="J798" s="354"/>
      <c r="K798" s="354"/>
      <c r="L798" s="331"/>
    </row>
    <row r="799" ht="15.75" customHeight="1">
      <c r="A799" s="328"/>
      <c r="B799" s="328"/>
      <c r="C799" s="354"/>
      <c r="D799" s="328"/>
      <c r="E799" s="328"/>
      <c r="F799" s="354"/>
      <c r="G799" s="354"/>
      <c r="H799" s="354"/>
      <c r="I799" s="354"/>
      <c r="J799" s="354"/>
      <c r="K799" s="354"/>
      <c r="L799" s="331"/>
    </row>
    <row r="800" ht="15.75" customHeight="1">
      <c r="A800" s="328"/>
      <c r="B800" s="328"/>
      <c r="C800" s="354"/>
      <c r="D800" s="328"/>
      <c r="E800" s="328"/>
      <c r="F800" s="354"/>
      <c r="G800" s="354"/>
      <c r="H800" s="354"/>
      <c r="I800" s="354"/>
      <c r="J800" s="354"/>
      <c r="K800" s="354"/>
      <c r="L800" s="331"/>
    </row>
    <row r="801" ht="15.75" customHeight="1">
      <c r="A801" s="328"/>
      <c r="B801" s="328"/>
      <c r="C801" s="354"/>
      <c r="D801" s="328"/>
      <c r="E801" s="328"/>
      <c r="F801" s="354"/>
      <c r="G801" s="354"/>
      <c r="H801" s="354"/>
      <c r="I801" s="354"/>
      <c r="J801" s="354"/>
      <c r="K801" s="354"/>
      <c r="L801" s="331"/>
    </row>
    <row r="802" ht="15.75" customHeight="1">
      <c r="A802" s="328"/>
      <c r="B802" s="328"/>
      <c r="C802" s="354"/>
      <c r="D802" s="328"/>
      <c r="E802" s="328"/>
      <c r="F802" s="354"/>
      <c r="G802" s="354"/>
      <c r="H802" s="354"/>
      <c r="I802" s="354"/>
      <c r="J802" s="354"/>
      <c r="K802" s="354"/>
      <c r="L802" s="331"/>
    </row>
    <row r="803" ht="15.75" customHeight="1">
      <c r="A803" s="328"/>
      <c r="B803" s="328"/>
      <c r="C803" s="354"/>
      <c r="D803" s="328"/>
      <c r="E803" s="328"/>
      <c r="F803" s="354"/>
      <c r="G803" s="354"/>
      <c r="H803" s="354"/>
      <c r="I803" s="354"/>
      <c r="J803" s="354"/>
      <c r="K803" s="354"/>
      <c r="L803" s="331"/>
    </row>
    <row r="804" ht="15.75" customHeight="1">
      <c r="A804" s="328"/>
      <c r="B804" s="328"/>
      <c r="C804" s="354"/>
      <c r="D804" s="328"/>
      <c r="E804" s="328"/>
      <c r="F804" s="354"/>
      <c r="G804" s="354"/>
      <c r="H804" s="354"/>
      <c r="I804" s="354"/>
      <c r="J804" s="354"/>
      <c r="K804" s="354"/>
      <c r="L804" s="331"/>
    </row>
    <row r="805" ht="15.75" customHeight="1">
      <c r="A805" s="328"/>
      <c r="B805" s="328"/>
      <c r="C805" s="354"/>
      <c r="D805" s="328"/>
      <c r="E805" s="328"/>
      <c r="F805" s="354"/>
      <c r="G805" s="354"/>
      <c r="H805" s="354"/>
      <c r="I805" s="354"/>
      <c r="J805" s="354"/>
      <c r="K805" s="354"/>
      <c r="L805" s="331"/>
    </row>
    <row r="806" ht="15.75" customHeight="1">
      <c r="A806" s="328"/>
      <c r="B806" s="328"/>
      <c r="C806" s="354"/>
      <c r="D806" s="328"/>
      <c r="E806" s="328"/>
      <c r="F806" s="354"/>
      <c r="G806" s="354"/>
      <c r="H806" s="354"/>
      <c r="I806" s="354"/>
      <c r="J806" s="354"/>
      <c r="K806" s="354"/>
      <c r="L806" s="331"/>
    </row>
    <row r="807" ht="15.75" customHeight="1">
      <c r="A807" s="328"/>
      <c r="B807" s="328"/>
      <c r="C807" s="354"/>
      <c r="D807" s="328"/>
      <c r="E807" s="328"/>
      <c r="F807" s="354"/>
      <c r="G807" s="354"/>
      <c r="H807" s="354"/>
      <c r="I807" s="354"/>
      <c r="J807" s="354"/>
      <c r="K807" s="354"/>
      <c r="L807" s="331"/>
    </row>
    <row r="808" ht="15.75" customHeight="1">
      <c r="A808" s="328"/>
      <c r="B808" s="328"/>
      <c r="C808" s="354"/>
      <c r="D808" s="328"/>
      <c r="E808" s="328"/>
      <c r="F808" s="354"/>
      <c r="G808" s="354"/>
      <c r="H808" s="354"/>
      <c r="I808" s="354"/>
      <c r="J808" s="354"/>
      <c r="K808" s="354"/>
      <c r="L808" s="331"/>
    </row>
    <row r="809" ht="15.75" customHeight="1">
      <c r="A809" s="328"/>
      <c r="B809" s="328"/>
      <c r="C809" s="354"/>
      <c r="D809" s="328"/>
      <c r="E809" s="328"/>
      <c r="F809" s="354"/>
      <c r="G809" s="354"/>
      <c r="H809" s="354"/>
      <c r="I809" s="354"/>
      <c r="J809" s="354"/>
      <c r="K809" s="354"/>
      <c r="L809" s="331"/>
    </row>
    <row r="810" ht="15.75" customHeight="1">
      <c r="A810" s="328"/>
      <c r="B810" s="328"/>
      <c r="C810" s="354"/>
      <c r="D810" s="328"/>
      <c r="E810" s="328"/>
      <c r="F810" s="354"/>
      <c r="G810" s="354"/>
      <c r="H810" s="354"/>
      <c r="I810" s="354"/>
      <c r="J810" s="354"/>
      <c r="K810" s="354"/>
      <c r="L810" s="331"/>
    </row>
    <row r="811" ht="15.75" customHeight="1">
      <c r="A811" s="328"/>
      <c r="B811" s="328"/>
      <c r="C811" s="354"/>
      <c r="D811" s="328"/>
      <c r="E811" s="328"/>
      <c r="F811" s="354"/>
      <c r="G811" s="354"/>
      <c r="H811" s="354"/>
      <c r="I811" s="354"/>
      <c r="J811" s="354"/>
      <c r="K811" s="354"/>
      <c r="L811" s="331"/>
    </row>
    <row r="812" ht="15.75" customHeight="1">
      <c r="A812" s="328"/>
      <c r="B812" s="328"/>
      <c r="C812" s="354"/>
      <c r="D812" s="328"/>
      <c r="E812" s="328"/>
      <c r="F812" s="354"/>
      <c r="G812" s="354"/>
      <c r="H812" s="354"/>
      <c r="I812" s="354"/>
      <c r="J812" s="354"/>
      <c r="K812" s="354"/>
      <c r="L812" s="331"/>
    </row>
    <row r="813" ht="15.75" customHeight="1">
      <c r="A813" s="328"/>
      <c r="B813" s="328"/>
      <c r="C813" s="354"/>
      <c r="D813" s="328"/>
      <c r="E813" s="328"/>
      <c r="F813" s="354"/>
      <c r="G813" s="354"/>
      <c r="H813" s="354"/>
      <c r="I813" s="354"/>
      <c r="J813" s="354"/>
      <c r="K813" s="354"/>
      <c r="L813" s="331"/>
    </row>
    <row r="814" ht="15.75" customHeight="1">
      <c r="A814" s="328"/>
      <c r="B814" s="328"/>
      <c r="C814" s="354"/>
      <c r="D814" s="328"/>
      <c r="E814" s="328"/>
      <c r="F814" s="354"/>
      <c r="G814" s="354"/>
      <c r="H814" s="354"/>
      <c r="I814" s="354"/>
      <c r="J814" s="354"/>
      <c r="K814" s="354"/>
      <c r="L814" s="331"/>
    </row>
    <row r="815" ht="15.75" customHeight="1">
      <c r="A815" s="328"/>
      <c r="B815" s="328"/>
      <c r="C815" s="354"/>
      <c r="D815" s="328"/>
      <c r="E815" s="328"/>
      <c r="F815" s="354"/>
      <c r="G815" s="354"/>
      <c r="H815" s="354"/>
      <c r="I815" s="354"/>
      <c r="J815" s="354"/>
      <c r="K815" s="354"/>
      <c r="L815" s="331"/>
    </row>
    <row r="816" ht="15.75" customHeight="1">
      <c r="A816" s="328"/>
      <c r="B816" s="328"/>
      <c r="C816" s="354"/>
      <c r="D816" s="328"/>
      <c r="E816" s="328"/>
      <c r="F816" s="354"/>
      <c r="G816" s="354"/>
      <c r="H816" s="354"/>
      <c r="I816" s="354"/>
      <c r="J816" s="354"/>
      <c r="K816" s="354"/>
      <c r="L816" s="331"/>
    </row>
    <row r="817" ht="15.75" customHeight="1">
      <c r="A817" s="328"/>
      <c r="B817" s="328"/>
      <c r="C817" s="354"/>
      <c r="D817" s="328"/>
      <c r="E817" s="328"/>
      <c r="F817" s="354"/>
      <c r="G817" s="354"/>
      <c r="H817" s="354"/>
      <c r="I817" s="354"/>
      <c r="J817" s="354"/>
      <c r="K817" s="354"/>
      <c r="L817" s="331"/>
    </row>
    <row r="818" ht="15.75" customHeight="1">
      <c r="A818" s="328"/>
      <c r="B818" s="328"/>
      <c r="C818" s="354"/>
      <c r="D818" s="328"/>
      <c r="E818" s="328"/>
      <c r="F818" s="354"/>
      <c r="G818" s="354"/>
      <c r="H818" s="354"/>
      <c r="I818" s="354"/>
      <c r="J818" s="354"/>
      <c r="K818" s="354"/>
      <c r="L818" s="331"/>
    </row>
    <row r="819" ht="15.75" customHeight="1">
      <c r="A819" s="328"/>
      <c r="B819" s="328"/>
      <c r="C819" s="354"/>
      <c r="D819" s="328"/>
      <c r="E819" s="328"/>
      <c r="F819" s="354"/>
      <c r="G819" s="354"/>
      <c r="H819" s="354"/>
      <c r="I819" s="354"/>
      <c r="J819" s="354"/>
      <c r="K819" s="354"/>
      <c r="L819" s="331"/>
    </row>
    <row r="820" ht="15.75" customHeight="1">
      <c r="A820" s="328"/>
      <c r="B820" s="328"/>
      <c r="C820" s="354"/>
      <c r="D820" s="328"/>
      <c r="E820" s="328"/>
      <c r="F820" s="354"/>
      <c r="G820" s="354"/>
      <c r="H820" s="354"/>
      <c r="I820" s="354"/>
      <c r="J820" s="354"/>
      <c r="K820" s="354"/>
      <c r="L820" s="331"/>
    </row>
    <row r="821" ht="15.75" customHeight="1">
      <c r="A821" s="328"/>
      <c r="B821" s="328"/>
      <c r="C821" s="354"/>
      <c r="D821" s="328"/>
      <c r="E821" s="328"/>
      <c r="F821" s="354"/>
      <c r="G821" s="354"/>
      <c r="H821" s="354"/>
      <c r="I821" s="354"/>
      <c r="J821" s="354"/>
      <c r="K821" s="354"/>
      <c r="L821" s="331"/>
    </row>
    <row r="822" ht="15.75" customHeight="1">
      <c r="A822" s="328"/>
      <c r="B822" s="328"/>
      <c r="C822" s="354"/>
      <c r="D822" s="328"/>
      <c r="E822" s="328"/>
      <c r="F822" s="354"/>
      <c r="G822" s="354"/>
      <c r="H822" s="354"/>
      <c r="I822" s="354"/>
      <c r="J822" s="354"/>
      <c r="K822" s="354"/>
      <c r="L822" s="331"/>
    </row>
    <row r="823" ht="15.75" customHeight="1">
      <c r="A823" s="328"/>
      <c r="B823" s="328"/>
      <c r="C823" s="354"/>
      <c r="D823" s="328"/>
      <c r="E823" s="328"/>
      <c r="F823" s="354"/>
      <c r="G823" s="354"/>
      <c r="H823" s="354"/>
      <c r="I823" s="354"/>
      <c r="J823" s="354"/>
      <c r="K823" s="354"/>
      <c r="L823" s="331"/>
    </row>
    <row r="824" ht="15.75" customHeight="1">
      <c r="A824" s="328"/>
      <c r="B824" s="328"/>
      <c r="C824" s="354"/>
      <c r="D824" s="328"/>
      <c r="E824" s="328"/>
      <c r="F824" s="354"/>
      <c r="G824" s="354"/>
      <c r="H824" s="354"/>
      <c r="I824" s="354"/>
      <c r="J824" s="354"/>
      <c r="K824" s="354"/>
      <c r="L824" s="331"/>
    </row>
    <row r="825" ht="15.75" customHeight="1">
      <c r="A825" s="328"/>
      <c r="B825" s="328"/>
      <c r="C825" s="354"/>
      <c r="D825" s="328"/>
      <c r="E825" s="328"/>
      <c r="F825" s="354"/>
      <c r="G825" s="354"/>
      <c r="H825" s="354"/>
      <c r="I825" s="354"/>
      <c r="J825" s="354"/>
      <c r="K825" s="354"/>
      <c r="L825" s="331"/>
    </row>
    <row r="826" ht="15.75" customHeight="1">
      <c r="A826" s="328"/>
      <c r="B826" s="328"/>
      <c r="C826" s="354"/>
      <c r="D826" s="328"/>
      <c r="E826" s="328"/>
      <c r="F826" s="354"/>
      <c r="G826" s="354"/>
      <c r="H826" s="354"/>
      <c r="I826" s="354"/>
      <c r="J826" s="354"/>
      <c r="K826" s="354"/>
      <c r="L826" s="331"/>
    </row>
    <row r="827" ht="15.75" customHeight="1">
      <c r="A827" s="328"/>
      <c r="B827" s="328"/>
      <c r="C827" s="354"/>
      <c r="D827" s="328"/>
      <c r="E827" s="328"/>
      <c r="F827" s="354"/>
      <c r="G827" s="354"/>
      <c r="H827" s="354"/>
      <c r="I827" s="354"/>
      <c r="J827" s="354"/>
      <c r="K827" s="354"/>
      <c r="L827" s="331"/>
    </row>
    <row r="828" ht="15.75" customHeight="1">
      <c r="A828" s="328"/>
      <c r="B828" s="328"/>
      <c r="C828" s="354"/>
      <c r="D828" s="328"/>
      <c r="E828" s="328"/>
      <c r="F828" s="354"/>
      <c r="G828" s="354"/>
      <c r="H828" s="354"/>
      <c r="I828" s="354"/>
      <c r="J828" s="354"/>
      <c r="K828" s="354"/>
      <c r="L828" s="331"/>
    </row>
    <row r="829" ht="15.75" customHeight="1">
      <c r="A829" s="328"/>
      <c r="B829" s="328"/>
      <c r="C829" s="354"/>
      <c r="D829" s="328"/>
      <c r="E829" s="328"/>
      <c r="F829" s="354"/>
      <c r="G829" s="354"/>
      <c r="H829" s="354"/>
      <c r="I829" s="354"/>
      <c r="J829" s="354"/>
      <c r="K829" s="354"/>
      <c r="L829" s="331"/>
    </row>
    <row r="830" ht="15.75" customHeight="1">
      <c r="A830" s="328"/>
      <c r="B830" s="328"/>
      <c r="C830" s="354"/>
      <c r="D830" s="328"/>
      <c r="E830" s="328"/>
      <c r="F830" s="354"/>
      <c r="G830" s="354"/>
      <c r="H830" s="354"/>
      <c r="I830" s="354"/>
      <c r="J830" s="354"/>
      <c r="K830" s="354"/>
      <c r="L830" s="331"/>
    </row>
    <row r="831" ht="15.75" customHeight="1">
      <c r="A831" s="328"/>
      <c r="B831" s="328"/>
      <c r="C831" s="354"/>
      <c r="D831" s="328"/>
      <c r="E831" s="328"/>
      <c r="F831" s="354"/>
      <c r="G831" s="354"/>
      <c r="H831" s="354"/>
      <c r="I831" s="354"/>
      <c r="J831" s="354"/>
      <c r="K831" s="354"/>
      <c r="L831" s="331"/>
    </row>
    <row r="832" ht="15.75" customHeight="1">
      <c r="A832" s="328"/>
      <c r="B832" s="328"/>
      <c r="C832" s="354"/>
      <c r="D832" s="328"/>
      <c r="E832" s="328"/>
      <c r="F832" s="354"/>
      <c r="G832" s="354"/>
      <c r="H832" s="354"/>
      <c r="I832" s="354"/>
      <c r="J832" s="354"/>
      <c r="K832" s="354"/>
      <c r="L832" s="331"/>
    </row>
    <row r="833" ht="15.75" customHeight="1">
      <c r="A833" s="328"/>
      <c r="B833" s="328"/>
      <c r="C833" s="354"/>
      <c r="D833" s="328"/>
      <c r="E833" s="328"/>
      <c r="F833" s="354"/>
      <c r="G833" s="354"/>
      <c r="H833" s="354"/>
      <c r="I833" s="354"/>
      <c r="J833" s="354"/>
      <c r="K833" s="354"/>
      <c r="L833" s="331"/>
    </row>
    <row r="834" ht="15.75" customHeight="1">
      <c r="A834" s="328"/>
      <c r="B834" s="328"/>
      <c r="C834" s="354"/>
      <c r="D834" s="328"/>
      <c r="E834" s="328"/>
      <c r="F834" s="354"/>
      <c r="G834" s="354"/>
      <c r="H834" s="354"/>
      <c r="I834" s="354"/>
      <c r="J834" s="354"/>
      <c r="K834" s="354"/>
      <c r="L834" s="331"/>
    </row>
    <row r="835" ht="15.75" customHeight="1">
      <c r="A835" s="328"/>
      <c r="B835" s="328"/>
      <c r="C835" s="354"/>
      <c r="D835" s="328"/>
      <c r="E835" s="328"/>
      <c r="F835" s="354"/>
      <c r="G835" s="354"/>
      <c r="H835" s="354"/>
      <c r="I835" s="354"/>
      <c r="J835" s="354"/>
      <c r="K835" s="354"/>
      <c r="L835" s="331"/>
    </row>
    <row r="836" ht="15.75" customHeight="1">
      <c r="A836" s="328"/>
      <c r="B836" s="328"/>
      <c r="C836" s="354"/>
      <c r="D836" s="328"/>
      <c r="E836" s="328"/>
      <c r="F836" s="354"/>
      <c r="G836" s="354"/>
      <c r="H836" s="354"/>
      <c r="I836" s="354"/>
      <c r="J836" s="354"/>
      <c r="K836" s="354"/>
      <c r="L836" s="331"/>
    </row>
    <row r="837" ht="15.75" customHeight="1">
      <c r="A837" s="328"/>
      <c r="B837" s="328"/>
      <c r="C837" s="354"/>
      <c r="D837" s="328"/>
      <c r="E837" s="328"/>
      <c r="F837" s="354"/>
      <c r="G837" s="354"/>
      <c r="H837" s="354"/>
      <c r="I837" s="354"/>
      <c r="J837" s="354"/>
      <c r="K837" s="354"/>
      <c r="L837" s="331"/>
    </row>
    <row r="838" ht="15.75" customHeight="1">
      <c r="A838" s="328"/>
      <c r="B838" s="328"/>
      <c r="C838" s="354"/>
      <c r="D838" s="328"/>
      <c r="E838" s="328"/>
      <c r="F838" s="354"/>
      <c r="G838" s="354"/>
      <c r="H838" s="354"/>
      <c r="I838" s="354"/>
      <c r="J838" s="354"/>
      <c r="K838" s="354"/>
      <c r="L838" s="331"/>
    </row>
    <row r="839" ht="15.75" customHeight="1">
      <c r="A839" s="328"/>
      <c r="B839" s="328"/>
      <c r="C839" s="354"/>
      <c r="D839" s="328"/>
      <c r="E839" s="328"/>
      <c r="F839" s="354"/>
      <c r="G839" s="354"/>
      <c r="H839" s="354"/>
      <c r="I839" s="354"/>
      <c r="J839" s="354"/>
      <c r="K839" s="354"/>
      <c r="L839" s="331"/>
    </row>
    <row r="840" ht="15.75" customHeight="1">
      <c r="A840" s="328"/>
      <c r="B840" s="328"/>
      <c r="C840" s="354"/>
      <c r="D840" s="328"/>
      <c r="E840" s="328"/>
      <c r="F840" s="354"/>
      <c r="G840" s="354"/>
      <c r="H840" s="354"/>
      <c r="I840" s="354"/>
      <c r="J840" s="354"/>
      <c r="K840" s="354"/>
      <c r="L840" s="331"/>
    </row>
    <row r="841" ht="15.75" customHeight="1">
      <c r="A841" s="328"/>
      <c r="B841" s="328"/>
      <c r="C841" s="354"/>
      <c r="D841" s="328"/>
      <c r="E841" s="328"/>
      <c r="F841" s="354"/>
      <c r="G841" s="354"/>
      <c r="H841" s="354"/>
      <c r="I841" s="354"/>
      <c r="J841" s="354"/>
      <c r="K841" s="354"/>
      <c r="L841" s="331"/>
    </row>
    <row r="842" ht="15.75" customHeight="1">
      <c r="A842" s="328"/>
      <c r="B842" s="328"/>
      <c r="C842" s="354"/>
      <c r="D842" s="328"/>
      <c r="E842" s="328"/>
      <c r="F842" s="354"/>
      <c r="G842" s="354"/>
      <c r="H842" s="354"/>
      <c r="I842" s="354"/>
      <c r="J842" s="354"/>
      <c r="K842" s="354"/>
      <c r="L842" s="331"/>
    </row>
    <row r="843" ht="15.75" customHeight="1">
      <c r="A843" s="328"/>
      <c r="B843" s="328"/>
      <c r="C843" s="354"/>
      <c r="D843" s="328"/>
      <c r="E843" s="328"/>
      <c r="F843" s="354"/>
      <c r="G843" s="354"/>
      <c r="H843" s="354"/>
      <c r="I843" s="354"/>
      <c r="J843" s="354"/>
      <c r="K843" s="354"/>
      <c r="L843" s="331"/>
    </row>
    <row r="844" ht="15.75" customHeight="1">
      <c r="A844" s="328"/>
      <c r="B844" s="328"/>
      <c r="C844" s="354"/>
      <c r="D844" s="328"/>
      <c r="E844" s="328"/>
      <c r="F844" s="354"/>
      <c r="G844" s="354"/>
      <c r="H844" s="354"/>
      <c r="I844" s="354"/>
      <c r="J844" s="354"/>
      <c r="K844" s="354"/>
      <c r="L844" s="331"/>
    </row>
    <row r="845" ht="15.75" customHeight="1">
      <c r="A845" s="328"/>
      <c r="B845" s="328"/>
      <c r="C845" s="354"/>
      <c r="D845" s="328"/>
      <c r="E845" s="328"/>
      <c r="F845" s="354"/>
      <c r="G845" s="354"/>
      <c r="H845" s="354"/>
      <c r="I845" s="354"/>
      <c r="J845" s="354"/>
      <c r="K845" s="354"/>
      <c r="L845" s="331"/>
    </row>
    <row r="846" ht="15.75" customHeight="1">
      <c r="A846" s="328"/>
      <c r="B846" s="328"/>
      <c r="C846" s="354"/>
      <c r="D846" s="328"/>
      <c r="E846" s="328"/>
      <c r="F846" s="354"/>
      <c r="G846" s="354"/>
      <c r="H846" s="354"/>
      <c r="I846" s="354"/>
      <c r="J846" s="354"/>
      <c r="K846" s="354"/>
      <c r="L846" s="331"/>
    </row>
    <row r="847" ht="15.75" customHeight="1">
      <c r="A847" s="328"/>
      <c r="B847" s="328"/>
      <c r="C847" s="354"/>
      <c r="D847" s="328"/>
      <c r="E847" s="328"/>
      <c r="F847" s="354"/>
      <c r="G847" s="354"/>
      <c r="H847" s="354"/>
      <c r="I847" s="354"/>
      <c r="J847" s="354"/>
      <c r="K847" s="354"/>
      <c r="L847" s="331"/>
    </row>
    <row r="848" ht="15.75" customHeight="1">
      <c r="A848" s="328"/>
      <c r="B848" s="328"/>
      <c r="C848" s="354"/>
      <c r="D848" s="328"/>
      <c r="E848" s="328"/>
      <c r="F848" s="354"/>
      <c r="G848" s="354"/>
      <c r="H848" s="354"/>
      <c r="I848" s="354"/>
      <c r="J848" s="354"/>
      <c r="K848" s="354"/>
      <c r="L848" s="331"/>
    </row>
    <row r="849" ht="15.75" customHeight="1">
      <c r="A849" s="328"/>
      <c r="B849" s="328"/>
      <c r="C849" s="354"/>
      <c r="D849" s="328"/>
      <c r="E849" s="328"/>
      <c r="F849" s="354"/>
      <c r="G849" s="354"/>
      <c r="H849" s="354"/>
      <c r="I849" s="354"/>
      <c r="J849" s="354"/>
      <c r="K849" s="354"/>
      <c r="L849" s="331"/>
    </row>
    <row r="850" ht="15.75" customHeight="1">
      <c r="A850" s="328"/>
      <c r="B850" s="328"/>
      <c r="C850" s="354"/>
      <c r="D850" s="328"/>
      <c r="E850" s="328"/>
      <c r="F850" s="354"/>
      <c r="G850" s="354"/>
      <c r="H850" s="354"/>
      <c r="I850" s="354"/>
      <c r="J850" s="354"/>
      <c r="K850" s="354"/>
      <c r="L850" s="331"/>
    </row>
    <row r="851" ht="15.75" customHeight="1">
      <c r="A851" s="328"/>
      <c r="B851" s="328"/>
      <c r="C851" s="354"/>
      <c r="D851" s="328"/>
      <c r="E851" s="328"/>
      <c r="F851" s="354"/>
      <c r="G851" s="354"/>
      <c r="H851" s="354"/>
      <c r="I851" s="354"/>
      <c r="J851" s="354"/>
      <c r="K851" s="354"/>
      <c r="L851" s="331"/>
    </row>
    <row r="852" ht="15.75" customHeight="1">
      <c r="A852" s="328"/>
      <c r="B852" s="328"/>
      <c r="C852" s="354"/>
      <c r="D852" s="328"/>
      <c r="E852" s="328"/>
      <c r="F852" s="354"/>
      <c r="G852" s="354"/>
      <c r="H852" s="354"/>
      <c r="I852" s="354"/>
      <c r="J852" s="354"/>
      <c r="K852" s="354"/>
      <c r="L852" s="331"/>
    </row>
    <row r="853" ht="15.75" customHeight="1">
      <c r="A853" s="328"/>
      <c r="B853" s="328"/>
      <c r="C853" s="354"/>
      <c r="D853" s="328"/>
      <c r="E853" s="328"/>
      <c r="F853" s="354"/>
      <c r="G853" s="354"/>
      <c r="H853" s="354"/>
      <c r="I853" s="354"/>
      <c r="J853" s="354"/>
      <c r="K853" s="354"/>
      <c r="L853" s="331"/>
    </row>
    <row r="854" ht="15.75" customHeight="1">
      <c r="A854" s="328"/>
      <c r="B854" s="328"/>
      <c r="C854" s="354"/>
      <c r="D854" s="328"/>
      <c r="E854" s="328"/>
      <c r="F854" s="354"/>
      <c r="G854" s="354"/>
      <c r="H854" s="354"/>
      <c r="I854" s="354"/>
      <c r="J854" s="354"/>
      <c r="K854" s="354"/>
      <c r="L854" s="331"/>
    </row>
    <row r="855" ht="15.75" customHeight="1">
      <c r="A855" s="328"/>
      <c r="B855" s="328"/>
      <c r="C855" s="354"/>
      <c r="D855" s="328"/>
      <c r="E855" s="328"/>
      <c r="F855" s="354"/>
      <c r="G855" s="354"/>
      <c r="H855" s="354"/>
      <c r="I855" s="354"/>
      <c r="J855" s="354"/>
      <c r="K855" s="354"/>
      <c r="L855" s="331"/>
    </row>
    <row r="856" ht="15.75" customHeight="1">
      <c r="A856" s="328"/>
      <c r="B856" s="328"/>
      <c r="C856" s="354"/>
      <c r="D856" s="328"/>
      <c r="E856" s="328"/>
      <c r="F856" s="354"/>
      <c r="G856" s="354"/>
      <c r="H856" s="354"/>
      <c r="I856" s="354"/>
      <c r="J856" s="354"/>
      <c r="K856" s="354"/>
      <c r="L856" s="331"/>
    </row>
    <row r="857" ht="15.75" customHeight="1">
      <c r="A857" s="328"/>
      <c r="B857" s="328"/>
      <c r="C857" s="354"/>
      <c r="D857" s="328"/>
      <c r="E857" s="328"/>
      <c r="F857" s="354"/>
      <c r="G857" s="354"/>
      <c r="H857" s="354"/>
      <c r="I857" s="354"/>
      <c r="J857" s="354"/>
      <c r="K857" s="354"/>
      <c r="L857" s="331"/>
    </row>
    <row r="858" ht="15.75" customHeight="1">
      <c r="A858" s="328"/>
      <c r="B858" s="328"/>
      <c r="C858" s="354"/>
      <c r="D858" s="328"/>
      <c r="E858" s="328"/>
      <c r="F858" s="354"/>
      <c r="G858" s="354"/>
      <c r="H858" s="354"/>
      <c r="I858" s="354"/>
      <c r="J858" s="354"/>
      <c r="K858" s="354"/>
      <c r="L858" s="331"/>
    </row>
    <row r="859" ht="15.75" customHeight="1">
      <c r="A859" s="328"/>
      <c r="B859" s="328"/>
      <c r="C859" s="354"/>
      <c r="D859" s="328"/>
      <c r="E859" s="328"/>
      <c r="F859" s="354"/>
      <c r="G859" s="354"/>
      <c r="H859" s="354"/>
      <c r="I859" s="354"/>
      <c r="J859" s="354"/>
      <c r="K859" s="354"/>
      <c r="L859" s="331"/>
    </row>
    <row r="860" ht="15.75" customHeight="1">
      <c r="A860" s="328"/>
      <c r="B860" s="328"/>
      <c r="C860" s="354"/>
      <c r="D860" s="328"/>
      <c r="E860" s="328"/>
      <c r="F860" s="354"/>
      <c r="G860" s="354"/>
      <c r="H860" s="354"/>
      <c r="I860" s="354"/>
      <c r="J860" s="354"/>
      <c r="K860" s="354"/>
      <c r="L860" s="331"/>
    </row>
    <row r="861" ht="15.75" customHeight="1">
      <c r="A861" s="328"/>
      <c r="B861" s="328"/>
      <c r="C861" s="354"/>
      <c r="D861" s="328"/>
      <c r="E861" s="328"/>
      <c r="F861" s="354"/>
      <c r="G861" s="354"/>
      <c r="H861" s="354"/>
      <c r="I861" s="354"/>
      <c r="J861" s="354"/>
      <c r="K861" s="354"/>
      <c r="L861" s="331"/>
    </row>
    <row r="862" ht="15.75" customHeight="1">
      <c r="A862" s="328"/>
      <c r="B862" s="328"/>
      <c r="C862" s="354"/>
      <c r="D862" s="328"/>
      <c r="E862" s="328"/>
      <c r="F862" s="354"/>
      <c r="G862" s="354"/>
      <c r="H862" s="354"/>
      <c r="I862" s="354"/>
      <c r="J862" s="354"/>
      <c r="K862" s="354"/>
      <c r="L862" s="331"/>
    </row>
    <row r="863" ht="15.75" customHeight="1">
      <c r="A863" s="328"/>
      <c r="B863" s="328"/>
      <c r="C863" s="354"/>
      <c r="D863" s="328"/>
      <c r="E863" s="328"/>
      <c r="F863" s="354"/>
      <c r="G863" s="354"/>
      <c r="H863" s="354"/>
      <c r="I863" s="354"/>
      <c r="J863" s="354"/>
      <c r="K863" s="354"/>
      <c r="L863" s="331"/>
    </row>
    <row r="864" ht="15.75" customHeight="1">
      <c r="A864" s="328"/>
      <c r="B864" s="328"/>
      <c r="C864" s="354"/>
      <c r="D864" s="328"/>
      <c r="E864" s="328"/>
      <c r="F864" s="354"/>
      <c r="G864" s="354"/>
      <c r="H864" s="354"/>
      <c r="I864" s="354"/>
      <c r="J864" s="354"/>
      <c r="K864" s="354"/>
      <c r="L864" s="331"/>
    </row>
    <row r="865" ht="15.75" customHeight="1">
      <c r="A865" s="328"/>
      <c r="B865" s="328"/>
      <c r="C865" s="354"/>
      <c r="D865" s="328"/>
      <c r="E865" s="328"/>
      <c r="F865" s="354"/>
      <c r="G865" s="354"/>
      <c r="H865" s="354"/>
      <c r="I865" s="354"/>
      <c r="J865" s="354"/>
      <c r="K865" s="354"/>
      <c r="L865" s="331"/>
    </row>
    <row r="866" ht="15.75" customHeight="1">
      <c r="A866" s="328"/>
      <c r="B866" s="328"/>
      <c r="C866" s="354"/>
      <c r="D866" s="328"/>
      <c r="E866" s="328"/>
      <c r="F866" s="354"/>
      <c r="G866" s="354"/>
      <c r="H866" s="354"/>
      <c r="I866" s="354"/>
      <c r="J866" s="354"/>
      <c r="K866" s="354"/>
      <c r="L866" s="331"/>
    </row>
    <row r="867" ht="15.75" customHeight="1">
      <c r="A867" s="328"/>
      <c r="B867" s="328"/>
      <c r="C867" s="354"/>
      <c r="D867" s="328"/>
      <c r="E867" s="328"/>
      <c r="F867" s="354"/>
      <c r="G867" s="354"/>
      <c r="H867" s="354"/>
      <c r="I867" s="354"/>
      <c r="J867" s="354"/>
      <c r="K867" s="354"/>
      <c r="L867" s="331"/>
    </row>
    <row r="868" ht="15.75" customHeight="1">
      <c r="A868" s="328"/>
      <c r="B868" s="328"/>
      <c r="C868" s="354"/>
      <c r="D868" s="328"/>
      <c r="E868" s="328"/>
      <c r="F868" s="354"/>
      <c r="G868" s="354"/>
      <c r="H868" s="354"/>
      <c r="I868" s="354"/>
      <c r="J868" s="354"/>
      <c r="K868" s="354"/>
      <c r="L868" s="331"/>
    </row>
    <row r="869" ht="15.75" customHeight="1">
      <c r="A869" s="328"/>
      <c r="B869" s="328"/>
      <c r="C869" s="354"/>
      <c r="D869" s="328"/>
      <c r="E869" s="328"/>
      <c r="F869" s="354"/>
      <c r="G869" s="354"/>
      <c r="H869" s="354"/>
      <c r="I869" s="354"/>
      <c r="J869" s="354"/>
      <c r="K869" s="354"/>
      <c r="L869" s="331"/>
    </row>
    <row r="870" ht="15.75" customHeight="1">
      <c r="A870" s="328"/>
      <c r="B870" s="328"/>
      <c r="C870" s="354"/>
      <c r="D870" s="328"/>
      <c r="E870" s="328"/>
      <c r="F870" s="354"/>
      <c r="G870" s="354"/>
      <c r="H870" s="354"/>
      <c r="I870" s="354"/>
      <c r="J870" s="354"/>
      <c r="K870" s="354"/>
      <c r="L870" s="331"/>
    </row>
    <row r="871" ht="15.75" customHeight="1">
      <c r="A871" s="328"/>
      <c r="B871" s="328"/>
      <c r="C871" s="354"/>
      <c r="D871" s="328"/>
      <c r="E871" s="328"/>
      <c r="F871" s="354"/>
      <c r="G871" s="354"/>
      <c r="H871" s="354"/>
      <c r="I871" s="354"/>
      <c r="J871" s="354"/>
      <c r="K871" s="354"/>
      <c r="L871" s="331"/>
    </row>
    <row r="872" ht="15.75" customHeight="1">
      <c r="A872" s="328"/>
      <c r="B872" s="328"/>
      <c r="C872" s="354"/>
      <c r="D872" s="328"/>
      <c r="E872" s="328"/>
      <c r="F872" s="354"/>
      <c r="G872" s="354"/>
      <c r="H872" s="354"/>
      <c r="I872" s="354"/>
      <c r="J872" s="354"/>
      <c r="K872" s="354"/>
      <c r="L872" s="331"/>
    </row>
    <row r="873" ht="15.75" customHeight="1">
      <c r="A873" s="328"/>
      <c r="B873" s="328"/>
      <c r="C873" s="354"/>
      <c r="D873" s="328"/>
      <c r="E873" s="328"/>
      <c r="F873" s="354"/>
      <c r="G873" s="354"/>
      <c r="H873" s="354"/>
      <c r="I873" s="354"/>
      <c r="J873" s="354"/>
      <c r="K873" s="354"/>
      <c r="L873" s="331"/>
    </row>
    <row r="874" ht="15.75" customHeight="1">
      <c r="A874" s="328"/>
      <c r="B874" s="328"/>
      <c r="C874" s="354"/>
      <c r="D874" s="328"/>
      <c r="E874" s="328"/>
      <c r="F874" s="354"/>
      <c r="G874" s="354"/>
      <c r="H874" s="354"/>
      <c r="I874" s="354"/>
      <c r="J874" s="354"/>
      <c r="K874" s="354"/>
      <c r="L874" s="331"/>
    </row>
    <row r="875" ht="15.75" customHeight="1">
      <c r="A875" s="328"/>
      <c r="B875" s="328"/>
      <c r="C875" s="354"/>
      <c r="D875" s="328"/>
      <c r="E875" s="328"/>
      <c r="F875" s="354"/>
      <c r="G875" s="354"/>
      <c r="H875" s="354"/>
      <c r="I875" s="354"/>
      <c r="J875" s="354"/>
      <c r="K875" s="354"/>
      <c r="L875" s="331"/>
    </row>
    <row r="876" ht="15.75" customHeight="1">
      <c r="A876" s="328"/>
      <c r="B876" s="328"/>
      <c r="C876" s="354"/>
      <c r="D876" s="328"/>
      <c r="E876" s="328"/>
      <c r="F876" s="354"/>
      <c r="G876" s="354"/>
      <c r="H876" s="354"/>
      <c r="I876" s="354"/>
      <c r="J876" s="354"/>
      <c r="K876" s="354"/>
      <c r="L876" s="331"/>
    </row>
    <row r="877" ht="15.75" customHeight="1">
      <c r="A877" s="328"/>
      <c r="B877" s="328"/>
      <c r="C877" s="354"/>
      <c r="D877" s="328"/>
      <c r="E877" s="328"/>
      <c r="F877" s="354"/>
      <c r="G877" s="354"/>
      <c r="H877" s="354"/>
      <c r="I877" s="354"/>
      <c r="J877" s="354"/>
      <c r="K877" s="354"/>
      <c r="L877" s="331"/>
    </row>
    <row r="878" ht="15.75" customHeight="1">
      <c r="A878" s="328"/>
      <c r="B878" s="328"/>
      <c r="C878" s="354"/>
      <c r="D878" s="328"/>
      <c r="E878" s="328"/>
      <c r="F878" s="354"/>
      <c r="G878" s="354"/>
      <c r="H878" s="354"/>
      <c r="I878" s="354"/>
      <c r="J878" s="354"/>
      <c r="K878" s="354"/>
      <c r="L878" s="331"/>
    </row>
    <row r="879" ht="15.75" customHeight="1">
      <c r="A879" s="328"/>
      <c r="B879" s="328"/>
      <c r="C879" s="354"/>
      <c r="D879" s="328"/>
      <c r="E879" s="328"/>
      <c r="F879" s="354"/>
      <c r="G879" s="354"/>
      <c r="H879" s="354"/>
      <c r="I879" s="354"/>
      <c r="J879" s="354"/>
      <c r="K879" s="354"/>
      <c r="L879" s="331"/>
    </row>
    <row r="880" ht="15.75" customHeight="1">
      <c r="A880" s="328"/>
      <c r="B880" s="328"/>
      <c r="C880" s="354"/>
      <c r="D880" s="328"/>
      <c r="E880" s="328"/>
      <c r="F880" s="354"/>
      <c r="G880" s="354"/>
      <c r="H880" s="354"/>
      <c r="I880" s="354"/>
      <c r="J880" s="354"/>
      <c r="K880" s="354"/>
      <c r="L880" s="331"/>
    </row>
    <row r="881" ht="15.75" customHeight="1">
      <c r="A881" s="328"/>
      <c r="B881" s="328"/>
      <c r="C881" s="354"/>
      <c r="D881" s="328"/>
      <c r="E881" s="328"/>
      <c r="F881" s="354"/>
      <c r="G881" s="354"/>
      <c r="H881" s="354"/>
      <c r="I881" s="354"/>
      <c r="J881" s="354"/>
      <c r="K881" s="354"/>
      <c r="L881" s="331"/>
    </row>
    <row r="882" ht="15.75" customHeight="1">
      <c r="A882" s="328"/>
      <c r="B882" s="328"/>
      <c r="C882" s="354"/>
      <c r="D882" s="328"/>
      <c r="E882" s="328"/>
      <c r="F882" s="354"/>
      <c r="G882" s="354"/>
      <c r="H882" s="354"/>
      <c r="I882" s="354"/>
      <c r="J882" s="354"/>
      <c r="K882" s="354"/>
      <c r="L882" s="331"/>
    </row>
    <row r="883" ht="15.75" customHeight="1">
      <c r="A883" s="328"/>
      <c r="B883" s="328"/>
      <c r="C883" s="354"/>
      <c r="D883" s="328"/>
      <c r="E883" s="328"/>
      <c r="F883" s="354"/>
      <c r="G883" s="354"/>
      <c r="H883" s="354"/>
      <c r="I883" s="354"/>
      <c r="J883" s="354"/>
      <c r="K883" s="354"/>
      <c r="L883" s="331"/>
    </row>
    <row r="884" ht="15.75" customHeight="1">
      <c r="A884" s="328"/>
      <c r="B884" s="328"/>
      <c r="C884" s="354"/>
      <c r="D884" s="328"/>
      <c r="E884" s="328"/>
      <c r="F884" s="354"/>
      <c r="G884" s="354"/>
      <c r="H884" s="354"/>
      <c r="I884" s="354"/>
      <c r="J884" s="354"/>
      <c r="K884" s="354"/>
      <c r="L884" s="331"/>
    </row>
    <row r="885" ht="15.75" customHeight="1">
      <c r="A885" s="328"/>
      <c r="B885" s="328"/>
      <c r="C885" s="354"/>
      <c r="D885" s="328"/>
      <c r="E885" s="328"/>
      <c r="F885" s="354"/>
      <c r="G885" s="354"/>
      <c r="H885" s="354"/>
      <c r="I885" s="354"/>
      <c r="J885" s="354"/>
      <c r="K885" s="354"/>
      <c r="L885" s="331"/>
    </row>
    <row r="886" ht="15.75" customHeight="1">
      <c r="A886" s="328"/>
      <c r="B886" s="328"/>
      <c r="C886" s="354"/>
      <c r="D886" s="328"/>
      <c r="E886" s="328"/>
      <c r="F886" s="354"/>
      <c r="G886" s="354"/>
      <c r="H886" s="354"/>
      <c r="I886" s="354"/>
      <c r="J886" s="354"/>
      <c r="K886" s="354"/>
      <c r="L886" s="331"/>
    </row>
    <row r="887" ht="15.75" customHeight="1">
      <c r="A887" s="328"/>
      <c r="B887" s="328"/>
      <c r="C887" s="354"/>
      <c r="D887" s="328"/>
      <c r="E887" s="328"/>
      <c r="F887" s="354"/>
      <c r="G887" s="354"/>
      <c r="H887" s="354"/>
      <c r="I887" s="354"/>
      <c r="J887" s="354"/>
      <c r="K887" s="354"/>
      <c r="L887" s="331"/>
    </row>
    <row r="888" ht="15.75" customHeight="1">
      <c r="A888" s="328"/>
      <c r="B888" s="328"/>
      <c r="C888" s="354"/>
      <c r="D888" s="328"/>
      <c r="E888" s="328"/>
      <c r="F888" s="354"/>
      <c r="G888" s="354"/>
      <c r="H888" s="354"/>
      <c r="I888" s="354"/>
      <c r="J888" s="354"/>
      <c r="K888" s="354"/>
      <c r="L888" s="331"/>
    </row>
    <row r="889" ht="15.75" customHeight="1">
      <c r="A889" s="328"/>
      <c r="B889" s="328"/>
      <c r="C889" s="354"/>
      <c r="D889" s="328"/>
      <c r="E889" s="328"/>
      <c r="F889" s="354"/>
      <c r="G889" s="354"/>
      <c r="H889" s="354"/>
      <c r="I889" s="354"/>
      <c r="J889" s="354"/>
      <c r="K889" s="354"/>
      <c r="L889" s="331"/>
    </row>
    <row r="890" ht="15.75" customHeight="1">
      <c r="A890" s="328"/>
      <c r="B890" s="328"/>
      <c r="C890" s="354"/>
      <c r="D890" s="328"/>
      <c r="E890" s="328"/>
      <c r="F890" s="354"/>
      <c r="G890" s="354"/>
      <c r="H890" s="354"/>
      <c r="I890" s="354"/>
      <c r="J890" s="354"/>
      <c r="K890" s="354"/>
      <c r="L890" s="331"/>
    </row>
    <row r="891" ht="15.75" customHeight="1">
      <c r="A891" s="328"/>
      <c r="B891" s="328"/>
      <c r="C891" s="354"/>
      <c r="D891" s="328"/>
      <c r="E891" s="328"/>
      <c r="F891" s="354"/>
      <c r="G891" s="354"/>
      <c r="H891" s="354"/>
      <c r="I891" s="354"/>
      <c r="J891" s="354"/>
      <c r="K891" s="354"/>
      <c r="L891" s="331"/>
    </row>
    <row r="892" ht="15.75" customHeight="1">
      <c r="A892" s="328"/>
      <c r="B892" s="328"/>
      <c r="C892" s="354"/>
      <c r="D892" s="328"/>
      <c r="E892" s="328"/>
      <c r="F892" s="354"/>
      <c r="G892" s="354"/>
      <c r="H892" s="354"/>
      <c r="I892" s="354"/>
      <c r="J892" s="354"/>
      <c r="K892" s="354"/>
      <c r="L892" s="331"/>
    </row>
    <row r="893" ht="15.75" customHeight="1">
      <c r="A893" s="328"/>
      <c r="B893" s="328"/>
      <c r="C893" s="354"/>
      <c r="D893" s="328"/>
      <c r="E893" s="328"/>
      <c r="F893" s="354"/>
      <c r="G893" s="354"/>
      <c r="H893" s="354"/>
      <c r="I893" s="354"/>
      <c r="J893" s="354"/>
      <c r="K893" s="354"/>
      <c r="L893" s="331"/>
    </row>
    <row r="894" ht="15.75" customHeight="1">
      <c r="A894" s="328"/>
      <c r="B894" s="328"/>
      <c r="C894" s="354"/>
      <c r="D894" s="328"/>
      <c r="E894" s="328"/>
      <c r="F894" s="354"/>
      <c r="G894" s="354"/>
      <c r="H894" s="354"/>
      <c r="I894" s="354"/>
      <c r="J894" s="354"/>
      <c r="K894" s="354"/>
      <c r="L894" s="331"/>
    </row>
    <row r="895" ht="15.75" customHeight="1">
      <c r="A895" s="328"/>
      <c r="B895" s="328"/>
      <c r="C895" s="354"/>
      <c r="D895" s="328"/>
      <c r="E895" s="328"/>
      <c r="F895" s="354"/>
      <c r="G895" s="354"/>
      <c r="H895" s="354"/>
      <c r="I895" s="354"/>
      <c r="J895" s="354"/>
      <c r="K895" s="354"/>
      <c r="L895" s="331"/>
    </row>
    <row r="896" ht="15.75" customHeight="1">
      <c r="A896" s="328"/>
      <c r="B896" s="328"/>
      <c r="C896" s="354"/>
      <c r="D896" s="328"/>
      <c r="E896" s="328"/>
      <c r="F896" s="354"/>
      <c r="G896" s="354"/>
      <c r="H896" s="354"/>
      <c r="I896" s="354"/>
      <c r="J896" s="354"/>
      <c r="K896" s="354"/>
      <c r="L896" s="331"/>
    </row>
    <row r="897" ht="15.75" customHeight="1">
      <c r="A897" s="328"/>
      <c r="B897" s="328"/>
      <c r="C897" s="354"/>
      <c r="D897" s="328"/>
      <c r="E897" s="328"/>
      <c r="F897" s="354"/>
      <c r="G897" s="354"/>
      <c r="H897" s="354"/>
      <c r="I897" s="354"/>
      <c r="J897" s="354"/>
      <c r="K897" s="354"/>
      <c r="L897" s="331"/>
    </row>
    <row r="898" ht="15.75" customHeight="1">
      <c r="A898" s="328"/>
      <c r="B898" s="328"/>
      <c r="C898" s="354"/>
      <c r="D898" s="328"/>
      <c r="E898" s="328"/>
      <c r="F898" s="354"/>
      <c r="G898" s="354"/>
      <c r="H898" s="354"/>
      <c r="I898" s="354"/>
      <c r="J898" s="354"/>
      <c r="K898" s="354"/>
      <c r="L898" s="331"/>
    </row>
    <row r="899" ht="15.75" customHeight="1">
      <c r="A899" s="328"/>
      <c r="B899" s="328"/>
      <c r="C899" s="354"/>
      <c r="D899" s="328"/>
      <c r="E899" s="328"/>
      <c r="F899" s="354"/>
      <c r="G899" s="354"/>
      <c r="H899" s="354"/>
      <c r="I899" s="354"/>
      <c r="J899" s="354"/>
      <c r="K899" s="354"/>
      <c r="L899" s="331"/>
    </row>
    <row r="900" ht="15.75" customHeight="1">
      <c r="A900" s="328"/>
      <c r="B900" s="328"/>
      <c r="C900" s="354"/>
      <c r="D900" s="328"/>
      <c r="E900" s="328"/>
      <c r="F900" s="354"/>
      <c r="G900" s="354"/>
      <c r="H900" s="354"/>
      <c r="I900" s="354"/>
      <c r="J900" s="354"/>
      <c r="K900" s="354"/>
      <c r="L900" s="331"/>
    </row>
    <row r="901" ht="15.75" customHeight="1">
      <c r="A901" s="328"/>
      <c r="B901" s="328"/>
      <c r="C901" s="354"/>
      <c r="D901" s="328"/>
      <c r="E901" s="328"/>
      <c r="F901" s="354"/>
      <c r="G901" s="354"/>
      <c r="H901" s="354"/>
      <c r="I901" s="354"/>
      <c r="J901" s="354"/>
      <c r="K901" s="354"/>
      <c r="L901" s="331"/>
    </row>
    <row r="902" ht="15.75" customHeight="1">
      <c r="A902" s="328"/>
      <c r="B902" s="328"/>
      <c r="C902" s="354"/>
      <c r="D902" s="328"/>
      <c r="E902" s="328"/>
      <c r="F902" s="354"/>
      <c r="G902" s="354"/>
      <c r="H902" s="354"/>
      <c r="I902" s="354"/>
      <c r="J902" s="354"/>
      <c r="K902" s="354"/>
      <c r="L902" s="331"/>
    </row>
    <row r="903" ht="15.75" customHeight="1">
      <c r="A903" s="328"/>
      <c r="B903" s="328"/>
      <c r="C903" s="354"/>
      <c r="D903" s="328"/>
      <c r="E903" s="328"/>
      <c r="F903" s="354"/>
      <c r="G903" s="354"/>
      <c r="H903" s="354"/>
      <c r="I903" s="354"/>
      <c r="J903" s="354"/>
      <c r="K903" s="354"/>
      <c r="L903" s="331"/>
    </row>
    <row r="904" ht="15.75" customHeight="1">
      <c r="A904" s="328"/>
      <c r="B904" s="328"/>
      <c r="C904" s="354"/>
      <c r="D904" s="328"/>
      <c r="E904" s="328"/>
      <c r="F904" s="354"/>
      <c r="G904" s="354"/>
      <c r="H904" s="354"/>
      <c r="I904" s="354"/>
      <c r="J904" s="354"/>
      <c r="K904" s="354"/>
      <c r="L904" s="331"/>
    </row>
    <row r="905" ht="15.75" customHeight="1">
      <c r="A905" s="328"/>
      <c r="B905" s="328"/>
      <c r="C905" s="354"/>
      <c r="D905" s="328"/>
      <c r="E905" s="328"/>
      <c r="F905" s="354"/>
      <c r="G905" s="354"/>
      <c r="H905" s="354"/>
      <c r="I905" s="354"/>
      <c r="J905" s="354"/>
      <c r="K905" s="354"/>
      <c r="L905" s="331"/>
    </row>
    <row r="906" ht="15.75" customHeight="1">
      <c r="A906" s="328"/>
      <c r="B906" s="328"/>
      <c r="C906" s="354"/>
      <c r="D906" s="328"/>
      <c r="E906" s="328"/>
      <c r="F906" s="354"/>
      <c r="G906" s="354"/>
      <c r="H906" s="354"/>
      <c r="I906" s="354"/>
      <c r="J906" s="354"/>
      <c r="K906" s="354"/>
      <c r="L906" s="331"/>
    </row>
    <row r="907" ht="15.75" customHeight="1">
      <c r="A907" s="328"/>
      <c r="B907" s="328"/>
      <c r="C907" s="354"/>
      <c r="D907" s="328"/>
      <c r="E907" s="328"/>
      <c r="F907" s="354"/>
      <c r="G907" s="354"/>
      <c r="H907" s="354"/>
      <c r="I907" s="354"/>
      <c r="J907" s="354"/>
      <c r="K907" s="354"/>
      <c r="L907" s="331"/>
    </row>
    <row r="908" ht="15.75" customHeight="1">
      <c r="A908" s="328"/>
      <c r="B908" s="328"/>
      <c r="C908" s="354"/>
      <c r="D908" s="328"/>
      <c r="E908" s="328"/>
      <c r="F908" s="354"/>
      <c r="G908" s="354"/>
      <c r="H908" s="354"/>
      <c r="I908" s="354"/>
      <c r="J908" s="354"/>
      <c r="K908" s="354"/>
      <c r="L908" s="331"/>
    </row>
    <row r="909" ht="15.75" customHeight="1">
      <c r="A909" s="328"/>
      <c r="B909" s="328"/>
      <c r="C909" s="354"/>
      <c r="D909" s="328"/>
      <c r="E909" s="328"/>
      <c r="F909" s="354"/>
      <c r="G909" s="354"/>
      <c r="H909" s="354"/>
      <c r="I909" s="354"/>
      <c r="J909" s="354"/>
      <c r="K909" s="354"/>
      <c r="L909" s="331"/>
    </row>
    <row r="910" ht="15.75" customHeight="1">
      <c r="A910" s="328"/>
      <c r="B910" s="328"/>
      <c r="C910" s="354"/>
      <c r="D910" s="328"/>
      <c r="E910" s="328"/>
      <c r="F910" s="354"/>
      <c r="G910" s="354"/>
      <c r="H910" s="354"/>
      <c r="I910" s="354"/>
      <c r="J910" s="354"/>
      <c r="K910" s="354"/>
      <c r="L910" s="331"/>
    </row>
    <row r="911" ht="15.75" customHeight="1">
      <c r="A911" s="328"/>
      <c r="B911" s="328"/>
      <c r="C911" s="354"/>
      <c r="D911" s="328"/>
      <c r="E911" s="328"/>
      <c r="F911" s="354"/>
      <c r="G911" s="354"/>
      <c r="H911" s="354"/>
      <c r="I911" s="354"/>
      <c r="J911" s="354"/>
      <c r="K911" s="354"/>
      <c r="L911" s="331"/>
    </row>
    <row r="912" ht="15.75" customHeight="1">
      <c r="A912" s="328"/>
      <c r="B912" s="328"/>
      <c r="C912" s="354"/>
      <c r="D912" s="328"/>
      <c r="E912" s="328"/>
      <c r="F912" s="354"/>
      <c r="G912" s="354"/>
      <c r="H912" s="354"/>
      <c r="I912" s="354"/>
      <c r="J912" s="354"/>
      <c r="K912" s="354"/>
      <c r="L912" s="331"/>
    </row>
    <row r="913" ht="15.75" customHeight="1">
      <c r="A913" s="328"/>
      <c r="B913" s="328"/>
      <c r="C913" s="354"/>
      <c r="D913" s="328"/>
      <c r="E913" s="328"/>
      <c r="F913" s="354"/>
      <c r="G913" s="354"/>
      <c r="H913" s="354"/>
      <c r="I913" s="354"/>
      <c r="J913" s="354"/>
      <c r="K913" s="354"/>
      <c r="L913" s="331"/>
    </row>
    <row r="914" ht="15.75" customHeight="1">
      <c r="A914" s="328"/>
      <c r="B914" s="328"/>
      <c r="C914" s="354"/>
      <c r="D914" s="328"/>
      <c r="E914" s="328"/>
      <c r="F914" s="354"/>
      <c r="G914" s="354"/>
      <c r="H914" s="354"/>
      <c r="I914" s="354"/>
      <c r="J914" s="354"/>
      <c r="K914" s="354"/>
      <c r="L914" s="331"/>
    </row>
    <row r="915" ht="15.75" customHeight="1">
      <c r="A915" s="328"/>
      <c r="B915" s="328"/>
      <c r="C915" s="354"/>
      <c r="D915" s="328"/>
      <c r="E915" s="328"/>
      <c r="F915" s="354"/>
      <c r="G915" s="354"/>
      <c r="H915" s="354"/>
      <c r="I915" s="354"/>
      <c r="J915" s="354"/>
      <c r="K915" s="354"/>
      <c r="L915" s="331"/>
    </row>
    <row r="916" ht="15.75" customHeight="1">
      <c r="A916" s="328"/>
      <c r="B916" s="328"/>
      <c r="C916" s="354"/>
      <c r="D916" s="328"/>
      <c r="E916" s="328"/>
      <c r="F916" s="354"/>
      <c r="G916" s="354"/>
      <c r="H916" s="354"/>
      <c r="I916" s="354"/>
      <c r="J916" s="354"/>
      <c r="K916" s="354"/>
      <c r="L916" s="331"/>
    </row>
    <row r="917" ht="15.75" customHeight="1">
      <c r="A917" s="328"/>
      <c r="B917" s="328"/>
      <c r="C917" s="354"/>
      <c r="D917" s="328"/>
      <c r="E917" s="328"/>
      <c r="F917" s="354"/>
      <c r="G917" s="354"/>
      <c r="H917" s="354"/>
      <c r="I917" s="354"/>
      <c r="J917" s="354"/>
      <c r="K917" s="354"/>
      <c r="L917" s="331"/>
    </row>
    <row r="918" ht="15.75" customHeight="1">
      <c r="A918" s="328"/>
      <c r="B918" s="328"/>
      <c r="C918" s="354"/>
      <c r="D918" s="328"/>
      <c r="E918" s="328"/>
      <c r="F918" s="354"/>
      <c r="G918" s="354"/>
      <c r="H918" s="354"/>
      <c r="I918" s="354"/>
      <c r="J918" s="354"/>
      <c r="K918" s="354"/>
      <c r="L918" s="331"/>
    </row>
    <row r="919" ht="15.75" customHeight="1">
      <c r="A919" s="328"/>
      <c r="B919" s="328"/>
      <c r="C919" s="354"/>
      <c r="D919" s="328"/>
      <c r="E919" s="328"/>
      <c r="F919" s="354"/>
      <c r="G919" s="354"/>
      <c r="H919" s="354"/>
      <c r="I919" s="354"/>
      <c r="J919" s="354"/>
      <c r="K919" s="354"/>
      <c r="L919" s="331"/>
    </row>
    <row r="920" ht="15.75" customHeight="1">
      <c r="A920" s="328"/>
      <c r="B920" s="328"/>
      <c r="C920" s="354"/>
      <c r="D920" s="328"/>
      <c r="E920" s="328"/>
      <c r="F920" s="354"/>
      <c r="G920" s="354"/>
      <c r="H920" s="354"/>
      <c r="I920" s="354"/>
      <c r="J920" s="354"/>
      <c r="K920" s="354"/>
      <c r="L920" s="331"/>
    </row>
    <row r="921" ht="15.75" customHeight="1">
      <c r="A921" s="328"/>
      <c r="B921" s="328"/>
      <c r="C921" s="354"/>
      <c r="D921" s="328"/>
      <c r="E921" s="328"/>
      <c r="F921" s="354"/>
      <c r="G921" s="354"/>
      <c r="H921" s="354"/>
      <c r="I921" s="354"/>
      <c r="J921" s="354"/>
      <c r="K921" s="354"/>
      <c r="L921" s="331"/>
    </row>
    <row r="922" ht="15.75" customHeight="1">
      <c r="A922" s="328"/>
      <c r="B922" s="328"/>
      <c r="C922" s="354"/>
      <c r="D922" s="328"/>
      <c r="E922" s="328"/>
      <c r="F922" s="354"/>
      <c r="G922" s="354"/>
      <c r="H922" s="354"/>
      <c r="I922" s="354"/>
      <c r="J922" s="354"/>
      <c r="K922" s="354"/>
      <c r="L922" s="331"/>
    </row>
    <row r="923" ht="15.75" customHeight="1">
      <c r="A923" s="328"/>
      <c r="B923" s="328"/>
      <c r="C923" s="354"/>
      <c r="D923" s="328"/>
      <c r="E923" s="328"/>
      <c r="F923" s="354"/>
      <c r="G923" s="354"/>
      <c r="H923" s="354"/>
      <c r="I923" s="354"/>
      <c r="J923" s="354"/>
      <c r="K923" s="354"/>
      <c r="L923" s="331"/>
    </row>
    <row r="924" ht="15.75" customHeight="1">
      <c r="A924" s="328"/>
      <c r="B924" s="328"/>
      <c r="C924" s="354"/>
      <c r="D924" s="328"/>
      <c r="E924" s="328"/>
      <c r="F924" s="354"/>
      <c r="G924" s="354"/>
      <c r="H924" s="354"/>
      <c r="I924" s="354"/>
      <c r="J924" s="354"/>
      <c r="K924" s="354"/>
      <c r="L924" s="331"/>
    </row>
    <row r="925" ht="15.75" customHeight="1">
      <c r="A925" s="328"/>
      <c r="B925" s="328"/>
      <c r="C925" s="354"/>
      <c r="D925" s="328"/>
      <c r="E925" s="328"/>
      <c r="F925" s="354"/>
      <c r="G925" s="354"/>
      <c r="H925" s="354"/>
      <c r="I925" s="354"/>
      <c r="J925" s="354"/>
      <c r="K925" s="354"/>
      <c r="L925" s="331"/>
    </row>
    <row r="926" ht="15.75" customHeight="1">
      <c r="A926" s="328"/>
      <c r="B926" s="328"/>
      <c r="C926" s="354"/>
      <c r="D926" s="328"/>
      <c r="E926" s="328"/>
      <c r="F926" s="354"/>
      <c r="G926" s="354"/>
      <c r="H926" s="354"/>
      <c r="I926" s="354"/>
      <c r="J926" s="354"/>
      <c r="K926" s="354"/>
      <c r="L926" s="331"/>
    </row>
    <row r="927" ht="15.75" customHeight="1">
      <c r="A927" s="328"/>
      <c r="B927" s="328"/>
      <c r="C927" s="354"/>
      <c r="D927" s="328"/>
      <c r="E927" s="328"/>
      <c r="F927" s="354"/>
      <c r="G927" s="354"/>
      <c r="H927" s="354"/>
      <c r="I927" s="354"/>
      <c r="J927" s="354"/>
      <c r="K927" s="354"/>
      <c r="L927" s="331"/>
    </row>
    <row r="928" ht="15.75" customHeight="1">
      <c r="A928" s="328"/>
      <c r="B928" s="328"/>
      <c r="C928" s="354"/>
      <c r="D928" s="328"/>
      <c r="E928" s="328"/>
      <c r="F928" s="354"/>
      <c r="G928" s="354"/>
      <c r="H928" s="354"/>
      <c r="I928" s="354"/>
      <c r="J928" s="354"/>
      <c r="K928" s="354"/>
      <c r="L928" s="331"/>
    </row>
    <row r="929" ht="15.75" customHeight="1">
      <c r="A929" s="328"/>
      <c r="B929" s="328"/>
      <c r="C929" s="354"/>
      <c r="D929" s="328"/>
      <c r="E929" s="328"/>
      <c r="F929" s="354"/>
      <c r="G929" s="354"/>
      <c r="H929" s="354"/>
      <c r="I929" s="354"/>
      <c r="J929" s="354"/>
      <c r="K929" s="354"/>
      <c r="L929" s="331"/>
    </row>
    <row r="930" ht="15.75" customHeight="1">
      <c r="A930" s="328"/>
      <c r="B930" s="328"/>
      <c r="C930" s="354"/>
      <c r="D930" s="328"/>
      <c r="E930" s="328"/>
      <c r="F930" s="354"/>
      <c r="G930" s="354"/>
      <c r="H930" s="354"/>
      <c r="I930" s="354"/>
      <c r="J930" s="354"/>
      <c r="K930" s="354"/>
      <c r="L930" s="331"/>
    </row>
    <row r="931" ht="15.75" customHeight="1">
      <c r="A931" s="328"/>
      <c r="B931" s="328"/>
      <c r="C931" s="354"/>
      <c r="D931" s="328"/>
      <c r="E931" s="328"/>
      <c r="F931" s="354"/>
      <c r="G931" s="354"/>
      <c r="H931" s="354"/>
      <c r="I931" s="354"/>
      <c r="J931" s="354"/>
      <c r="K931" s="354"/>
      <c r="L931" s="331"/>
    </row>
    <row r="932" ht="15.75" customHeight="1">
      <c r="A932" s="328"/>
      <c r="B932" s="328"/>
      <c r="C932" s="354"/>
      <c r="D932" s="328"/>
      <c r="E932" s="328"/>
      <c r="F932" s="354"/>
      <c r="G932" s="354"/>
      <c r="H932" s="354"/>
      <c r="I932" s="354"/>
      <c r="J932" s="354"/>
      <c r="K932" s="354"/>
      <c r="L932" s="331"/>
    </row>
    <row r="933" ht="15.75" customHeight="1">
      <c r="A933" s="328"/>
      <c r="B933" s="328"/>
      <c r="C933" s="354"/>
      <c r="D933" s="328"/>
      <c r="E933" s="328"/>
      <c r="F933" s="354"/>
      <c r="G933" s="354"/>
      <c r="H933" s="354"/>
      <c r="I933" s="354"/>
      <c r="J933" s="354"/>
      <c r="K933" s="354"/>
      <c r="L933" s="331"/>
    </row>
    <row r="934" ht="15.75" customHeight="1">
      <c r="A934" s="328"/>
      <c r="B934" s="328"/>
      <c r="C934" s="354"/>
      <c r="D934" s="328"/>
      <c r="E934" s="328"/>
      <c r="F934" s="354"/>
      <c r="G934" s="354"/>
      <c r="H934" s="354"/>
      <c r="I934" s="354"/>
      <c r="J934" s="354"/>
      <c r="K934" s="354"/>
      <c r="L934" s="331"/>
    </row>
    <row r="935" ht="15.75" customHeight="1">
      <c r="A935" s="328"/>
      <c r="B935" s="328"/>
      <c r="C935" s="354"/>
      <c r="D935" s="328"/>
      <c r="E935" s="328"/>
      <c r="F935" s="354"/>
      <c r="G935" s="354"/>
      <c r="H935" s="354"/>
      <c r="I935" s="354"/>
      <c r="J935" s="354"/>
      <c r="K935" s="354"/>
      <c r="L935" s="331"/>
    </row>
    <row r="936" ht="15.75" customHeight="1">
      <c r="A936" s="328"/>
      <c r="B936" s="328"/>
      <c r="C936" s="354"/>
      <c r="D936" s="328"/>
      <c r="E936" s="328"/>
      <c r="F936" s="354"/>
      <c r="G936" s="354"/>
      <c r="H936" s="354"/>
      <c r="I936" s="354"/>
      <c r="J936" s="354"/>
      <c r="K936" s="354"/>
      <c r="L936" s="331"/>
    </row>
    <row r="937" ht="15.75" customHeight="1">
      <c r="A937" s="328"/>
      <c r="B937" s="328"/>
      <c r="C937" s="354"/>
      <c r="D937" s="328"/>
      <c r="E937" s="328"/>
      <c r="F937" s="354"/>
      <c r="G937" s="354"/>
      <c r="H937" s="354"/>
      <c r="I937" s="354"/>
      <c r="J937" s="354"/>
      <c r="K937" s="354"/>
      <c r="L937" s="331"/>
    </row>
    <row r="938" ht="15.75" customHeight="1">
      <c r="A938" s="328"/>
      <c r="B938" s="328"/>
      <c r="C938" s="354"/>
      <c r="D938" s="328"/>
      <c r="E938" s="328"/>
      <c r="F938" s="354"/>
      <c r="G938" s="354"/>
      <c r="H938" s="354"/>
      <c r="I938" s="354"/>
      <c r="J938" s="354"/>
      <c r="K938" s="354"/>
      <c r="L938" s="331"/>
    </row>
    <row r="939" ht="15.75" customHeight="1">
      <c r="A939" s="328"/>
      <c r="B939" s="328"/>
      <c r="C939" s="354"/>
      <c r="D939" s="328"/>
      <c r="E939" s="328"/>
      <c r="F939" s="354"/>
      <c r="G939" s="354"/>
      <c r="H939" s="354"/>
      <c r="I939" s="354"/>
      <c r="J939" s="354"/>
      <c r="K939" s="354"/>
      <c r="L939" s="331"/>
    </row>
    <row r="940" ht="15.75" customHeight="1">
      <c r="A940" s="328"/>
      <c r="B940" s="328"/>
      <c r="C940" s="354"/>
      <c r="D940" s="328"/>
      <c r="E940" s="328"/>
      <c r="F940" s="354"/>
      <c r="G940" s="354"/>
      <c r="H940" s="354"/>
      <c r="I940" s="354"/>
      <c r="J940" s="354"/>
      <c r="K940" s="354"/>
      <c r="L940" s="331"/>
    </row>
    <row r="941" ht="15.75" customHeight="1">
      <c r="A941" s="328"/>
      <c r="B941" s="328"/>
      <c r="C941" s="354"/>
      <c r="D941" s="328"/>
      <c r="E941" s="328"/>
      <c r="F941" s="354"/>
      <c r="G941" s="354"/>
      <c r="H941" s="354"/>
      <c r="I941" s="354"/>
      <c r="J941" s="354"/>
      <c r="K941" s="354"/>
      <c r="L941" s="331"/>
    </row>
    <row r="942" ht="15.75" customHeight="1">
      <c r="A942" s="328"/>
      <c r="B942" s="328"/>
      <c r="C942" s="354"/>
      <c r="D942" s="328"/>
      <c r="E942" s="328"/>
      <c r="F942" s="354"/>
      <c r="G942" s="354"/>
      <c r="H942" s="354"/>
      <c r="I942" s="354"/>
      <c r="J942" s="354"/>
      <c r="K942" s="354"/>
      <c r="L942" s="331"/>
    </row>
    <row r="943" ht="15.75" customHeight="1">
      <c r="A943" s="328"/>
      <c r="B943" s="328"/>
      <c r="C943" s="354"/>
      <c r="D943" s="328"/>
      <c r="E943" s="328"/>
      <c r="F943" s="354"/>
      <c r="G943" s="354"/>
      <c r="H943" s="354"/>
      <c r="I943" s="354"/>
      <c r="J943" s="354"/>
      <c r="K943" s="354"/>
      <c r="L943" s="331"/>
    </row>
    <row r="944" ht="15.75" customHeight="1">
      <c r="A944" s="328"/>
      <c r="B944" s="328"/>
      <c r="C944" s="354"/>
      <c r="D944" s="328"/>
      <c r="E944" s="328"/>
      <c r="F944" s="354"/>
      <c r="G944" s="354"/>
      <c r="H944" s="354"/>
      <c r="I944" s="354"/>
      <c r="J944" s="354"/>
      <c r="K944" s="354"/>
      <c r="L944" s="331"/>
    </row>
    <row r="945" ht="15.75" customHeight="1">
      <c r="A945" s="328"/>
      <c r="B945" s="328"/>
      <c r="C945" s="354"/>
      <c r="D945" s="328"/>
      <c r="E945" s="328"/>
      <c r="F945" s="354"/>
      <c r="G945" s="354"/>
      <c r="H945" s="354"/>
      <c r="I945" s="354"/>
      <c r="J945" s="354"/>
      <c r="K945" s="354"/>
      <c r="L945" s="331"/>
    </row>
    <row r="946" ht="15.75" customHeight="1">
      <c r="A946" s="328"/>
      <c r="B946" s="328"/>
      <c r="C946" s="354"/>
      <c r="D946" s="328"/>
      <c r="E946" s="328"/>
      <c r="F946" s="354"/>
      <c r="G946" s="354"/>
      <c r="H946" s="354"/>
      <c r="I946" s="354"/>
      <c r="J946" s="354"/>
      <c r="K946" s="354"/>
      <c r="L946" s="331"/>
    </row>
    <row r="947" ht="15.75" customHeight="1">
      <c r="A947" s="328"/>
      <c r="B947" s="328"/>
      <c r="C947" s="354"/>
      <c r="D947" s="328"/>
      <c r="E947" s="328"/>
      <c r="F947" s="354"/>
      <c r="G947" s="354"/>
      <c r="H947" s="354"/>
      <c r="I947" s="354"/>
      <c r="J947" s="354"/>
      <c r="K947" s="354"/>
      <c r="L947" s="331"/>
    </row>
    <row r="948" ht="15.75" customHeight="1">
      <c r="A948" s="328"/>
      <c r="B948" s="328"/>
      <c r="C948" s="354"/>
      <c r="D948" s="328"/>
      <c r="E948" s="328"/>
      <c r="F948" s="354"/>
      <c r="G948" s="354"/>
      <c r="H948" s="354"/>
      <c r="I948" s="354"/>
      <c r="J948" s="354"/>
      <c r="K948" s="354"/>
      <c r="L948" s="331"/>
    </row>
    <row r="949" ht="15.75" customHeight="1">
      <c r="A949" s="328"/>
      <c r="B949" s="328"/>
      <c r="C949" s="354"/>
      <c r="D949" s="328"/>
      <c r="E949" s="328"/>
      <c r="F949" s="354"/>
      <c r="G949" s="354"/>
      <c r="H949" s="354"/>
      <c r="I949" s="354"/>
      <c r="J949" s="354"/>
      <c r="K949" s="354"/>
      <c r="L949" s="331"/>
    </row>
    <row r="950" ht="15.75" customHeight="1">
      <c r="A950" s="328"/>
      <c r="B950" s="328"/>
      <c r="C950" s="354"/>
      <c r="D950" s="328"/>
      <c r="E950" s="328"/>
      <c r="F950" s="354"/>
      <c r="G950" s="354"/>
      <c r="H950" s="354"/>
      <c r="I950" s="354"/>
      <c r="J950" s="354"/>
      <c r="K950" s="354"/>
      <c r="L950" s="331"/>
    </row>
    <row r="951" ht="15.75" customHeight="1">
      <c r="A951" s="328"/>
      <c r="B951" s="328"/>
      <c r="C951" s="354"/>
      <c r="D951" s="328"/>
      <c r="E951" s="328"/>
      <c r="F951" s="354"/>
      <c r="G951" s="354"/>
      <c r="H951" s="354"/>
      <c r="I951" s="354"/>
      <c r="J951" s="354"/>
      <c r="K951" s="354"/>
      <c r="L951" s="331"/>
    </row>
    <row r="952" ht="15.75" customHeight="1">
      <c r="A952" s="328"/>
      <c r="B952" s="328"/>
      <c r="C952" s="354"/>
      <c r="D952" s="328"/>
      <c r="E952" s="328"/>
      <c r="F952" s="354"/>
      <c r="G952" s="354"/>
      <c r="H952" s="354"/>
      <c r="I952" s="354"/>
      <c r="J952" s="354"/>
      <c r="K952" s="354"/>
      <c r="L952" s="331"/>
    </row>
    <row r="953" ht="15.75" customHeight="1">
      <c r="A953" s="328"/>
      <c r="B953" s="328"/>
      <c r="C953" s="354"/>
      <c r="D953" s="328"/>
      <c r="E953" s="328"/>
      <c r="F953" s="354"/>
      <c r="G953" s="354"/>
      <c r="H953" s="354"/>
      <c r="I953" s="354"/>
      <c r="J953" s="354"/>
      <c r="K953" s="354"/>
      <c r="L953" s="331"/>
    </row>
    <row r="954" ht="15.75" customHeight="1">
      <c r="A954" s="328"/>
      <c r="B954" s="328"/>
      <c r="C954" s="354"/>
      <c r="D954" s="328"/>
      <c r="E954" s="328"/>
      <c r="F954" s="354"/>
      <c r="G954" s="354"/>
      <c r="H954" s="354"/>
      <c r="I954" s="354"/>
      <c r="J954" s="354"/>
      <c r="K954" s="354"/>
      <c r="L954" s="331"/>
    </row>
    <row r="955" ht="15.75" customHeight="1">
      <c r="A955" s="328"/>
      <c r="B955" s="328"/>
      <c r="C955" s="354"/>
      <c r="D955" s="328"/>
      <c r="E955" s="328"/>
      <c r="F955" s="354"/>
      <c r="G955" s="354"/>
      <c r="H955" s="354"/>
      <c r="I955" s="354"/>
      <c r="J955" s="354"/>
      <c r="K955" s="354"/>
      <c r="L955" s="331"/>
    </row>
    <row r="956" ht="15.75" customHeight="1">
      <c r="A956" s="328"/>
      <c r="B956" s="328"/>
      <c r="C956" s="354"/>
      <c r="D956" s="328"/>
      <c r="E956" s="328"/>
      <c r="F956" s="354"/>
      <c r="G956" s="354"/>
      <c r="H956" s="354"/>
      <c r="I956" s="354"/>
      <c r="J956" s="354"/>
      <c r="K956" s="354"/>
      <c r="L956" s="331"/>
    </row>
    <row r="957" ht="15.75" customHeight="1">
      <c r="A957" s="328"/>
      <c r="B957" s="328"/>
      <c r="C957" s="354"/>
      <c r="D957" s="328"/>
      <c r="E957" s="328"/>
      <c r="F957" s="354"/>
      <c r="G957" s="354"/>
      <c r="H957" s="354"/>
      <c r="I957" s="354"/>
      <c r="J957" s="354"/>
      <c r="K957" s="354"/>
      <c r="L957" s="331"/>
    </row>
    <row r="958" ht="15.75" customHeight="1">
      <c r="A958" s="328"/>
      <c r="B958" s="328"/>
      <c r="C958" s="354"/>
      <c r="D958" s="328"/>
      <c r="E958" s="328"/>
      <c r="F958" s="354"/>
      <c r="G958" s="354"/>
      <c r="H958" s="354"/>
      <c r="I958" s="354"/>
      <c r="J958" s="354"/>
      <c r="K958" s="354"/>
      <c r="L958" s="331"/>
    </row>
    <row r="959" ht="15.75" customHeight="1">
      <c r="A959" s="328"/>
      <c r="B959" s="328"/>
      <c r="C959" s="354"/>
      <c r="D959" s="328"/>
      <c r="E959" s="328"/>
      <c r="F959" s="354"/>
      <c r="G959" s="354"/>
      <c r="H959" s="354"/>
      <c r="I959" s="354"/>
      <c r="J959" s="354"/>
      <c r="K959" s="354"/>
      <c r="L959" s="331"/>
    </row>
    <row r="960" ht="15.75" customHeight="1">
      <c r="A960" s="328"/>
      <c r="B960" s="328"/>
      <c r="C960" s="354"/>
      <c r="D960" s="328"/>
      <c r="E960" s="328"/>
      <c r="F960" s="354"/>
      <c r="G960" s="354"/>
      <c r="H960" s="354"/>
      <c r="I960" s="354"/>
      <c r="J960" s="354"/>
      <c r="K960" s="354"/>
      <c r="L960" s="331"/>
    </row>
    <row r="961" ht="15.75" customHeight="1">
      <c r="A961" s="328"/>
      <c r="B961" s="328"/>
      <c r="C961" s="354"/>
      <c r="D961" s="328"/>
      <c r="E961" s="328"/>
      <c r="F961" s="354"/>
      <c r="G961" s="354"/>
      <c r="H961" s="354"/>
      <c r="I961" s="354"/>
      <c r="J961" s="354"/>
      <c r="K961" s="354"/>
      <c r="L961" s="331"/>
    </row>
    <row r="962" ht="15.75" customHeight="1">
      <c r="A962" s="328"/>
      <c r="B962" s="328"/>
      <c r="C962" s="354"/>
      <c r="D962" s="328"/>
      <c r="E962" s="328"/>
      <c r="F962" s="354"/>
      <c r="G962" s="354"/>
      <c r="H962" s="354"/>
      <c r="I962" s="354"/>
      <c r="J962" s="354"/>
      <c r="K962" s="354"/>
      <c r="L962" s="331"/>
    </row>
    <row r="963" ht="15.75" customHeight="1">
      <c r="A963" s="328"/>
      <c r="B963" s="328"/>
      <c r="C963" s="354"/>
      <c r="D963" s="328"/>
      <c r="E963" s="328"/>
      <c r="F963" s="354"/>
      <c r="G963" s="354"/>
      <c r="H963" s="354"/>
      <c r="I963" s="354"/>
      <c r="J963" s="354"/>
      <c r="K963" s="354"/>
      <c r="L963" s="331"/>
    </row>
    <row r="964" ht="15.75" customHeight="1">
      <c r="A964" s="328"/>
      <c r="B964" s="328"/>
      <c r="C964" s="354"/>
      <c r="D964" s="328"/>
      <c r="E964" s="328"/>
      <c r="F964" s="354"/>
      <c r="G964" s="354"/>
      <c r="H964" s="354"/>
      <c r="I964" s="354"/>
      <c r="J964" s="354"/>
      <c r="K964" s="354"/>
      <c r="L964" s="331"/>
    </row>
    <row r="965" ht="15.75" customHeight="1">
      <c r="A965" s="328"/>
      <c r="B965" s="328"/>
      <c r="C965" s="354"/>
      <c r="D965" s="328"/>
      <c r="E965" s="328"/>
      <c r="F965" s="354"/>
      <c r="G965" s="354"/>
      <c r="H965" s="354"/>
      <c r="I965" s="354"/>
      <c r="J965" s="354"/>
      <c r="K965" s="354"/>
      <c r="L965" s="331"/>
    </row>
    <row r="966" ht="15.75" customHeight="1">
      <c r="A966" s="328"/>
      <c r="B966" s="328"/>
      <c r="C966" s="354"/>
      <c r="D966" s="328"/>
      <c r="E966" s="328"/>
      <c r="F966" s="354"/>
      <c r="G966" s="354"/>
      <c r="H966" s="354"/>
      <c r="I966" s="354"/>
      <c r="J966" s="354"/>
      <c r="K966" s="354"/>
      <c r="L966" s="331"/>
    </row>
    <row r="967" ht="15.75" customHeight="1">
      <c r="A967" s="328"/>
      <c r="B967" s="328"/>
      <c r="C967" s="354"/>
      <c r="D967" s="328"/>
      <c r="E967" s="328"/>
      <c r="F967" s="354"/>
      <c r="G967" s="354"/>
      <c r="H967" s="354"/>
      <c r="I967" s="354"/>
      <c r="J967" s="354"/>
      <c r="K967" s="354"/>
      <c r="L967" s="331"/>
    </row>
    <row r="968" ht="15.75" customHeight="1">
      <c r="A968" s="328"/>
      <c r="B968" s="328"/>
      <c r="C968" s="354"/>
      <c r="D968" s="328"/>
      <c r="E968" s="328"/>
      <c r="F968" s="354"/>
      <c r="G968" s="354"/>
      <c r="H968" s="354"/>
      <c r="I968" s="354"/>
      <c r="J968" s="354"/>
      <c r="K968" s="354"/>
      <c r="L968" s="331"/>
    </row>
    <row r="969" ht="15.75" customHeight="1">
      <c r="A969" s="328"/>
      <c r="B969" s="328"/>
      <c r="C969" s="354"/>
      <c r="D969" s="328"/>
      <c r="E969" s="328"/>
      <c r="F969" s="354"/>
      <c r="G969" s="354"/>
      <c r="H969" s="354"/>
      <c r="I969" s="354"/>
      <c r="J969" s="354"/>
      <c r="K969" s="354"/>
      <c r="L969" s="331"/>
    </row>
    <row r="970" ht="15.75" customHeight="1">
      <c r="A970" s="328"/>
      <c r="B970" s="328"/>
      <c r="C970" s="354"/>
      <c r="D970" s="328"/>
      <c r="E970" s="328"/>
      <c r="F970" s="354"/>
      <c r="G970" s="354"/>
      <c r="H970" s="354"/>
      <c r="I970" s="354"/>
      <c r="J970" s="354"/>
      <c r="K970" s="354"/>
      <c r="L970" s="331"/>
    </row>
    <row r="971" ht="15.75" customHeight="1">
      <c r="A971" s="328"/>
      <c r="B971" s="328"/>
      <c r="C971" s="354"/>
      <c r="D971" s="328"/>
      <c r="E971" s="328"/>
      <c r="F971" s="354"/>
      <c r="G971" s="354"/>
      <c r="H971" s="354"/>
      <c r="I971" s="354"/>
      <c r="J971" s="354"/>
      <c r="K971" s="354"/>
      <c r="L971" s="331"/>
    </row>
    <row r="972" ht="15.75" customHeight="1">
      <c r="A972" s="328"/>
      <c r="B972" s="328"/>
      <c r="C972" s="354"/>
      <c r="D972" s="328"/>
      <c r="E972" s="328"/>
      <c r="F972" s="354"/>
      <c r="G972" s="354"/>
      <c r="H972" s="354"/>
      <c r="I972" s="354"/>
      <c r="J972" s="354"/>
      <c r="K972" s="354"/>
      <c r="L972" s="331"/>
    </row>
    <row r="973" ht="15.75" customHeight="1">
      <c r="A973" s="328"/>
      <c r="B973" s="328"/>
      <c r="C973" s="354"/>
      <c r="D973" s="328"/>
      <c r="E973" s="328"/>
      <c r="F973" s="354"/>
      <c r="G973" s="354"/>
      <c r="H973" s="354"/>
      <c r="I973" s="354"/>
      <c r="J973" s="354"/>
      <c r="K973" s="354"/>
      <c r="L973" s="331"/>
    </row>
    <row r="974" ht="15.75" customHeight="1">
      <c r="A974" s="328"/>
      <c r="B974" s="328"/>
      <c r="C974" s="354"/>
      <c r="D974" s="328"/>
      <c r="E974" s="328"/>
      <c r="F974" s="354"/>
      <c r="G974" s="354"/>
      <c r="H974" s="354"/>
      <c r="I974" s="354"/>
      <c r="J974" s="354"/>
      <c r="K974" s="354"/>
      <c r="L974" s="331"/>
    </row>
    <row r="975" ht="15.75" customHeight="1">
      <c r="A975" s="328"/>
      <c r="B975" s="328"/>
      <c r="C975" s="354"/>
      <c r="D975" s="328"/>
      <c r="E975" s="328"/>
      <c r="F975" s="354"/>
      <c r="G975" s="354"/>
      <c r="H975" s="354"/>
      <c r="I975" s="354"/>
      <c r="J975" s="354"/>
      <c r="K975" s="354"/>
      <c r="L975" s="331"/>
    </row>
    <row r="976" ht="15.75" customHeight="1">
      <c r="A976" s="328"/>
      <c r="B976" s="328"/>
      <c r="C976" s="354"/>
      <c r="D976" s="328"/>
      <c r="E976" s="328"/>
      <c r="F976" s="354"/>
      <c r="G976" s="354"/>
      <c r="H976" s="354"/>
      <c r="I976" s="354"/>
      <c r="J976" s="354"/>
      <c r="K976" s="354"/>
      <c r="L976" s="331"/>
    </row>
    <row r="977" ht="15.75" customHeight="1">
      <c r="A977" s="328"/>
      <c r="B977" s="328"/>
      <c r="C977" s="354"/>
      <c r="D977" s="328"/>
      <c r="E977" s="328"/>
      <c r="F977" s="354"/>
      <c r="G977" s="354"/>
      <c r="H977" s="354"/>
      <c r="I977" s="354"/>
      <c r="J977" s="354"/>
      <c r="K977" s="354"/>
      <c r="L977" s="331"/>
    </row>
    <row r="978" ht="15.75" customHeight="1">
      <c r="A978" s="328"/>
      <c r="B978" s="328"/>
      <c r="C978" s="354"/>
      <c r="D978" s="328"/>
      <c r="E978" s="328"/>
      <c r="F978" s="354"/>
      <c r="G978" s="354"/>
      <c r="H978" s="354"/>
      <c r="I978" s="354"/>
      <c r="J978" s="354"/>
      <c r="K978" s="354"/>
      <c r="L978" s="331"/>
    </row>
    <row r="979" ht="15.75" customHeight="1">
      <c r="A979" s="328"/>
      <c r="B979" s="328"/>
      <c r="C979" s="354"/>
      <c r="D979" s="328"/>
      <c r="E979" s="328"/>
      <c r="F979" s="354"/>
      <c r="G979" s="354"/>
      <c r="H979" s="354"/>
      <c r="I979" s="354"/>
      <c r="J979" s="354"/>
      <c r="K979" s="354"/>
      <c r="L979" s="331"/>
    </row>
    <row r="980" ht="15.75" customHeight="1">
      <c r="A980" s="328"/>
      <c r="B980" s="328"/>
      <c r="C980" s="354"/>
      <c r="D980" s="328"/>
      <c r="E980" s="328"/>
      <c r="F980" s="354"/>
      <c r="G980" s="354"/>
      <c r="H980" s="354"/>
      <c r="I980" s="354"/>
      <c r="J980" s="354"/>
      <c r="K980" s="354"/>
      <c r="L980" s="331"/>
    </row>
    <row r="981" ht="15.75" customHeight="1">
      <c r="A981" s="328"/>
      <c r="B981" s="328"/>
      <c r="C981" s="354"/>
      <c r="D981" s="328"/>
      <c r="E981" s="328"/>
      <c r="F981" s="354"/>
      <c r="G981" s="354"/>
      <c r="H981" s="354"/>
      <c r="I981" s="354"/>
      <c r="J981" s="354"/>
      <c r="K981" s="354"/>
      <c r="L981" s="331"/>
    </row>
    <row r="982" ht="15.75" customHeight="1">
      <c r="A982" s="328"/>
      <c r="B982" s="328"/>
      <c r="C982" s="354"/>
      <c r="D982" s="328"/>
      <c r="E982" s="328"/>
      <c r="F982" s="354"/>
      <c r="G982" s="354"/>
      <c r="H982" s="354"/>
      <c r="I982" s="354"/>
      <c r="J982" s="354"/>
      <c r="K982" s="354"/>
      <c r="L982" s="331"/>
    </row>
    <row r="983" ht="15.75" customHeight="1">
      <c r="A983" s="328"/>
      <c r="B983" s="328"/>
      <c r="C983" s="354"/>
      <c r="D983" s="328"/>
      <c r="E983" s="328"/>
      <c r="F983" s="354"/>
      <c r="G983" s="354"/>
      <c r="H983" s="354"/>
      <c r="I983" s="354"/>
      <c r="J983" s="354"/>
      <c r="K983" s="354"/>
      <c r="L983" s="331"/>
    </row>
    <row r="984" ht="15.75" customHeight="1">
      <c r="A984" s="328"/>
      <c r="B984" s="328"/>
      <c r="C984" s="354"/>
      <c r="D984" s="328"/>
      <c r="E984" s="328"/>
      <c r="F984" s="354"/>
      <c r="G984" s="354"/>
      <c r="H984" s="354"/>
      <c r="I984" s="354"/>
      <c r="J984" s="354"/>
      <c r="K984" s="354"/>
      <c r="L984" s="331"/>
    </row>
    <row r="985" ht="15.75" customHeight="1">
      <c r="A985" s="328"/>
      <c r="B985" s="328"/>
      <c r="C985" s="354"/>
      <c r="D985" s="328"/>
      <c r="E985" s="328"/>
      <c r="F985" s="354"/>
      <c r="G985" s="354"/>
      <c r="H985" s="354"/>
      <c r="I985" s="354"/>
      <c r="J985" s="354"/>
      <c r="K985" s="354"/>
      <c r="L985" s="331"/>
    </row>
    <row r="986" ht="15.75" customHeight="1">
      <c r="A986" s="328"/>
      <c r="B986" s="328"/>
      <c r="C986" s="354"/>
      <c r="D986" s="328"/>
      <c r="E986" s="328"/>
      <c r="F986" s="354"/>
      <c r="G986" s="354"/>
      <c r="H986" s="354"/>
      <c r="I986" s="354"/>
      <c r="J986" s="354"/>
      <c r="K986" s="354"/>
      <c r="L986" s="331"/>
    </row>
    <row r="987" ht="15.75" customHeight="1">
      <c r="A987" s="328"/>
      <c r="B987" s="328"/>
      <c r="C987" s="354"/>
      <c r="D987" s="328"/>
      <c r="E987" s="328"/>
      <c r="F987" s="354"/>
      <c r="G987" s="354"/>
      <c r="H987" s="354"/>
      <c r="I987" s="354"/>
      <c r="J987" s="354"/>
      <c r="K987" s="354"/>
      <c r="L987" s="331"/>
    </row>
    <row r="988" ht="15.75" customHeight="1">
      <c r="A988" s="328"/>
      <c r="B988" s="328"/>
      <c r="C988" s="354"/>
      <c r="D988" s="328"/>
      <c r="E988" s="328"/>
      <c r="F988" s="354"/>
      <c r="G988" s="354"/>
      <c r="H988" s="354"/>
      <c r="I988" s="354"/>
      <c r="J988" s="354"/>
      <c r="K988" s="354"/>
      <c r="L988" s="331"/>
    </row>
    <row r="989" ht="15.75" customHeight="1">
      <c r="A989" s="328"/>
      <c r="B989" s="328"/>
      <c r="C989" s="354"/>
      <c r="D989" s="328"/>
      <c r="E989" s="328"/>
      <c r="F989" s="354"/>
      <c r="G989" s="354"/>
      <c r="H989" s="354"/>
      <c r="I989" s="354"/>
      <c r="J989" s="354"/>
      <c r="K989" s="354"/>
      <c r="L989" s="331"/>
    </row>
    <row r="990" ht="15.75" customHeight="1">
      <c r="A990" s="328"/>
      <c r="B990" s="328"/>
      <c r="C990" s="354"/>
      <c r="D990" s="328"/>
      <c r="E990" s="328"/>
      <c r="F990" s="354"/>
      <c r="G990" s="354"/>
      <c r="H990" s="354"/>
      <c r="I990" s="354"/>
      <c r="J990" s="354"/>
      <c r="K990" s="354"/>
      <c r="L990" s="331"/>
    </row>
    <row r="991" ht="15.75" customHeight="1">
      <c r="A991" s="328"/>
      <c r="B991" s="328"/>
      <c r="C991" s="354"/>
      <c r="D991" s="328"/>
      <c r="E991" s="328"/>
      <c r="F991" s="354"/>
      <c r="G991" s="354"/>
      <c r="H991" s="354"/>
      <c r="I991" s="354"/>
      <c r="J991" s="354"/>
      <c r="K991" s="354"/>
      <c r="L991" s="331"/>
    </row>
    <row r="992" ht="15.75" customHeight="1">
      <c r="A992" s="328"/>
      <c r="B992" s="328"/>
      <c r="C992" s="354"/>
      <c r="D992" s="328"/>
      <c r="E992" s="328"/>
      <c r="F992" s="354"/>
      <c r="G992" s="354"/>
      <c r="H992" s="354"/>
      <c r="I992" s="354"/>
      <c r="J992" s="354"/>
      <c r="K992" s="354"/>
      <c r="L992" s="331"/>
    </row>
    <row r="993" ht="15.75" customHeight="1">
      <c r="A993" s="328"/>
      <c r="B993" s="328"/>
      <c r="C993" s="354"/>
      <c r="D993" s="328"/>
      <c r="E993" s="328"/>
      <c r="F993" s="354"/>
      <c r="G993" s="354"/>
      <c r="H993" s="354"/>
      <c r="I993" s="354"/>
      <c r="J993" s="354"/>
      <c r="K993" s="354"/>
      <c r="L993" s="331"/>
    </row>
    <row r="994" ht="15.75" customHeight="1">
      <c r="A994" s="328"/>
      <c r="B994" s="328"/>
      <c r="C994" s="354"/>
      <c r="D994" s="328"/>
      <c r="E994" s="328"/>
      <c r="F994" s="354"/>
      <c r="G994" s="354"/>
      <c r="H994" s="354"/>
      <c r="I994" s="354"/>
      <c r="J994" s="354"/>
      <c r="K994" s="354"/>
      <c r="L994" s="331"/>
    </row>
    <row r="995" ht="15.75" customHeight="1">
      <c r="A995" s="328"/>
      <c r="B995" s="328"/>
      <c r="C995" s="354"/>
      <c r="D995" s="328"/>
      <c r="E995" s="328"/>
      <c r="F995" s="354"/>
      <c r="G995" s="354"/>
      <c r="H995" s="354"/>
      <c r="I995" s="354"/>
      <c r="J995" s="354"/>
      <c r="K995" s="354"/>
      <c r="L995" s="331"/>
    </row>
    <row r="996" ht="15.75" customHeight="1">
      <c r="A996" s="328"/>
      <c r="B996" s="328"/>
      <c r="C996" s="354"/>
      <c r="D996" s="328"/>
      <c r="E996" s="328"/>
      <c r="F996" s="354"/>
      <c r="G996" s="354"/>
      <c r="H996" s="354"/>
      <c r="I996" s="354"/>
      <c r="J996" s="354"/>
      <c r="K996" s="354"/>
      <c r="L996" s="331"/>
    </row>
    <row r="997" ht="15.75" customHeight="1">
      <c r="A997" s="328"/>
      <c r="B997" s="328"/>
      <c r="C997" s="354"/>
      <c r="D997" s="328"/>
      <c r="E997" s="328"/>
      <c r="F997" s="354"/>
      <c r="G997" s="354"/>
      <c r="H997" s="354"/>
      <c r="I997" s="354"/>
      <c r="J997" s="354"/>
      <c r="K997" s="354"/>
      <c r="L997" s="331"/>
    </row>
    <row r="998" ht="15.75" customHeight="1">
      <c r="A998" s="328"/>
      <c r="B998" s="328"/>
      <c r="C998" s="354"/>
      <c r="D998" s="328"/>
      <c r="E998" s="328"/>
      <c r="F998" s="354"/>
      <c r="G998" s="354"/>
      <c r="H998" s="354"/>
      <c r="I998" s="354"/>
      <c r="J998" s="354"/>
      <c r="K998" s="354"/>
      <c r="L998" s="331"/>
    </row>
    <row r="999" ht="15.75" customHeight="1">
      <c r="A999" s="328"/>
      <c r="B999" s="328"/>
      <c r="C999" s="354"/>
      <c r="D999" s="328"/>
      <c r="E999" s="328"/>
      <c r="F999" s="354"/>
      <c r="G999" s="354"/>
      <c r="H999" s="354"/>
      <c r="I999" s="354"/>
      <c r="J999" s="354"/>
      <c r="K999" s="354"/>
      <c r="L999" s="331"/>
    </row>
    <row r="1000" ht="15.75" customHeight="1">
      <c r="A1000" s="328"/>
      <c r="B1000" s="328"/>
      <c r="C1000" s="354"/>
      <c r="D1000" s="328"/>
      <c r="E1000" s="328"/>
      <c r="F1000" s="354"/>
      <c r="G1000" s="354"/>
      <c r="H1000" s="354"/>
      <c r="I1000" s="354"/>
      <c r="J1000" s="354"/>
      <c r="K1000" s="354"/>
      <c r="L1000" s="331"/>
    </row>
  </sheetData>
  <mergeCells count="2">
    <mergeCell ref="A1:M1"/>
    <mergeCell ref="A2:M2"/>
  </mergeCells>
  <conditionalFormatting sqref="E4:E15">
    <cfRule type="cellIs" dxfId="21" priority="1" operator="equal">
      <formula>"Líder de Equipo"</formula>
    </cfRule>
  </conditionalFormatting>
  <dataValidations>
    <dataValidation type="list" allowBlank="1" sqref="E4:E15">
      <formula1>"Líder de Equipo,Técnico Principal,Técnico Secundario,Documentador,Control de Calidad,Tester / Instalador"</formula1>
    </dataValidation>
    <dataValidation type="list" allowBlank="1" showDropDown="1" showErrorMessage="1" sqref="C4:C15">
      <formula1>"Grupo 1,Grupo 2"</formula1>
    </dataValidation>
    <dataValidation type="custom" allowBlank="1" showDropDown="1" sqref="A4:A15 F4:L15">
      <formula1>AND(ISNUMBER(A4),(NOT(OR(NOT(ISERROR(DATEVALUE(A4))), AND(ISNUMBER(A4), LEFT(CELL("format", A4))="D")))))</formula1>
    </dataValidation>
    <dataValidation type="list" allowBlank="1" showDropDown="1" showErrorMessage="1" sqref="D4:D15">
      <formula1>"Lunes y Miércoles,Martes y Jueves"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4.0"/>
    <col customWidth="1" min="2" max="2" width="25.43"/>
    <col customWidth="1" min="3" max="3" width="22.86"/>
    <col customWidth="1" min="4" max="4" width="21.0"/>
    <col customWidth="1" min="5" max="6" width="14.57"/>
    <col customWidth="1" min="7" max="7" width="12.86"/>
  </cols>
  <sheetData>
    <row r="1" ht="15.75" customHeight="1">
      <c r="A1" s="5" t="s">
        <v>66</v>
      </c>
      <c r="B1" s="2"/>
      <c r="C1" s="2"/>
      <c r="D1" s="2"/>
      <c r="E1" s="2"/>
      <c r="F1" s="2"/>
      <c r="G1" s="3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ht="15.0" customHeight="1">
      <c r="A2" s="289"/>
      <c r="B2" s="2"/>
      <c r="C2" s="2"/>
      <c r="D2" s="2"/>
      <c r="E2" s="2"/>
      <c r="F2" s="2"/>
      <c r="G2" s="3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ht="15.0" customHeight="1">
      <c r="A3" s="290"/>
      <c r="B3" s="291" t="s">
        <v>780</v>
      </c>
      <c r="C3" s="2"/>
      <c r="D3" s="2"/>
      <c r="E3" s="2"/>
      <c r="F3" s="2"/>
      <c r="G3" s="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>
      <c r="A4" s="14"/>
      <c r="B4" s="238" t="s">
        <v>781</v>
      </c>
      <c r="C4" s="292" t="s">
        <v>782</v>
      </c>
      <c r="D4" s="253" t="s">
        <v>783</v>
      </c>
      <c r="E4" s="238" t="s">
        <v>784</v>
      </c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>
      <c r="A5" s="14"/>
      <c r="B5" s="293">
        <f>COUNTA('💻 EQUIPOS'!B4:B986)</f>
        <v>136</v>
      </c>
      <c r="C5" s="294">
        <f>COUNTIF('💻 EQUIPOS'!I4:I986,"Diagnosticando")+COUNTIF('💻 EQUIPOS'!I4:I986,"Desbloqueando")+COUNTIF('💻 EQUIPOS'!I4:I986,"Instalando SO")+COUNTIF('💻 EQUIPOS'!I4:I986,"Configurando")+COUNTIF('💻 EQUIPOS'!I4:I986,"Probando")+COUNTIF('💻 EQUIPOS'!I4:I986,"Finalizada OK")+COUNTIF('💻 EQUIPOS'!I4:I986,"Derivada")</f>
        <v>127</v>
      </c>
      <c r="D5" s="295">
        <f>COUNTIF('💻 EQUIPOS'!I4:I986,"Desbloqueando")+COUNTIF('💻 EQUIPOS'!I4:I986,"Instalando SO")+COUNTIF('💻 EQUIPOS'!I4:I986,"Configurando")+COUNTIF('💻 EQUIPOS'!I4:I986,"Probando")+COUNTIF('💻 EQUIPOS'!I4:I986,"Finalizada OK")</f>
        <v>113</v>
      </c>
      <c r="E5" s="293">
        <f>COUNTIF('💻 EQUIPOS'!I4:I986,"Instalando SO")+COUNTIF('💻 EQUIPOS'!I4:I986,"Configurando")+COUNTIF('💻 EQUIPOS'!I4:I986,"Probando")+COUNTIF('💻 EQUIPOS'!I4:I986,"Finalizada OK")</f>
        <v>113</v>
      </c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ht="15.0" customHeight="1">
      <c r="A7" s="14"/>
      <c r="B7" s="251" t="s">
        <v>785</v>
      </c>
      <c r="C7" s="296" t="s">
        <v>786</v>
      </c>
      <c r="D7" s="297" t="s">
        <v>787</v>
      </c>
      <c r="E7" s="238" t="s">
        <v>788</v>
      </c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>
      <c r="A8" s="14"/>
      <c r="B8" s="298">
        <f>COUNTIF('💻 EQUIPOS'!I4:I986,"Finalizada OK")</f>
        <v>107</v>
      </c>
      <c r="C8" s="299">
        <f>COUNTIF('💻 EQUIPOS'!I4:I986,"Derivada")</f>
        <v>14</v>
      </c>
      <c r="D8" s="300">
        <f>IFERROR(COUNTIF('💻 EQUIPOS'!I4:I986,"Finalizada OK")/COUNTA('💻 EQUIPOS'!B4:B986),0)</f>
        <v>0.7867647059</v>
      </c>
      <c r="E8" s="293">
        <f>COUNTIF('🔧 OT'!N4:N986,"Configurando")+COUNTIF('🔧 OT'!N4:N986,"Pendiente")+COUNTIF('🔧 OT'!N4:N986,"Instalando SO")+COUNTIF('🔧 OT'!N4:N986,"Desbloqueando")+COUNTIF('🔧 OT'!N4:N986,"Diagnosticando")+COUNTIF('🔧 OT'!N4:N986,"Probando")</f>
        <v>15</v>
      </c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</row>
    <row r="12" ht="15.0" customHeight="1">
      <c r="A12" s="14"/>
      <c r="B12" s="1" t="s">
        <v>789</v>
      </c>
      <c r="C12" s="2"/>
      <c r="D12" s="2"/>
      <c r="E12" s="2"/>
      <c r="F12" s="2"/>
      <c r="G12" s="3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  <row r="13">
      <c r="A13" s="14"/>
      <c r="B13" s="301" t="s">
        <v>23</v>
      </c>
      <c r="C13" s="301" t="s">
        <v>790</v>
      </c>
      <c r="D13" s="301" t="s">
        <v>791</v>
      </c>
      <c r="E13" s="301" t="s">
        <v>792</v>
      </c>
      <c r="F13" s="301" t="s">
        <v>793</v>
      </c>
      <c r="G13" s="301" t="s">
        <v>794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ht="15.0" customHeight="1">
      <c r="A14" s="14"/>
      <c r="B14" s="302" t="s">
        <v>104</v>
      </c>
      <c r="C14" s="302" t="s">
        <v>795</v>
      </c>
      <c r="D14" s="303">
        <v>6.0</v>
      </c>
      <c r="E14" s="303">
        <f>COUNTIF('💻 EQUIPOS'!J4:J70,"Grupo 1")</f>
        <v>30</v>
      </c>
      <c r="F14" s="303">
        <f>COUNTIFS('💻 EQUIPOS'!J4:J70,"Grupo 1",'💻 EQUIPOS'!I4:I70,"Finalizada OK")</f>
        <v>20</v>
      </c>
      <c r="G14" s="304">
        <f t="shared" ref="G14:G15" si="1">IFERROR(F14/E14,0)</f>
        <v>0.6666666667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ht="15.0" customHeight="1">
      <c r="A15" s="14"/>
      <c r="B15" s="305" t="s">
        <v>78</v>
      </c>
      <c r="C15" s="305" t="s">
        <v>796</v>
      </c>
      <c r="D15" s="306">
        <v>6.0</v>
      </c>
      <c r="E15" s="306">
        <f>COUNTIF('💻 EQUIPOS'!J4:J70,"Grupo 2")</f>
        <v>37</v>
      </c>
      <c r="F15" s="306">
        <f>COUNTIFS('💻 EQUIPOS'!J4:J70,"Grupo 2",'💻 EQUIPOS'!I4:I70,"Finalizada OK")</f>
        <v>33</v>
      </c>
      <c r="G15" s="307">
        <f t="shared" si="1"/>
        <v>0.8918918919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</row>
    <row r="17" ht="15.0" customHeight="1">
      <c r="A17" s="14"/>
      <c r="B17" s="1" t="s">
        <v>797</v>
      </c>
      <c r="C17" s="2"/>
      <c r="D17" s="2"/>
      <c r="E17" s="2"/>
      <c r="F17" s="2"/>
      <c r="G17" s="3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</row>
    <row r="18">
      <c r="A18" s="14"/>
      <c r="B18" s="308" t="s">
        <v>798</v>
      </c>
      <c r="C18" s="308" t="s">
        <v>38</v>
      </c>
      <c r="D18" s="308" t="s">
        <v>39</v>
      </c>
      <c r="E18" s="308" t="s">
        <v>799</v>
      </c>
      <c r="F18" s="308" t="s">
        <v>800</v>
      </c>
      <c r="G18" s="308" t="s">
        <v>801</v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  <row r="19">
      <c r="A19" s="14"/>
      <c r="B19" s="309">
        <f>COUNTIF('📅 ASISTENCIA'!D6:I35,"Presente")+COUNTIF('📅 ASISTENCIA'!D6:I35,"Ausente")+COUNTIF('📅 ASISTENCIA'!D6:I35,"Tardanza")+COUNTIF('📅 ASISTENCIA'!D6:I35,"Justificado")+COUNTIF('📅 ASISTENCIA'!D39:I68,"Presente")+COUNTIF('📅 ASISTENCIA'!D39:I68,"Ausente")+COUNTIF('📅 ASISTENCIA'!D39:I68,"Tardanza")+COUNTIF('📅 ASISTENCIA'!D39:I68,"Justificado")</f>
        <v>132</v>
      </c>
      <c r="C19" s="310">
        <f>COUNTIF('📅 ASISTENCIA'!D6:I35,"Presente")+COUNTIF('📅 ASISTENCIA'!D6:I35,"Tardanza")+COUNTIF('📅 ASISTENCIA'!D39:I68,"Presente")+COUNTIF('📅 ASISTENCIA'!D39:I68,"Tardanza")</f>
        <v>109</v>
      </c>
      <c r="D19" s="311">
        <f>COUNTIF('📅 ASISTENCIA'!D6:I35,"Ausente")+COUNTIF('📅 ASISTENCIA'!D39:I68,"Ausente")</f>
        <v>21</v>
      </c>
      <c r="E19" s="312">
        <f>COUNTIF('📅 ASISTENCIA'!D6:I35,"Tardanza")+COUNTIF('📅 ASISTENCIA'!D39:I68,"Tardanza")</f>
        <v>3</v>
      </c>
      <c r="F19" s="313">
        <f>COUNTIF('📅 ASISTENCIA'!D6:I35,"Justificado")+COUNTIF('📅 ASISTENCIA'!D39:I68,"Justificado")</f>
        <v>2</v>
      </c>
      <c r="G19" s="314">
        <f>IFERROR(C19/B19,0)</f>
        <v>0.8257575758</v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  <row r="21" ht="15.75" customHeight="1">
      <c r="A21" s="14"/>
      <c r="B21" s="315" t="s">
        <v>802</v>
      </c>
      <c r="C21" s="2"/>
      <c r="D21" s="2"/>
      <c r="E21" s="2"/>
      <c r="F21" s="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</row>
    <row r="22" ht="15.75" customHeight="1">
      <c r="A22" s="14"/>
      <c r="B22" s="316" t="s">
        <v>803</v>
      </c>
      <c r="C22" s="317" t="s">
        <v>804</v>
      </c>
      <c r="D22" s="317" t="s">
        <v>805</v>
      </c>
      <c r="E22" s="317" t="s">
        <v>806</v>
      </c>
      <c r="F22" s="317" t="s">
        <v>787</v>
      </c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</row>
    <row r="23" ht="15.75" customHeight="1">
      <c r="A23" s="14"/>
      <c r="B23" s="318">
        <f>COUNTA('🏫 TERRITORIO'!G5:G1000)</f>
        <v>20</v>
      </c>
      <c r="C23" s="318">
        <f>SUMPRODUCT(('🏫 TERRITORIO'!D5:D1000&lt;&gt;"")/COUNTIF('🏫 TERRITORIO'!D5:D1000,'🏫 TERRITORIO'!D5:D1000&amp;""))</f>
        <v>1</v>
      </c>
      <c r="D23" s="318">
        <f>COUNTIF('🏫 TERRITORIO'!L5:L1000,"Finalizada OK")</f>
        <v>14</v>
      </c>
      <c r="E23" s="318">
        <f>COUNTIF('🏫 TERRITORIO'!L5:L1000,"Derivada")</f>
        <v>6</v>
      </c>
      <c r="F23" s="319">
        <f>IFERROR(D23/B23,0)</f>
        <v>0.7</v>
      </c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  <row r="24" ht="15.75" customHeight="1">
      <c r="A24" s="14"/>
      <c r="B24" s="320"/>
      <c r="C24" s="320"/>
      <c r="D24" s="320"/>
      <c r="E24" s="320"/>
      <c r="F24" s="320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  <row r="25" ht="15.75" customHeight="1">
      <c r="A25" s="14"/>
      <c r="B25" s="315" t="s">
        <v>807</v>
      </c>
      <c r="C25" s="2"/>
      <c r="D25" s="2"/>
      <c r="E25" s="3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</row>
    <row r="26" ht="15.75" customHeight="1">
      <c r="A26" s="14"/>
      <c r="B26" s="317" t="s">
        <v>23</v>
      </c>
      <c r="C26" s="317" t="s">
        <v>808</v>
      </c>
      <c r="D26" s="317" t="s">
        <v>793</v>
      </c>
      <c r="E26" s="317" t="s">
        <v>794</v>
      </c>
      <c r="F26" s="320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  <row r="27" ht="15.75" customHeight="1">
      <c r="A27" s="14"/>
      <c r="B27" s="321" t="s">
        <v>104</v>
      </c>
      <c r="C27" s="322">
        <f>COUNTIF('🏫 TERRITORIO'!J5:J1000,"Grupo 1")</f>
        <v>0</v>
      </c>
      <c r="D27" s="322">
        <f>COUNTIFS('🏫 TERRITORIO'!J5:J1000,"Grupo 1",'🏫 TERRITORIO'!L5:L1000,"Finalizada OK")</f>
        <v>0</v>
      </c>
      <c r="E27" s="323">
        <f t="shared" ref="E27:E28" si="2">IFERROR(D27/C27,0)</f>
        <v>0</v>
      </c>
      <c r="F27" s="320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</row>
    <row r="28" ht="15.75" customHeight="1">
      <c r="A28" s="14"/>
      <c r="B28" s="324" t="s">
        <v>78</v>
      </c>
      <c r="C28" s="325">
        <f>COUNTIF('🏫 TERRITORIO'!J5:J1000,"Grupo 2")</f>
        <v>15</v>
      </c>
      <c r="D28" s="325">
        <f>COUNTIFS('🏫 TERRITORIO'!J5:J1000,"Grupo 2",'🏫 TERRITORIO'!L5:L1000,"Finalizada OK")</f>
        <v>11</v>
      </c>
      <c r="E28" s="326">
        <f t="shared" si="2"/>
        <v>0.7333333333</v>
      </c>
      <c r="F28" s="320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  <row r="29" ht="15.75" customHeigh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</row>
    <row r="30" ht="15.75" customHeigh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  <row r="31" ht="15.7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</row>
    <row r="32" ht="15.75" customHeigh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  <row r="33" ht="15.75" customHeight="1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ht="15.75" customHeight="1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ht="15.75" customHeight="1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ht="15.75" customHeight="1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ht="15.75" customHeight="1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ht="15.75" customHeight="1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ht="15.75" customHeight="1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</row>
    <row r="40" ht="15.7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  <row r="41" ht="15.75" customHeight="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</row>
    <row r="42" ht="15.7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  <row r="43" ht="15.75" customHeight="1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</row>
    <row r="44" ht="15.7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</row>
    <row r="45" ht="15.75" customHeight="1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</row>
    <row r="4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</row>
    <row r="47" ht="15.75" customHeight="1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</row>
    <row r="48" ht="15.75" customHeight="1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</row>
    <row r="49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</row>
    <row r="50" ht="15.75" customHeight="1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</row>
    <row r="51" ht="15.7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</row>
    <row r="52" ht="15.75" customHeight="1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</row>
    <row r="53" ht="15.7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</row>
    <row r="54" ht="15.75" customHeight="1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</row>
    <row r="55" ht="15.75" customHeight="1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</row>
    <row r="56" ht="15.75" customHeight="1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</row>
    <row r="57" ht="15.75" customHeight="1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</row>
    <row r="58" ht="15.75" customHeight="1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</row>
    <row r="59" ht="15.75" customHeight="1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</row>
    <row r="60" ht="15.75" customHeight="1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</row>
    <row r="61" ht="15.75" customHeight="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</row>
    <row r="62" ht="15.75" customHeight="1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</row>
    <row r="63" ht="15.75" customHeight="1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</row>
    <row r="64" ht="15.75" customHeight="1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</row>
    <row r="65" ht="15.75" customHeight="1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</row>
    <row r="66" ht="15.7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</row>
    <row r="67" ht="15.75" customHeight="1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</row>
    <row r="68" ht="15.75" customHeight="1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</row>
    <row r="69" ht="15.75" customHeight="1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</row>
    <row r="70" ht="15.75" customHeight="1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</row>
    <row r="71" ht="15.75" customHeight="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</row>
    <row r="72" ht="15.75" customHeight="1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</row>
    <row r="73" ht="15.75" customHeight="1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</row>
    <row r="74" ht="15.75" customHeight="1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</row>
    <row r="75" ht="15.75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</row>
    <row r="76" ht="15.75" customHeight="1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</row>
    <row r="77" ht="15.75" customHeight="1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</row>
    <row r="78" ht="15.75" customHeight="1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</row>
    <row r="79" ht="15.75" customHeight="1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</row>
    <row r="80" ht="15.75" customHeight="1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</row>
    <row r="81" ht="15.75" customHeight="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</row>
    <row r="82" ht="15.75" customHeight="1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</row>
    <row r="83" ht="15.75" customHeight="1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</row>
    <row r="84" ht="15.75" customHeight="1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</row>
    <row r="85" ht="15.7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</row>
    <row r="86" ht="15.75" customHeight="1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</row>
    <row r="87" ht="15.75" customHeight="1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</row>
    <row r="88" ht="15.75" customHeight="1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</row>
    <row r="89" ht="15.75" customHeight="1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</row>
    <row r="90" ht="15.75" customHeight="1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</row>
    <row r="91" ht="15.75" customHeight="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</row>
    <row r="92" ht="15.7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</row>
    <row r="93" ht="15.75" customHeight="1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</row>
    <row r="94" ht="15.75" customHeight="1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</row>
    <row r="95" ht="15.75" customHeight="1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</row>
    <row r="96" ht="15.75" customHeight="1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</row>
    <row r="97" ht="15.75" customHeight="1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</row>
    <row r="98" ht="15.75" customHeight="1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</row>
    <row r="99" ht="15.75" customHeight="1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</row>
    <row r="100" ht="15.75" customHeight="1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</row>
    <row r="101" ht="15.75" customHeight="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</row>
    <row r="102" ht="15.75" customHeight="1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</row>
    <row r="103" ht="15.7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</row>
    <row r="104" ht="15.75" customHeight="1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</row>
    <row r="105" ht="15.75" customHeight="1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</row>
    <row r="106" ht="15.75" customHeight="1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</row>
    <row r="107" ht="15.75" customHeight="1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</row>
    <row r="108" ht="15.75" customHeight="1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</row>
    <row r="109" ht="15.75" customHeight="1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</row>
    <row r="110" ht="15.75" customHeight="1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</row>
    <row r="111" ht="15.75" customHeight="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</row>
    <row r="112" ht="15.7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</row>
    <row r="113" ht="15.75" customHeight="1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</row>
    <row r="114" ht="15.75" customHeight="1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</row>
    <row r="115" ht="15.75" customHeight="1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</row>
    <row r="116" ht="15.75" customHeight="1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</row>
    <row r="117" ht="15.75" customHeight="1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</row>
    <row r="118" ht="15.75" customHeight="1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</row>
    <row r="119" ht="15.75" customHeight="1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</row>
    <row r="120" ht="15.75" customHeight="1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</row>
    <row r="121" ht="15.75" customHeight="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</row>
    <row r="122" ht="15.75" customHeight="1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</row>
    <row r="123" ht="15.7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</row>
    <row r="124" ht="15.75" customHeight="1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</row>
    <row r="125" ht="15.75" customHeight="1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</row>
    <row r="126" ht="15.75" customHeight="1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</row>
    <row r="127" ht="15.75" customHeight="1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</row>
    <row r="128" ht="15.75" customHeight="1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</row>
    <row r="129" ht="15.75" customHeight="1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</row>
    <row r="130" ht="15.7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</row>
    <row r="131" ht="15.75" customHeight="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</row>
    <row r="132" ht="15.75" customHeight="1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</row>
    <row r="133" ht="15.75" customHeight="1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</row>
    <row r="134" ht="15.75" customHeight="1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</row>
    <row r="135" ht="15.75" customHeight="1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</row>
    <row r="136" ht="15.75" customHeight="1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</row>
    <row r="137" ht="15.75" customHeight="1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</row>
    <row r="138" ht="15.75" customHeight="1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</row>
    <row r="139" ht="15.75" customHeight="1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</row>
    <row r="140" ht="15.7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</row>
    <row r="141" ht="15.75" customHeight="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</row>
    <row r="142" ht="15.75" customHeight="1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</row>
    <row r="143" ht="15.75" customHeight="1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</row>
    <row r="144" ht="15.75" customHeight="1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</row>
    <row r="145" ht="15.75" customHeight="1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</row>
    <row r="146" ht="15.75" customHeight="1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</row>
    <row r="147" ht="15.75" customHeight="1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</row>
    <row r="148" ht="15.75" customHeight="1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</row>
    <row r="149" ht="15.75" customHeight="1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</row>
    <row r="150" ht="15.75" customHeight="1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</row>
    <row r="151" ht="15.75" customHeight="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</row>
    <row r="152" ht="15.75" customHeight="1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</row>
    <row r="153" ht="15.7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</row>
    <row r="154" ht="15.75" customHeight="1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</row>
    <row r="155" ht="15.75" customHeight="1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</row>
    <row r="156" ht="15.75" customHeight="1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</row>
    <row r="157" ht="15.75" customHeight="1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</row>
    <row r="158" ht="15.75" customHeight="1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</row>
    <row r="159" ht="15.75" customHeight="1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</row>
    <row r="160" ht="15.75" customHeight="1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</row>
    <row r="161" ht="15.75" customHeight="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</row>
    <row r="162" ht="15.75" customHeight="1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</row>
    <row r="163" ht="15.75" customHeight="1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</row>
    <row r="164" ht="15.75" customHeight="1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</row>
    <row r="165" ht="15.75" customHeight="1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</row>
    <row r="166" ht="15.75" customHeight="1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</row>
    <row r="167" ht="15.75" customHeight="1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</row>
    <row r="168" ht="15.75" customHeight="1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</row>
    <row r="169" ht="15.75" customHeight="1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</row>
    <row r="170" ht="15.75" customHeight="1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</row>
    <row r="171" ht="15.75" customHeight="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</row>
    <row r="172" ht="15.75" customHeight="1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</row>
    <row r="173" ht="15.75" customHeight="1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</row>
    <row r="174" ht="15.75" customHeight="1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</row>
    <row r="175" ht="15.75" customHeight="1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</row>
    <row r="176" ht="15.75" customHeight="1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</row>
    <row r="177" ht="15.7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</row>
    <row r="178" ht="15.75" customHeight="1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</row>
    <row r="179" ht="15.75" customHeight="1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</row>
    <row r="180" ht="15.75" customHeight="1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</row>
    <row r="181" ht="15.75" customHeight="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</row>
    <row r="182" ht="15.75" customHeight="1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</row>
    <row r="183" ht="15.75" customHeight="1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</row>
    <row r="184" ht="15.75" customHeight="1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</row>
    <row r="185" ht="15.7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</row>
    <row r="186" ht="15.75" customHeight="1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</row>
    <row r="187" ht="15.75" customHeight="1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</row>
    <row r="188" ht="15.75" customHeight="1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</row>
    <row r="189" ht="15.75" customHeight="1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</row>
    <row r="190" ht="15.75" customHeight="1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</row>
    <row r="191" ht="15.7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</row>
    <row r="192" ht="15.75" customHeight="1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</row>
    <row r="193" ht="15.75" customHeight="1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</row>
    <row r="194" ht="15.75" customHeight="1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</row>
    <row r="195" ht="15.75" customHeight="1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</row>
    <row r="196" ht="15.75" customHeight="1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</row>
    <row r="197" ht="15.75" customHeight="1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</row>
    <row r="198" ht="15.75" customHeight="1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</row>
    <row r="199" ht="15.75" customHeight="1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</row>
    <row r="200" ht="15.75" customHeight="1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</row>
    <row r="201" ht="15.75" customHeight="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</row>
    <row r="202" ht="15.75" customHeight="1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</row>
    <row r="203" ht="15.75" customHeight="1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</row>
    <row r="204" ht="15.75" customHeight="1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</row>
    <row r="205" ht="15.75" customHeight="1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</row>
    <row r="206" ht="15.75" customHeight="1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</row>
    <row r="207" ht="15.75" customHeight="1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</row>
    <row r="208" ht="15.75" customHeight="1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</row>
    <row r="209" ht="15.75" customHeight="1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</row>
    <row r="210" ht="15.75" customHeight="1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</row>
    <row r="211" ht="15.75" customHeight="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</row>
    <row r="212" ht="15.7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</row>
    <row r="213" ht="15.75" customHeight="1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</row>
    <row r="214" ht="15.75" customHeight="1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</row>
    <row r="215" ht="15.75" customHeight="1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</row>
    <row r="216" ht="15.75" customHeight="1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</row>
    <row r="217" ht="15.75" customHeight="1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</row>
    <row r="218" ht="15.75" customHeight="1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</row>
    <row r="219" ht="15.75" customHeight="1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</row>
  </sheetData>
  <mergeCells count="7">
    <mergeCell ref="A1:G1"/>
    <mergeCell ref="A2:G2"/>
    <mergeCell ref="B3:G3"/>
    <mergeCell ref="B12:G12"/>
    <mergeCell ref="B17:G17"/>
    <mergeCell ref="B21:F21"/>
    <mergeCell ref="B25:E25"/>
  </mergeCells>
  <conditionalFormatting sqref="B19">
    <cfRule type="notContainsBlanks" dxfId="20" priority="1">
      <formula>LEN(TRIM(B19))&gt;0</formula>
    </cfRule>
  </conditionalFormatting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327" t="s">
        <v>17</v>
      </c>
      <c r="B1" s="327" t="s">
        <v>18</v>
      </c>
      <c r="C1" s="327" t="s">
        <v>19</v>
      </c>
      <c r="D1" s="327" t="s">
        <v>809</v>
      </c>
    </row>
    <row r="2" ht="15.0" customHeight="1">
      <c r="A2" s="328" t="s">
        <v>810</v>
      </c>
      <c r="B2" s="328">
        <v>6.1672701E7</v>
      </c>
      <c r="C2" s="328" t="s">
        <v>811</v>
      </c>
      <c r="D2" s="328" t="s">
        <v>812</v>
      </c>
    </row>
    <row r="3" ht="15.0" customHeight="1">
      <c r="A3" s="328" t="s">
        <v>813</v>
      </c>
      <c r="B3" s="328">
        <v>6.16608E7</v>
      </c>
      <c r="C3" s="328" t="s">
        <v>811</v>
      </c>
      <c r="D3" s="328" t="s">
        <v>814</v>
      </c>
    </row>
    <row r="4" ht="15.0" customHeight="1">
      <c r="A4" s="328" t="s">
        <v>815</v>
      </c>
      <c r="B4" s="328">
        <v>6.1371201E7</v>
      </c>
      <c r="C4" s="328" t="s">
        <v>811</v>
      </c>
      <c r="D4" s="328" t="s">
        <v>816</v>
      </c>
    </row>
    <row r="5" ht="15.0" customHeight="1">
      <c r="A5" s="328" t="s">
        <v>817</v>
      </c>
      <c r="B5" s="328">
        <v>6.02986E7</v>
      </c>
      <c r="C5" s="328" t="s">
        <v>811</v>
      </c>
      <c r="D5" s="328" t="s">
        <v>818</v>
      </c>
    </row>
    <row r="6" ht="15.0" customHeight="1">
      <c r="A6" s="328" t="s">
        <v>819</v>
      </c>
      <c r="B6" s="328">
        <v>6.0283801E7</v>
      </c>
      <c r="C6" s="328" t="s">
        <v>811</v>
      </c>
      <c r="D6" s="328" t="s">
        <v>820</v>
      </c>
    </row>
    <row r="7" ht="15.0" customHeight="1">
      <c r="A7" s="328" t="s">
        <v>821</v>
      </c>
      <c r="B7" s="328">
        <v>6.0283802E7</v>
      </c>
      <c r="C7" s="328" t="s">
        <v>811</v>
      </c>
      <c r="D7" s="328" t="s">
        <v>822</v>
      </c>
    </row>
    <row r="8" ht="15.0" customHeight="1">
      <c r="A8" s="328" t="s">
        <v>823</v>
      </c>
      <c r="B8" s="328">
        <v>6.0283803E7</v>
      </c>
      <c r="C8" s="328" t="s">
        <v>811</v>
      </c>
      <c r="D8" s="328" t="s">
        <v>824</v>
      </c>
    </row>
    <row r="9" ht="15.0" customHeight="1">
      <c r="A9" s="328" t="s">
        <v>825</v>
      </c>
      <c r="B9" s="328">
        <v>6.0281E7</v>
      </c>
      <c r="C9" s="328" t="s">
        <v>811</v>
      </c>
      <c r="D9" s="328" t="s">
        <v>826</v>
      </c>
    </row>
    <row r="10" ht="15.0" customHeight="1">
      <c r="A10" s="328" t="s">
        <v>827</v>
      </c>
      <c r="B10" s="328">
        <v>6.02842E7</v>
      </c>
      <c r="C10" s="328" t="s">
        <v>811</v>
      </c>
      <c r="D10" s="328" t="s">
        <v>828</v>
      </c>
    </row>
    <row r="11" ht="15.0" customHeight="1">
      <c r="A11" s="328" t="s">
        <v>829</v>
      </c>
      <c r="B11" s="328">
        <v>6.16727E7</v>
      </c>
      <c r="C11" s="328" t="s">
        <v>811</v>
      </c>
      <c r="D11" s="328" t="s">
        <v>830</v>
      </c>
    </row>
    <row r="12" ht="15.0" customHeight="1">
      <c r="A12" s="328" t="s">
        <v>831</v>
      </c>
      <c r="B12" s="328">
        <v>6.16412E7</v>
      </c>
      <c r="C12" s="328" t="s">
        <v>811</v>
      </c>
      <c r="D12" s="328" t="s">
        <v>832</v>
      </c>
    </row>
    <row r="13" ht="15.0" customHeight="1">
      <c r="A13" s="328" t="s">
        <v>833</v>
      </c>
      <c r="B13" s="328">
        <v>6.23206E7</v>
      </c>
      <c r="C13" s="328" t="s">
        <v>811</v>
      </c>
      <c r="D13" s="328" t="s">
        <v>834</v>
      </c>
    </row>
    <row r="14" ht="15.0" customHeight="1">
      <c r="A14" s="328" t="s">
        <v>835</v>
      </c>
      <c r="B14" s="328">
        <v>6.15202E7</v>
      </c>
      <c r="C14" s="328" t="s">
        <v>811</v>
      </c>
      <c r="D14" s="328" t="s">
        <v>836</v>
      </c>
    </row>
    <row r="15" ht="15.0" customHeight="1">
      <c r="A15" s="328" t="s">
        <v>837</v>
      </c>
      <c r="B15" s="328">
        <v>6.15203E7</v>
      </c>
      <c r="C15" s="328" t="s">
        <v>811</v>
      </c>
      <c r="D15" s="328" t="s">
        <v>838</v>
      </c>
    </row>
    <row r="16" ht="15.0" customHeight="1">
      <c r="A16" s="328" t="s">
        <v>839</v>
      </c>
      <c r="B16" s="328">
        <v>6.21215E7</v>
      </c>
      <c r="C16" s="328" t="s">
        <v>811</v>
      </c>
      <c r="D16" s="328" t="s">
        <v>840</v>
      </c>
    </row>
    <row r="17" ht="15.0" customHeight="1">
      <c r="A17" s="328" t="s">
        <v>841</v>
      </c>
      <c r="B17" s="328">
        <v>6.23085E7</v>
      </c>
      <c r="C17" s="328" t="s">
        <v>811</v>
      </c>
      <c r="D17" s="328" t="s">
        <v>842</v>
      </c>
    </row>
    <row r="18" ht="15.0" customHeight="1">
      <c r="A18" s="328" t="s">
        <v>843</v>
      </c>
      <c r="B18" s="328">
        <v>6.16609E7</v>
      </c>
      <c r="C18" s="328" t="s">
        <v>811</v>
      </c>
      <c r="D18" s="328" t="s">
        <v>844</v>
      </c>
    </row>
    <row r="19" ht="15.0" customHeight="1">
      <c r="A19" s="328" t="s">
        <v>845</v>
      </c>
      <c r="B19" s="328">
        <v>6.1661E7</v>
      </c>
      <c r="C19" s="328" t="s">
        <v>811</v>
      </c>
      <c r="D19" s="328" t="s">
        <v>846</v>
      </c>
    </row>
    <row r="20" ht="15.0" customHeight="1">
      <c r="A20" s="328" t="s">
        <v>847</v>
      </c>
      <c r="B20" s="328">
        <v>6.23583E7</v>
      </c>
      <c r="C20" s="328" t="s">
        <v>811</v>
      </c>
      <c r="D20" s="328" t="s">
        <v>848</v>
      </c>
    </row>
    <row r="21" ht="15.0" customHeight="1">
      <c r="A21" s="328" t="s">
        <v>849</v>
      </c>
      <c r="B21" s="328">
        <v>6.23937E7</v>
      </c>
      <c r="C21" s="328" t="s">
        <v>811</v>
      </c>
      <c r="D21" s="328" t="s">
        <v>850</v>
      </c>
    </row>
    <row r="22" ht="15.0" customHeight="1">
      <c r="A22" s="328" t="s">
        <v>851</v>
      </c>
      <c r="B22" s="328">
        <v>6.0488E7</v>
      </c>
      <c r="C22" s="328" t="s">
        <v>811</v>
      </c>
      <c r="D22" s="328" t="s">
        <v>852</v>
      </c>
    </row>
    <row r="23" ht="15.0" customHeight="1">
      <c r="A23" s="328" t="s">
        <v>853</v>
      </c>
      <c r="B23" s="328">
        <v>6.2440701E7</v>
      </c>
      <c r="C23" s="328" t="s">
        <v>811</v>
      </c>
      <c r="D23" s="328" t="s">
        <v>854</v>
      </c>
    </row>
    <row r="24" ht="15.0" customHeight="1">
      <c r="A24" s="328" t="s">
        <v>855</v>
      </c>
      <c r="B24" s="328">
        <v>6.22636E7</v>
      </c>
      <c r="C24" s="328" t="s">
        <v>811</v>
      </c>
      <c r="D24" s="328" t="s">
        <v>856</v>
      </c>
    </row>
    <row r="25" ht="15.0" customHeight="1">
      <c r="A25" s="328" t="s">
        <v>857</v>
      </c>
      <c r="B25" s="328">
        <v>6.13712E7</v>
      </c>
      <c r="C25" s="328" t="s">
        <v>811</v>
      </c>
      <c r="D25" s="328" t="s">
        <v>858</v>
      </c>
    </row>
    <row r="26" ht="15.0" customHeight="1">
      <c r="A26" s="328" t="s">
        <v>859</v>
      </c>
      <c r="B26" s="328">
        <v>6.02838E7</v>
      </c>
      <c r="C26" s="328" t="s">
        <v>811</v>
      </c>
      <c r="D26" s="328" t="s">
        <v>860</v>
      </c>
    </row>
    <row r="27" ht="15.0" customHeight="1">
      <c r="A27" s="328" t="s">
        <v>861</v>
      </c>
      <c r="B27" s="328">
        <v>6.14577E7</v>
      </c>
      <c r="C27" s="328" t="s">
        <v>811</v>
      </c>
      <c r="D27" s="328" t="s">
        <v>862</v>
      </c>
    </row>
    <row r="28" ht="15.0" customHeight="1">
      <c r="A28" s="328" t="s">
        <v>863</v>
      </c>
      <c r="B28" s="328">
        <v>6.15201E7</v>
      </c>
      <c r="C28" s="328" t="s">
        <v>811</v>
      </c>
      <c r="D28" s="328" t="s">
        <v>864</v>
      </c>
    </row>
    <row r="29" ht="15.0" customHeight="1">
      <c r="A29" s="328" t="s">
        <v>865</v>
      </c>
      <c r="B29" s="328">
        <v>6.11372E7</v>
      </c>
      <c r="C29" s="328" t="s">
        <v>811</v>
      </c>
      <c r="D29" s="328" t="s">
        <v>866</v>
      </c>
    </row>
    <row r="30" ht="15.0" customHeight="1">
      <c r="A30" s="328" t="s">
        <v>867</v>
      </c>
      <c r="B30" s="328">
        <v>6.1138E7</v>
      </c>
      <c r="C30" s="328" t="s">
        <v>811</v>
      </c>
      <c r="D30" s="328" t="s">
        <v>868</v>
      </c>
    </row>
    <row r="31" ht="15.0" customHeight="1">
      <c r="A31" s="328" t="s">
        <v>869</v>
      </c>
      <c r="B31" s="328">
        <v>6.08829E7</v>
      </c>
      <c r="C31" s="328" t="s">
        <v>811</v>
      </c>
      <c r="D31" s="328" t="s">
        <v>870</v>
      </c>
    </row>
    <row r="32" ht="15.0" customHeight="1">
      <c r="A32" s="328" t="s">
        <v>871</v>
      </c>
      <c r="B32" s="328">
        <v>6.04894E7</v>
      </c>
      <c r="C32" s="328" t="s">
        <v>811</v>
      </c>
      <c r="D32" s="328" t="s">
        <v>872</v>
      </c>
    </row>
    <row r="33" ht="15.0" customHeight="1">
      <c r="A33" s="328" t="s">
        <v>873</v>
      </c>
      <c r="B33" s="328">
        <v>6.02843E7</v>
      </c>
      <c r="C33" s="328" t="s">
        <v>811</v>
      </c>
      <c r="D33" s="328" t="s">
        <v>874</v>
      </c>
    </row>
    <row r="34" ht="15.0" customHeight="1">
      <c r="A34" s="328" t="s">
        <v>875</v>
      </c>
      <c r="B34" s="328">
        <v>6.09015E7</v>
      </c>
      <c r="C34" s="328" t="s">
        <v>811</v>
      </c>
      <c r="D34" s="328" t="s">
        <v>876</v>
      </c>
    </row>
    <row r="35" ht="15.0" customHeight="1">
      <c r="A35" s="328" t="s">
        <v>877</v>
      </c>
      <c r="B35" s="328">
        <v>6.11369E7</v>
      </c>
      <c r="C35" s="328" t="s">
        <v>811</v>
      </c>
      <c r="D35" s="328" t="s">
        <v>878</v>
      </c>
    </row>
    <row r="36" ht="15.0" customHeight="1">
      <c r="A36" s="328" t="s">
        <v>879</v>
      </c>
      <c r="B36" s="328">
        <v>6.04881E7</v>
      </c>
      <c r="C36" s="328" t="s">
        <v>811</v>
      </c>
      <c r="D36" s="328" t="s">
        <v>880</v>
      </c>
    </row>
    <row r="37" ht="15.0" customHeight="1">
      <c r="A37" s="328" t="s">
        <v>881</v>
      </c>
      <c r="B37" s="328">
        <v>6.08828E7</v>
      </c>
      <c r="C37" s="328" t="s">
        <v>811</v>
      </c>
      <c r="D37" s="328" t="s">
        <v>882</v>
      </c>
    </row>
    <row r="38" ht="15.0" customHeight="1">
      <c r="A38" s="328" t="s">
        <v>883</v>
      </c>
      <c r="B38" s="328">
        <v>6.08792E7</v>
      </c>
      <c r="C38" s="328" t="s">
        <v>811</v>
      </c>
      <c r="D38" s="328" t="s">
        <v>884</v>
      </c>
    </row>
    <row r="39" ht="15.0" customHeight="1">
      <c r="A39" s="328" t="s">
        <v>885</v>
      </c>
      <c r="B39" s="328">
        <v>6.02824E7</v>
      </c>
      <c r="C39" s="328" t="s">
        <v>811</v>
      </c>
      <c r="D39" s="328" t="s">
        <v>886</v>
      </c>
    </row>
    <row r="40" ht="15.0" customHeight="1">
      <c r="A40" s="328" t="s">
        <v>887</v>
      </c>
      <c r="B40" s="328">
        <v>6.02837E7</v>
      </c>
      <c r="C40" s="328" t="s">
        <v>811</v>
      </c>
      <c r="D40" s="328" t="s">
        <v>888</v>
      </c>
    </row>
    <row r="41" ht="15.0" customHeight="1">
      <c r="A41" s="328" t="s">
        <v>889</v>
      </c>
      <c r="B41" s="328">
        <v>6.11367E7</v>
      </c>
      <c r="C41" s="328" t="s">
        <v>811</v>
      </c>
      <c r="D41" s="328" t="s">
        <v>890</v>
      </c>
    </row>
    <row r="42" ht="15.0" customHeight="1">
      <c r="A42" s="328" t="s">
        <v>891</v>
      </c>
      <c r="B42" s="328">
        <v>6.13188E7</v>
      </c>
      <c r="C42" s="328" t="s">
        <v>811</v>
      </c>
      <c r="D42" s="328" t="s">
        <v>892</v>
      </c>
    </row>
    <row r="43" ht="15.0" customHeight="1">
      <c r="A43" s="328" t="s">
        <v>893</v>
      </c>
      <c r="B43" s="328">
        <v>6.09014E7</v>
      </c>
      <c r="C43" s="328" t="s">
        <v>811</v>
      </c>
      <c r="D43" s="328" t="s">
        <v>894</v>
      </c>
    </row>
    <row r="44" ht="15.0" customHeight="1">
      <c r="A44" s="328" t="s">
        <v>895</v>
      </c>
      <c r="B44" s="328">
        <v>6.04885E7</v>
      </c>
      <c r="C44" s="328" t="s">
        <v>811</v>
      </c>
      <c r="D44" s="328" t="s">
        <v>896</v>
      </c>
    </row>
    <row r="45" ht="15.0" customHeight="1">
      <c r="A45" s="328" t="s">
        <v>897</v>
      </c>
      <c r="B45" s="328">
        <v>6.02825E7</v>
      </c>
      <c r="C45" s="328" t="s">
        <v>811</v>
      </c>
      <c r="D45" s="328" t="s">
        <v>898</v>
      </c>
    </row>
    <row r="46" ht="15.0" customHeight="1">
      <c r="A46" s="328" t="s">
        <v>899</v>
      </c>
      <c r="B46" s="328">
        <v>6.0879E7</v>
      </c>
      <c r="C46" s="328" t="s">
        <v>811</v>
      </c>
      <c r="D46" s="328" t="s">
        <v>900</v>
      </c>
    </row>
    <row r="47" ht="15.0" customHeight="1">
      <c r="A47" s="328" t="s">
        <v>901</v>
      </c>
      <c r="B47" s="328">
        <v>6.08786E7</v>
      </c>
      <c r="C47" s="328" t="s">
        <v>811</v>
      </c>
      <c r="D47" s="328" t="s">
        <v>902</v>
      </c>
    </row>
    <row r="48" ht="15.0" customHeight="1">
      <c r="A48" s="328" t="s">
        <v>903</v>
      </c>
      <c r="B48" s="328">
        <v>6.11373E7</v>
      </c>
      <c r="C48" s="328" t="s">
        <v>811</v>
      </c>
      <c r="D48" s="328" t="s">
        <v>904</v>
      </c>
    </row>
    <row r="49" ht="15.0" customHeight="1">
      <c r="A49" s="328" t="s">
        <v>905</v>
      </c>
      <c r="B49" s="328">
        <v>6.08856E7</v>
      </c>
      <c r="C49" s="328" t="s">
        <v>811</v>
      </c>
      <c r="D49" s="328" t="s">
        <v>906</v>
      </c>
    </row>
    <row r="50" ht="15.0" customHeight="1">
      <c r="A50" s="328" t="s">
        <v>907</v>
      </c>
      <c r="B50" s="328">
        <v>6.18449E7</v>
      </c>
      <c r="C50" s="328" t="s">
        <v>811</v>
      </c>
      <c r="D50" s="328" t="s">
        <v>908</v>
      </c>
    </row>
    <row r="51" ht="15.0" customHeight="1">
      <c r="A51" s="328" t="s">
        <v>909</v>
      </c>
      <c r="B51" s="328">
        <v>6.0487901E7</v>
      </c>
      <c r="C51" s="328" t="s">
        <v>811</v>
      </c>
      <c r="D51" s="328" t="s">
        <v>910</v>
      </c>
    </row>
    <row r="52" ht="15.0" customHeight="1">
      <c r="A52" s="328" t="s">
        <v>911</v>
      </c>
      <c r="B52" s="328">
        <v>6.04879E7</v>
      </c>
      <c r="C52" s="328" t="s">
        <v>811</v>
      </c>
      <c r="D52" s="328" t="s">
        <v>912</v>
      </c>
    </row>
    <row r="53" ht="15.0" customHeight="1">
      <c r="A53" s="328" t="s">
        <v>913</v>
      </c>
      <c r="B53" s="328">
        <v>6.17829E7</v>
      </c>
      <c r="C53" s="328" t="s">
        <v>811</v>
      </c>
      <c r="D53" s="328" t="s">
        <v>914</v>
      </c>
    </row>
    <row r="54" ht="15.0" customHeight="1">
      <c r="A54" s="328" t="s">
        <v>915</v>
      </c>
      <c r="B54" s="328">
        <v>6.17832E7</v>
      </c>
      <c r="C54" s="328" t="s">
        <v>811</v>
      </c>
      <c r="D54" s="328" t="s">
        <v>916</v>
      </c>
    </row>
    <row r="55" ht="15.0" customHeight="1">
      <c r="A55" s="328" t="s">
        <v>917</v>
      </c>
      <c r="B55" s="328">
        <v>6.17828E7</v>
      </c>
      <c r="C55" s="328" t="s">
        <v>811</v>
      </c>
      <c r="D55" s="328" t="s">
        <v>918</v>
      </c>
    </row>
    <row r="56" ht="15.0" customHeight="1">
      <c r="A56" s="328" t="s">
        <v>919</v>
      </c>
      <c r="B56" s="328">
        <v>6.1763E7</v>
      </c>
      <c r="C56" s="328" t="s">
        <v>811</v>
      </c>
      <c r="D56" s="328" t="s">
        <v>920</v>
      </c>
    </row>
    <row r="57" ht="15.0" customHeight="1">
      <c r="A57" s="328" t="s">
        <v>921</v>
      </c>
      <c r="B57" s="328">
        <v>6.17834E7</v>
      </c>
      <c r="C57" s="328" t="s">
        <v>811</v>
      </c>
      <c r="D57" s="328" t="s">
        <v>922</v>
      </c>
    </row>
    <row r="58" ht="15.0" customHeight="1">
      <c r="A58" s="328" t="s">
        <v>923</v>
      </c>
      <c r="B58" s="328">
        <v>6.09016E7</v>
      </c>
      <c r="C58" s="328" t="s">
        <v>811</v>
      </c>
      <c r="D58" s="328" t="s">
        <v>924</v>
      </c>
    </row>
    <row r="59" ht="15.0" customHeight="1">
      <c r="A59" s="328" t="s">
        <v>925</v>
      </c>
      <c r="B59" s="328">
        <v>6.14962E7</v>
      </c>
      <c r="C59" s="328" t="s">
        <v>811</v>
      </c>
      <c r="D59" s="328" t="s">
        <v>926</v>
      </c>
    </row>
    <row r="60" ht="15.0" customHeight="1">
      <c r="A60" s="328" t="s">
        <v>927</v>
      </c>
      <c r="B60" s="328">
        <v>6.17845E7</v>
      </c>
      <c r="C60" s="328" t="s">
        <v>811</v>
      </c>
      <c r="D60" s="328" t="s">
        <v>928</v>
      </c>
    </row>
    <row r="61" ht="15.0" customHeight="1">
      <c r="A61" s="328" t="s">
        <v>929</v>
      </c>
      <c r="B61" s="328">
        <v>6.1783601E7</v>
      </c>
      <c r="C61" s="328" t="s">
        <v>811</v>
      </c>
      <c r="D61" s="328" t="s">
        <v>930</v>
      </c>
    </row>
    <row r="62" ht="15.0" customHeight="1">
      <c r="A62" s="328" t="s">
        <v>931</v>
      </c>
      <c r="B62" s="328">
        <v>6.17836E7</v>
      </c>
      <c r="C62" s="328" t="s">
        <v>811</v>
      </c>
      <c r="D62" s="328" t="s">
        <v>932</v>
      </c>
    </row>
    <row r="63" ht="15.0" customHeight="1">
      <c r="A63" s="328" t="s">
        <v>933</v>
      </c>
      <c r="B63" s="328">
        <v>6.17833E7</v>
      </c>
      <c r="C63" s="328" t="s">
        <v>811</v>
      </c>
      <c r="D63" s="328" t="s">
        <v>934</v>
      </c>
    </row>
    <row r="64" ht="15.0" customHeight="1">
      <c r="A64" s="328" t="s">
        <v>935</v>
      </c>
      <c r="B64" s="328">
        <v>6.20547E7</v>
      </c>
      <c r="C64" s="328" t="s">
        <v>811</v>
      </c>
      <c r="D64" s="328" t="s">
        <v>936</v>
      </c>
    </row>
    <row r="65" ht="15.0" customHeight="1">
      <c r="A65" s="328" t="s">
        <v>937</v>
      </c>
      <c r="B65" s="328">
        <v>6.17268E7</v>
      </c>
      <c r="C65" s="328" t="s">
        <v>811</v>
      </c>
      <c r="D65" s="328" t="s">
        <v>938</v>
      </c>
    </row>
    <row r="66" ht="15.0" customHeight="1">
      <c r="A66" s="328" t="s">
        <v>939</v>
      </c>
      <c r="B66" s="328">
        <v>6.08831E7</v>
      </c>
      <c r="C66" s="328" t="s">
        <v>811</v>
      </c>
      <c r="D66" s="328" t="s">
        <v>940</v>
      </c>
    </row>
    <row r="67" ht="15.0" customHeight="1">
      <c r="A67" s="328" t="s">
        <v>941</v>
      </c>
      <c r="B67" s="328">
        <v>6.11351E7</v>
      </c>
      <c r="C67" s="328" t="s">
        <v>811</v>
      </c>
      <c r="D67" s="328" t="s">
        <v>942</v>
      </c>
    </row>
    <row r="68" ht="15.0" customHeight="1">
      <c r="A68" s="328" t="s">
        <v>943</v>
      </c>
      <c r="B68" s="328">
        <v>6.0299E7</v>
      </c>
      <c r="C68" s="328" t="s">
        <v>811</v>
      </c>
      <c r="D68" s="328" t="s">
        <v>944</v>
      </c>
    </row>
    <row r="69" ht="15.0" customHeight="1">
      <c r="A69" s="328" t="s">
        <v>945</v>
      </c>
      <c r="B69" s="328">
        <v>6.0883E7</v>
      </c>
      <c r="C69" s="328" t="s">
        <v>811</v>
      </c>
      <c r="D69" s="328" t="s">
        <v>946</v>
      </c>
    </row>
    <row r="70" ht="15.0" customHeight="1">
      <c r="A70" s="328" t="s">
        <v>947</v>
      </c>
      <c r="B70" s="328">
        <v>6.1783E7</v>
      </c>
      <c r="C70" s="328" t="s">
        <v>811</v>
      </c>
      <c r="D70" s="328" t="s">
        <v>948</v>
      </c>
    </row>
    <row r="71" ht="15.0" customHeight="1">
      <c r="A71" s="328" t="s">
        <v>949</v>
      </c>
      <c r="B71" s="328">
        <v>6.22339E7</v>
      </c>
      <c r="C71" s="328" t="s">
        <v>811</v>
      </c>
      <c r="D71" s="328" t="s">
        <v>950</v>
      </c>
    </row>
    <row r="72" ht="15.0" customHeight="1">
      <c r="A72" s="328" t="s">
        <v>951</v>
      </c>
      <c r="B72" s="328">
        <v>6.1135E7</v>
      </c>
      <c r="C72" s="328" t="s">
        <v>811</v>
      </c>
      <c r="D72" s="328" t="s">
        <v>952</v>
      </c>
    </row>
    <row r="73" ht="15.0" customHeight="1">
      <c r="A73" s="328" t="s">
        <v>953</v>
      </c>
      <c r="B73" s="328">
        <v>6.04888E7</v>
      </c>
      <c r="C73" s="328" t="s">
        <v>811</v>
      </c>
      <c r="D73" s="328" t="s">
        <v>954</v>
      </c>
    </row>
    <row r="74" ht="15.0" customHeight="1">
      <c r="A74" s="328" t="s">
        <v>955</v>
      </c>
      <c r="B74" s="328">
        <v>6.08827E7</v>
      </c>
      <c r="C74" s="328" t="s">
        <v>811</v>
      </c>
      <c r="D74" s="328" t="s">
        <v>956</v>
      </c>
    </row>
    <row r="75" ht="15.0" customHeight="1">
      <c r="A75" s="328" t="s">
        <v>957</v>
      </c>
      <c r="B75" s="328">
        <v>6.04889E7</v>
      </c>
      <c r="C75" s="328" t="s">
        <v>811</v>
      </c>
      <c r="D75" s="328" t="s">
        <v>958</v>
      </c>
    </row>
    <row r="76" ht="15.0" customHeight="1">
      <c r="A76" s="328" t="s">
        <v>959</v>
      </c>
      <c r="B76" s="328">
        <v>6.02822E7</v>
      </c>
      <c r="C76" s="328" t="s">
        <v>811</v>
      </c>
      <c r="D76" s="328" t="s">
        <v>960</v>
      </c>
    </row>
    <row r="77" ht="15.0" customHeight="1">
      <c r="A77" s="328" t="s">
        <v>961</v>
      </c>
      <c r="B77" s="328">
        <v>6.04887E7</v>
      </c>
      <c r="C77" s="328" t="s">
        <v>811</v>
      </c>
      <c r="D77" s="328" t="s">
        <v>962</v>
      </c>
    </row>
    <row r="78" ht="15.0" customHeight="1">
      <c r="A78" s="328" t="s">
        <v>963</v>
      </c>
      <c r="B78" s="328">
        <v>6.02812E7</v>
      </c>
      <c r="C78" s="328" t="s">
        <v>811</v>
      </c>
      <c r="D78" s="328" t="s">
        <v>964</v>
      </c>
    </row>
    <row r="79" ht="15.0" customHeight="1">
      <c r="A79" s="328" t="s">
        <v>965</v>
      </c>
      <c r="B79" s="328">
        <v>6.02855E7</v>
      </c>
      <c r="C79" s="328" t="s">
        <v>811</v>
      </c>
      <c r="D79" s="328" t="s">
        <v>966</v>
      </c>
    </row>
    <row r="80" ht="15.0" customHeight="1">
      <c r="A80" s="328" t="s">
        <v>967</v>
      </c>
      <c r="B80" s="328">
        <v>6.1137E7</v>
      </c>
      <c r="C80" s="328" t="s">
        <v>811</v>
      </c>
      <c r="D80" s="328" t="s">
        <v>968</v>
      </c>
    </row>
    <row r="81" ht="15.0" customHeight="1">
      <c r="A81" s="328" t="s">
        <v>969</v>
      </c>
      <c r="B81" s="328">
        <v>6.08791E7</v>
      </c>
      <c r="C81" s="328" t="s">
        <v>811</v>
      </c>
      <c r="D81" s="328" t="s">
        <v>970</v>
      </c>
    </row>
    <row r="82" ht="15.0" customHeight="1">
      <c r="A82" s="328" t="s">
        <v>971</v>
      </c>
      <c r="B82" s="328">
        <v>6.11371E7</v>
      </c>
      <c r="C82" s="328" t="s">
        <v>811</v>
      </c>
      <c r="D82" s="328" t="s">
        <v>972</v>
      </c>
    </row>
    <row r="83" ht="15.0" customHeight="1">
      <c r="A83" s="328" t="s">
        <v>973</v>
      </c>
      <c r="B83" s="328">
        <v>6.02989E7</v>
      </c>
      <c r="C83" s="328" t="s">
        <v>811</v>
      </c>
      <c r="D83" s="328" t="s">
        <v>974</v>
      </c>
    </row>
    <row r="84" ht="15.0" customHeight="1">
      <c r="A84" s="328" t="s">
        <v>975</v>
      </c>
      <c r="B84" s="328">
        <v>6.02811E7</v>
      </c>
      <c r="C84" s="328" t="s">
        <v>811</v>
      </c>
      <c r="D84" s="328" t="s">
        <v>976</v>
      </c>
    </row>
    <row r="85" ht="15.0" customHeight="1">
      <c r="A85" s="328" t="s">
        <v>977</v>
      </c>
      <c r="B85" s="328">
        <v>6.14855E7</v>
      </c>
      <c r="C85" s="328" t="s">
        <v>811</v>
      </c>
      <c r="D85" s="328" t="s">
        <v>978</v>
      </c>
    </row>
    <row r="86" ht="15.0" customHeight="1">
      <c r="A86" s="328" t="s">
        <v>979</v>
      </c>
      <c r="B86" s="328">
        <v>6.21548E7</v>
      </c>
      <c r="C86" s="328" t="s">
        <v>811</v>
      </c>
      <c r="D86" s="328" t="s">
        <v>980</v>
      </c>
    </row>
    <row r="87" ht="15.0" customHeight="1">
      <c r="A87" s="328" t="s">
        <v>981</v>
      </c>
      <c r="B87" s="328">
        <v>6.23422E7</v>
      </c>
      <c r="C87" s="328" t="s">
        <v>811</v>
      </c>
      <c r="D87" s="328" t="s">
        <v>982</v>
      </c>
    </row>
    <row r="88" ht="15.0" customHeight="1">
      <c r="A88" s="328" t="s">
        <v>983</v>
      </c>
      <c r="B88" s="328">
        <v>6.24453E7</v>
      </c>
      <c r="C88" s="328" t="s">
        <v>811</v>
      </c>
      <c r="D88" s="328" t="s">
        <v>984</v>
      </c>
    </row>
    <row r="89" ht="15.0" customHeight="1">
      <c r="A89" s="328" t="s">
        <v>985</v>
      </c>
      <c r="B89" s="328">
        <v>6.21295E7</v>
      </c>
      <c r="C89" s="328" t="s">
        <v>811</v>
      </c>
      <c r="D89" s="328" t="s">
        <v>986</v>
      </c>
    </row>
    <row r="90" ht="15.0" customHeight="1">
      <c r="A90" s="328" t="s">
        <v>987</v>
      </c>
      <c r="B90" s="328">
        <v>6.16578E7</v>
      </c>
      <c r="C90" s="328" t="s">
        <v>988</v>
      </c>
      <c r="D90" s="328" t="s">
        <v>989</v>
      </c>
    </row>
    <row r="91" ht="15.0" customHeight="1">
      <c r="A91" s="328" t="s">
        <v>990</v>
      </c>
      <c r="B91" s="328">
        <v>6.08377E7</v>
      </c>
      <c r="C91" s="328" t="s">
        <v>988</v>
      </c>
      <c r="D91" s="328" t="s">
        <v>991</v>
      </c>
    </row>
    <row r="92" ht="15.0" customHeight="1">
      <c r="A92" s="328" t="s">
        <v>992</v>
      </c>
      <c r="B92" s="328">
        <v>6.1101801E7</v>
      </c>
      <c r="C92" s="328" t="s">
        <v>988</v>
      </c>
      <c r="D92" s="328" t="s">
        <v>816</v>
      </c>
    </row>
    <row r="93" ht="15.0" customHeight="1">
      <c r="A93" s="328" t="s">
        <v>993</v>
      </c>
      <c r="B93" s="328">
        <v>6.15315E7</v>
      </c>
      <c r="C93" s="328" t="s">
        <v>988</v>
      </c>
      <c r="D93" s="328" t="s">
        <v>994</v>
      </c>
    </row>
    <row r="94" ht="15.0" customHeight="1">
      <c r="A94" s="328" t="s">
        <v>995</v>
      </c>
      <c r="B94" s="328">
        <v>6.22992E7</v>
      </c>
      <c r="C94" s="328" t="s">
        <v>988</v>
      </c>
      <c r="D94" s="328" t="s">
        <v>996</v>
      </c>
    </row>
    <row r="95" ht="15.0" customHeight="1">
      <c r="A95" s="328" t="s">
        <v>997</v>
      </c>
      <c r="B95" s="328">
        <v>6.22347E7</v>
      </c>
      <c r="C95" s="328" t="s">
        <v>988</v>
      </c>
      <c r="D95" s="328" t="s">
        <v>836</v>
      </c>
    </row>
    <row r="96" ht="15.0" customHeight="1">
      <c r="A96" s="328" t="s">
        <v>998</v>
      </c>
      <c r="B96" s="328">
        <v>6.16577E7</v>
      </c>
      <c r="C96" s="328" t="s">
        <v>988</v>
      </c>
      <c r="D96" s="328" t="s">
        <v>999</v>
      </c>
    </row>
    <row r="97" ht="15.0" customHeight="1">
      <c r="A97" s="328" t="s">
        <v>1000</v>
      </c>
      <c r="B97" s="328">
        <v>6.07867E7</v>
      </c>
      <c r="C97" s="328" t="s">
        <v>988</v>
      </c>
      <c r="D97" s="328" t="s">
        <v>848</v>
      </c>
    </row>
    <row r="98" ht="15.0" customHeight="1">
      <c r="A98" s="328" t="s">
        <v>1001</v>
      </c>
      <c r="B98" s="328">
        <v>6.23584E7</v>
      </c>
      <c r="C98" s="328" t="s">
        <v>988</v>
      </c>
      <c r="D98" s="328" t="s">
        <v>850</v>
      </c>
    </row>
    <row r="99" ht="15.0" customHeight="1">
      <c r="A99" s="328" t="s">
        <v>1002</v>
      </c>
      <c r="B99" s="328">
        <v>6.08412E7</v>
      </c>
      <c r="C99" s="328" t="s">
        <v>988</v>
      </c>
      <c r="D99" s="328" t="s">
        <v>852</v>
      </c>
    </row>
    <row r="100" ht="15.0" customHeight="1">
      <c r="A100" s="328" t="s">
        <v>1003</v>
      </c>
      <c r="B100" s="328">
        <v>6.15669E7</v>
      </c>
      <c r="C100" s="328" t="s">
        <v>988</v>
      </c>
      <c r="D100" s="328" t="s">
        <v>1004</v>
      </c>
    </row>
    <row r="101" ht="15.0" customHeight="1">
      <c r="A101" s="328" t="s">
        <v>1005</v>
      </c>
      <c r="B101" s="328">
        <v>6.22539E7</v>
      </c>
      <c r="C101" s="328" t="s">
        <v>988</v>
      </c>
      <c r="D101" s="328" t="s">
        <v>856</v>
      </c>
    </row>
    <row r="102" ht="15.0" customHeight="1">
      <c r="A102" s="328" t="s">
        <v>1006</v>
      </c>
      <c r="B102" s="328">
        <v>6.11018E7</v>
      </c>
      <c r="C102" s="328" t="s">
        <v>988</v>
      </c>
      <c r="D102" s="328" t="s">
        <v>1007</v>
      </c>
    </row>
    <row r="103" ht="15.0" customHeight="1">
      <c r="A103" s="328" t="s">
        <v>1008</v>
      </c>
      <c r="B103" s="328">
        <v>6.15027E7</v>
      </c>
      <c r="C103" s="328" t="s">
        <v>988</v>
      </c>
      <c r="D103" s="328" t="s">
        <v>864</v>
      </c>
    </row>
    <row r="104" ht="15.0" customHeight="1">
      <c r="A104" s="328" t="s">
        <v>1009</v>
      </c>
      <c r="B104" s="328">
        <v>6.0787E7</v>
      </c>
      <c r="C104" s="328" t="s">
        <v>988</v>
      </c>
      <c r="D104" s="328" t="s">
        <v>1010</v>
      </c>
    </row>
    <row r="105" ht="15.0" customHeight="1">
      <c r="A105" s="328" t="s">
        <v>1011</v>
      </c>
      <c r="B105" s="328">
        <v>6.05325E7</v>
      </c>
      <c r="C105" s="328" t="s">
        <v>988</v>
      </c>
      <c r="D105" s="328" t="s">
        <v>1012</v>
      </c>
    </row>
    <row r="106" ht="15.0" customHeight="1">
      <c r="A106" s="328" t="s">
        <v>1013</v>
      </c>
      <c r="B106" s="328">
        <v>6.04937E7</v>
      </c>
      <c r="C106" s="328" t="s">
        <v>988</v>
      </c>
      <c r="D106" s="328" t="s">
        <v>1014</v>
      </c>
    </row>
    <row r="107" ht="15.0" customHeight="1">
      <c r="A107" s="328" t="s">
        <v>1015</v>
      </c>
      <c r="B107" s="328">
        <v>6.04938E7</v>
      </c>
      <c r="C107" s="328" t="s">
        <v>988</v>
      </c>
      <c r="D107" s="328" t="s">
        <v>1016</v>
      </c>
    </row>
    <row r="108" ht="15.0" customHeight="1">
      <c r="A108" s="328" t="s">
        <v>1017</v>
      </c>
      <c r="B108" s="328">
        <v>6.0494E7</v>
      </c>
      <c r="C108" s="328" t="s">
        <v>988</v>
      </c>
      <c r="D108" s="328" t="s">
        <v>1018</v>
      </c>
    </row>
    <row r="109" ht="15.0" customHeight="1">
      <c r="A109" s="328" t="s">
        <v>1019</v>
      </c>
      <c r="B109" s="328">
        <v>6.02577E7</v>
      </c>
      <c r="C109" s="328" t="s">
        <v>988</v>
      </c>
      <c r="D109" s="328" t="s">
        <v>1020</v>
      </c>
    </row>
    <row r="110" ht="15.0" customHeight="1">
      <c r="A110" s="328" t="s">
        <v>1021</v>
      </c>
      <c r="B110" s="328">
        <v>6.02563E7</v>
      </c>
      <c r="C110" s="328" t="s">
        <v>988</v>
      </c>
      <c r="D110" s="328" t="s">
        <v>1022</v>
      </c>
    </row>
    <row r="111" ht="15.0" customHeight="1">
      <c r="A111" s="328" t="s">
        <v>1023</v>
      </c>
      <c r="B111" s="328">
        <v>6.04918E7</v>
      </c>
      <c r="C111" s="328" t="s">
        <v>988</v>
      </c>
      <c r="D111" s="328" t="s">
        <v>1024</v>
      </c>
    </row>
    <row r="112" ht="15.0" customHeight="1">
      <c r="A112" s="328" t="s">
        <v>1025</v>
      </c>
      <c r="B112" s="328">
        <v>6.15502E7</v>
      </c>
      <c r="C112" s="328" t="s">
        <v>988</v>
      </c>
      <c r="D112" s="328" t="s">
        <v>1026</v>
      </c>
    </row>
    <row r="113" ht="15.0" customHeight="1">
      <c r="A113" s="328" t="s">
        <v>1027</v>
      </c>
      <c r="B113" s="328">
        <v>6.11785E7</v>
      </c>
      <c r="C113" s="328" t="s">
        <v>988</v>
      </c>
      <c r="D113" s="328" t="s">
        <v>1028</v>
      </c>
    </row>
    <row r="114" ht="15.0" customHeight="1">
      <c r="A114" s="328" t="s">
        <v>1029</v>
      </c>
      <c r="B114" s="328">
        <v>6.08381E7</v>
      </c>
      <c r="C114" s="328" t="s">
        <v>988</v>
      </c>
      <c r="D114" s="328" t="s">
        <v>1030</v>
      </c>
    </row>
    <row r="115" ht="15.0" customHeight="1">
      <c r="A115" s="328" t="s">
        <v>1031</v>
      </c>
      <c r="B115" s="328">
        <v>6.06485E7</v>
      </c>
      <c r="C115" s="328" t="s">
        <v>988</v>
      </c>
      <c r="D115" s="328" t="s">
        <v>1032</v>
      </c>
    </row>
    <row r="116" ht="15.0" customHeight="1">
      <c r="A116" s="328" t="s">
        <v>1033</v>
      </c>
      <c r="B116" s="328">
        <v>6.0838E7</v>
      </c>
      <c r="C116" s="328" t="s">
        <v>988</v>
      </c>
      <c r="D116" s="328" t="s">
        <v>1034</v>
      </c>
    </row>
    <row r="117" ht="15.0" customHeight="1">
      <c r="A117" s="328" t="s">
        <v>1035</v>
      </c>
      <c r="B117" s="328">
        <v>6.07869E7</v>
      </c>
      <c r="C117" s="328" t="s">
        <v>988</v>
      </c>
      <c r="D117" s="328" t="s">
        <v>1036</v>
      </c>
    </row>
    <row r="118" ht="15.0" customHeight="1">
      <c r="A118" s="328" t="s">
        <v>1037</v>
      </c>
      <c r="B118" s="328">
        <v>6.00792E7</v>
      </c>
      <c r="C118" s="328" t="s">
        <v>988</v>
      </c>
      <c r="D118" s="328" t="s">
        <v>1038</v>
      </c>
    </row>
    <row r="119" ht="15.0" customHeight="1">
      <c r="A119" s="328" t="s">
        <v>1039</v>
      </c>
      <c r="B119" s="328">
        <v>6.04976E7</v>
      </c>
      <c r="C119" s="328" t="s">
        <v>988</v>
      </c>
      <c r="D119" s="328" t="s">
        <v>1040</v>
      </c>
    </row>
    <row r="120" ht="15.0" customHeight="1">
      <c r="A120" s="328" t="s">
        <v>1041</v>
      </c>
      <c r="B120" s="328">
        <v>6.24172E7</v>
      </c>
      <c r="C120" s="328" t="s">
        <v>988</v>
      </c>
      <c r="D120" s="328" t="s">
        <v>914</v>
      </c>
    </row>
    <row r="121" ht="15.0" customHeight="1">
      <c r="A121" s="328" t="s">
        <v>1042</v>
      </c>
      <c r="B121" s="328">
        <v>6.24422E7</v>
      </c>
      <c r="C121" s="328" t="s">
        <v>988</v>
      </c>
      <c r="D121" s="328" t="s">
        <v>916</v>
      </c>
    </row>
    <row r="122" ht="15.0" customHeight="1">
      <c r="A122" s="328" t="s">
        <v>1043</v>
      </c>
      <c r="B122" s="328">
        <v>6.2441E7</v>
      </c>
      <c r="C122" s="328" t="s">
        <v>988</v>
      </c>
      <c r="D122" s="328" t="s">
        <v>918</v>
      </c>
    </row>
    <row r="123" ht="15.0" customHeight="1">
      <c r="A123" s="328" t="s">
        <v>1044</v>
      </c>
      <c r="B123" s="328">
        <v>6.11784E7</v>
      </c>
      <c r="C123" s="328" t="s">
        <v>988</v>
      </c>
      <c r="D123" s="328" t="s">
        <v>1045</v>
      </c>
    </row>
    <row r="124" ht="15.0" customHeight="1">
      <c r="A124" s="328" t="s">
        <v>1046</v>
      </c>
      <c r="B124" s="328">
        <v>6.17763E7</v>
      </c>
      <c r="C124" s="328" t="s">
        <v>988</v>
      </c>
      <c r="D124" s="328" t="s">
        <v>932</v>
      </c>
    </row>
    <row r="125" ht="15.0" customHeight="1">
      <c r="A125" s="328" t="s">
        <v>1047</v>
      </c>
      <c r="B125" s="328">
        <v>6.22722E7</v>
      </c>
      <c r="C125" s="328" t="s">
        <v>988</v>
      </c>
      <c r="D125" s="328" t="s">
        <v>1048</v>
      </c>
    </row>
    <row r="126" ht="15.0" customHeight="1">
      <c r="A126" s="328" t="s">
        <v>1049</v>
      </c>
      <c r="B126" s="328">
        <v>6.2286501E7</v>
      </c>
      <c r="C126" s="328" t="s">
        <v>988</v>
      </c>
      <c r="D126" s="328" t="s">
        <v>1050</v>
      </c>
    </row>
    <row r="127" ht="15.0" customHeight="1">
      <c r="A127" s="328" t="s">
        <v>1051</v>
      </c>
      <c r="B127" s="328">
        <v>6.22865E7</v>
      </c>
      <c r="C127" s="328" t="s">
        <v>988</v>
      </c>
      <c r="D127" s="328" t="s">
        <v>936</v>
      </c>
    </row>
    <row r="128" ht="15.0" customHeight="1">
      <c r="A128" s="328" t="s">
        <v>1052</v>
      </c>
      <c r="B128" s="328">
        <v>6.20406E7</v>
      </c>
      <c r="C128" s="328" t="s">
        <v>988</v>
      </c>
      <c r="D128" s="328" t="s">
        <v>1053</v>
      </c>
    </row>
    <row r="129" ht="15.0" customHeight="1">
      <c r="A129" s="328" t="s">
        <v>1054</v>
      </c>
      <c r="B129" s="328">
        <v>6.1861E7</v>
      </c>
      <c r="C129" s="328" t="s">
        <v>988</v>
      </c>
      <c r="D129" s="328" t="s">
        <v>938</v>
      </c>
    </row>
    <row r="130" ht="15.0" customHeight="1">
      <c r="A130" s="328" t="s">
        <v>1055</v>
      </c>
      <c r="B130" s="328">
        <v>6.08424E7</v>
      </c>
      <c r="C130" s="328" t="s">
        <v>988</v>
      </c>
      <c r="D130" s="328" t="s">
        <v>1056</v>
      </c>
    </row>
    <row r="131" ht="15.0" customHeight="1">
      <c r="A131" s="328" t="s">
        <v>1057</v>
      </c>
      <c r="B131" s="328">
        <v>6.05319E7</v>
      </c>
      <c r="C131" s="328" t="s">
        <v>988</v>
      </c>
      <c r="D131" s="328" t="s">
        <v>1058</v>
      </c>
    </row>
    <row r="132" ht="15.0" customHeight="1">
      <c r="A132" s="328" t="s">
        <v>1059</v>
      </c>
      <c r="B132" s="328">
        <v>6.04941E7</v>
      </c>
      <c r="C132" s="328" t="s">
        <v>988</v>
      </c>
      <c r="D132" s="328" t="s">
        <v>1060</v>
      </c>
    </row>
    <row r="133" ht="15.0" customHeight="1">
      <c r="A133" s="328" t="s">
        <v>1061</v>
      </c>
      <c r="B133" s="328">
        <v>6.04936E7</v>
      </c>
      <c r="C133" s="328" t="s">
        <v>988</v>
      </c>
      <c r="D133" s="328" t="s">
        <v>1062</v>
      </c>
    </row>
    <row r="134" ht="15.0" customHeight="1">
      <c r="A134" s="328" t="s">
        <v>1063</v>
      </c>
      <c r="B134" s="328">
        <v>6.00793E7</v>
      </c>
      <c r="C134" s="328" t="s">
        <v>988</v>
      </c>
      <c r="D134" s="328" t="s">
        <v>1064</v>
      </c>
    </row>
    <row r="135" ht="15.0" customHeight="1">
      <c r="A135" s="328" t="s">
        <v>1065</v>
      </c>
      <c r="B135" s="328">
        <v>6.1657701E7</v>
      </c>
      <c r="C135" s="328" t="s">
        <v>988</v>
      </c>
      <c r="D135" s="328" t="s">
        <v>1066</v>
      </c>
    </row>
    <row r="136" ht="15.0" customHeight="1">
      <c r="A136" s="328" t="s">
        <v>1067</v>
      </c>
      <c r="B136" s="328">
        <v>6.07868E7</v>
      </c>
      <c r="C136" s="328" t="s">
        <v>988</v>
      </c>
      <c r="D136" s="328" t="s">
        <v>1068</v>
      </c>
    </row>
    <row r="137" ht="15.0" customHeight="1">
      <c r="A137" s="328" t="s">
        <v>1069</v>
      </c>
      <c r="B137" s="328">
        <v>6.11015E7</v>
      </c>
      <c r="C137" s="328" t="s">
        <v>988</v>
      </c>
      <c r="D137" s="328" t="s">
        <v>1070</v>
      </c>
    </row>
    <row r="138" ht="15.0" customHeight="1">
      <c r="A138" s="328" t="s">
        <v>1071</v>
      </c>
      <c r="B138" s="328">
        <v>6.02562E7</v>
      </c>
      <c r="C138" s="328" t="s">
        <v>988</v>
      </c>
      <c r="D138" s="328" t="s">
        <v>1072</v>
      </c>
    </row>
    <row r="139" ht="15.0" customHeight="1">
      <c r="A139" s="328" t="s">
        <v>1073</v>
      </c>
      <c r="B139" s="328">
        <v>6.11422E7</v>
      </c>
      <c r="C139" s="328" t="s">
        <v>988</v>
      </c>
      <c r="D139" s="328" t="s">
        <v>1074</v>
      </c>
    </row>
    <row r="140" ht="15.0" customHeight="1">
      <c r="A140" s="328" t="s">
        <v>1075</v>
      </c>
      <c r="B140" s="328">
        <v>6.11017E7</v>
      </c>
      <c r="C140" s="328" t="s">
        <v>988</v>
      </c>
      <c r="D140" s="328" t="s">
        <v>1076</v>
      </c>
    </row>
    <row r="141" ht="15.0" customHeight="1">
      <c r="A141" s="328" t="s">
        <v>1077</v>
      </c>
      <c r="B141" s="328">
        <v>6.08379E7</v>
      </c>
      <c r="C141" s="328" t="s">
        <v>988</v>
      </c>
      <c r="D141" s="328" t="s">
        <v>1078</v>
      </c>
    </row>
    <row r="142" ht="15.0" customHeight="1">
      <c r="A142" s="328" t="s">
        <v>1079</v>
      </c>
      <c r="B142" s="328">
        <v>6.04939E7</v>
      </c>
      <c r="C142" s="328" t="s">
        <v>988</v>
      </c>
      <c r="D142" s="328" t="s">
        <v>1080</v>
      </c>
    </row>
    <row r="143" ht="15.0" customHeight="1">
      <c r="A143" s="328" t="s">
        <v>1081</v>
      </c>
      <c r="B143" s="328">
        <v>6.04935E7</v>
      </c>
      <c r="C143" s="328" t="s">
        <v>988</v>
      </c>
      <c r="D143" s="328" t="s">
        <v>1082</v>
      </c>
    </row>
    <row r="144" ht="15.0" customHeight="1">
      <c r="A144" s="328" t="s">
        <v>1083</v>
      </c>
      <c r="B144" s="328">
        <v>6.02576E7</v>
      </c>
      <c r="C144" s="328" t="s">
        <v>988</v>
      </c>
      <c r="D144" s="328" t="s">
        <v>1084</v>
      </c>
    </row>
    <row r="145" ht="15.0" customHeight="1">
      <c r="A145" s="328" t="s">
        <v>1085</v>
      </c>
      <c r="B145" s="328">
        <v>6.12581E7</v>
      </c>
      <c r="C145" s="328" t="s">
        <v>988</v>
      </c>
      <c r="D145" s="328" t="s">
        <v>1086</v>
      </c>
    </row>
    <row r="146" ht="15.0" customHeight="1">
      <c r="A146" s="328" t="s">
        <v>1087</v>
      </c>
      <c r="B146" s="328">
        <v>6.16961E7</v>
      </c>
      <c r="C146" s="328" t="s">
        <v>988</v>
      </c>
      <c r="D146" s="328" t="s">
        <v>1088</v>
      </c>
    </row>
    <row r="147" ht="15.0" customHeight="1">
      <c r="A147" s="328" t="s">
        <v>1089</v>
      </c>
      <c r="B147" s="328">
        <v>6.2052E7</v>
      </c>
      <c r="C147" s="328" t="s">
        <v>988</v>
      </c>
      <c r="D147" s="328" t="s">
        <v>1090</v>
      </c>
    </row>
    <row r="148" ht="15.0" customHeight="1">
      <c r="A148" s="328" t="s">
        <v>1091</v>
      </c>
      <c r="B148" s="328">
        <v>6.20173E7</v>
      </c>
      <c r="C148" s="328" t="s">
        <v>988</v>
      </c>
      <c r="D148" s="328" t="s">
        <v>974</v>
      </c>
    </row>
    <row r="149" ht="15.0" customHeight="1">
      <c r="A149" s="328" t="s">
        <v>1092</v>
      </c>
      <c r="B149" s="328">
        <v>6.21624E7</v>
      </c>
      <c r="C149" s="328" t="s">
        <v>988</v>
      </c>
      <c r="D149" s="328" t="s">
        <v>1093</v>
      </c>
    </row>
    <row r="150" ht="15.0" customHeight="1">
      <c r="A150" s="328" t="s">
        <v>1094</v>
      </c>
      <c r="B150" s="328">
        <v>6.17181E7</v>
      </c>
      <c r="C150" s="328" t="s">
        <v>988</v>
      </c>
      <c r="D150" s="328" t="s">
        <v>1095</v>
      </c>
    </row>
    <row r="151" ht="15.0" customHeight="1">
      <c r="A151" s="328" t="s">
        <v>1096</v>
      </c>
      <c r="B151" s="328">
        <v>6.21704E7</v>
      </c>
      <c r="C151" s="328" t="s">
        <v>988</v>
      </c>
      <c r="D151" s="328" t="s">
        <v>1097</v>
      </c>
    </row>
    <row r="152" ht="15.0" customHeight="1">
      <c r="A152" s="328" t="s">
        <v>1098</v>
      </c>
      <c r="B152" s="328">
        <v>6.21819E7</v>
      </c>
      <c r="C152" s="328" t="s">
        <v>988</v>
      </c>
      <c r="D152" s="328" t="s">
        <v>1099</v>
      </c>
    </row>
    <row r="153" ht="15.0" customHeight="1">
      <c r="A153" s="328" t="s">
        <v>1100</v>
      </c>
      <c r="B153" s="328">
        <v>6.21818E7</v>
      </c>
      <c r="C153" s="328" t="s">
        <v>988</v>
      </c>
      <c r="D153" s="328" t="s">
        <v>1101</v>
      </c>
    </row>
    <row r="154" ht="15.0" customHeight="1">
      <c r="A154" s="328" t="s">
        <v>1102</v>
      </c>
      <c r="B154" s="328">
        <v>6.01429E7</v>
      </c>
      <c r="C154" s="328" t="s">
        <v>1103</v>
      </c>
      <c r="D154" s="328" t="s">
        <v>1104</v>
      </c>
    </row>
    <row r="155" ht="15.0" customHeight="1">
      <c r="A155" s="328" t="s">
        <v>1105</v>
      </c>
      <c r="B155" s="328">
        <v>6.07128E7</v>
      </c>
      <c r="C155" s="328" t="s">
        <v>1103</v>
      </c>
      <c r="D155" s="328" t="s">
        <v>1106</v>
      </c>
    </row>
    <row r="156" ht="15.0" customHeight="1">
      <c r="A156" s="328" t="s">
        <v>1107</v>
      </c>
      <c r="B156" s="328">
        <v>6.0711501E7</v>
      </c>
      <c r="C156" s="328" t="s">
        <v>1103</v>
      </c>
      <c r="D156" s="328" t="s">
        <v>1108</v>
      </c>
    </row>
    <row r="157" ht="15.0" customHeight="1">
      <c r="A157" s="328" t="s">
        <v>1109</v>
      </c>
      <c r="B157" s="328">
        <v>6.0711502E7</v>
      </c>
      <c r="C157" s="328" t="s">
        <v>1103</v>
      </c>
      <c r="D157" s="328" t="s">
        <v>1110</v>
      </c>
    </row>
    <row r="158" ht="15.0" customHeight="1">
      <c r="A158" s="328" t="s">
        <v>1111</v>
      </c>
      <c r="B158" s="328">
        <v>6.16413E7</v>
      </c>
      <c r="C158" s="328" t="s">
        <v>1103</v>
      </c>
      <c r="D158" s="328" t="s">
        <v>1112</v>
      </c>
    </row>
    <row r="159" ht="15.0" customHeight="1">
      <c r="A159" s="328" t="s">
        <v>1113</v>
      </c>
      <c r="B159" s="328">
        <v>6.24649E7</v>
      </c>
      <c r="C159" s="328" t="s">
        <v>1103</v>
      </c>
      <c r="D159" s="328" t="s">
        <v>1114</v>
      </c>
    </row>
    <row r="160" ht="15.0" customHeight="1">
      <c r="A160" s="328" t="s">
        <v>1115</v>
      </c>
      <c r="B160" s="328">
        <v>6.15205E7</v>
      </c>
      <c r="C160" s="328" t="s">
        <v>1103</v>
      </c>
      <c r="D160" s="328" t="s">
        <v>836</v>
      </c>
    </row>
    <row r="161" ht="15.0" customHeight="1">
      <c r="A161" s="328" t="s">
        <v>1116</v>
      </c>
      <c r="B161" s="328">
        <v>6.20861E7</v>
      </c>
      <c r="C161" s="328" t="s">
        <v>1103</v>
      </c>
      <c r="D161" s="328" t="s">
        <v>838</v>
      </c>
    </row>
    <row r="162" ht="15.0" customHeight="1">
      <c r="A162" s="328" t="s">
        <v>1117</v>
      </c>
      <c r="B162" s="328">
        <v>6.20815E7</v>
      </c>
      <c r="C162" s="328" t="s">
        <v>1103</v>
      </c>
      <c r="D162" s="328" t="s">
        <v>840</v>
      </c>
    </row>
    <row r="163" ht="15.0" customHeight="1">
      <c r="A163" s="328" t="s">
        <v>1118</v>
      </c>
      <c r="B163" s="328">
        <v>6.22894E7</v>
      </c>
      <c r="C163" s="328" t="s">
        <v>1103</v>
      </c>
      <c r="D163" s="328" t="s">
        <v>842</v>
      </c>
    </row>
    <row r="164" ht="15.0" customHeight="1">
      <c r="A164" s="328" t="s">
        <v>1119</v>
      </c>
      <c r="B164" s="328">
        <v>6.23533E7</v>
      </c>
      <c r="C164" s="328" t="s">
        <v>1103</v>
      </c>
      <c r="D164" s="328" t="s">
        <v>1120</v>
      </c>
    </row>
    <row r="165" ht="15.0" customHeight="1">
      <c r="A165" s="328" t="s">
        <v>1121</v>
      </c>
      <c r="B165" s="328">
        <v>6.2463E7</v>
      </c>
      <c r="C165" s="328" t="s">
        <v>1103</v>
      </c>
      <c r="D165" s="328" t="s">
        <v>1122</v>
      </c>
    </row>
    <row r="166" ht="15.0" customHeight="1">
      <c r="A166" s="328" t="s">
        <v>1123</v>
      </c>
      <c r="B166" s="328">
        <v>6.16611E7</v>
      </c>
      <c r="C166" s="328" t="s">
        <v>1103</v>
      </c>
      <c r="D166" s="328" t="s">
        <v>1124</v>
      </c>
    </row>
    <row r="167" ht="15.0" customHeight="1">
      <c r="A167" s="328" t="s">
        <v>1125</v>
      </c>
      <c r="B167" s="328">
        <v>6.16612E7</v>
      </c>
      <c r="C167" s="328" t="s">
        <v>1103</v>
      </c>
      <c r="D167" s="328" t="s">
        <v>1126</v>
      </c>
    </row>
    <row r="168" ht="15.0" customHeight="1">
      <c r="A168" s="328" t="s">
        <v>1127</v>
      </c>
      <c r="B168" s="328">
        <v>6.16613E7</v>
      </c>
      <c r="C168" s="328" t="s">
        <v>1103</v>
      </c>
      <c r="D168" s="328" t="s">
        <v>1128</v>
      </c>
    </row>
    <row r="169" ht="15.0" customHeight="1">
      <c r="A169" s="328" t="s">
        <v>1129</v>
      </c>
      <c r="B169" s="328">
        <v>6.23585E7</v>
      </c>
      <c r="C169" s="328" t="s">
        <v>1103</v>
      </c>
      <c r="D169" s="328" t="s">
        <v>1130</v>
      </c>
    </row>
    <row r="170" ht="15.0" customHeight="1">
      <c r="A170" s="328" t="s">
        <v>1131</v>
      </c>
      <c r="B170" s="328">
        <v>6.23586E7</v>
      </c>
      <c r="C170" s="328" t="s">
        <v>1103</v>
      </c>
      <c r="D170" s="328" t="s">
        <v>848</v>
      </c>
    </row>
    <row r="171" ht="15.0" customHeight="1">
      <c r="A171" s="328" t="s">
        <v>1132</v>
      </c>
      <c r="B171" s="328">
        <v>6.24051E7</v>
      </c>
      <c r="C171" s="328" t="s">
        <v>1103</v>
      </c>
      <c r="D171" s="328" t="s">
        <v>850</v>
      </c>
    </row>
    <row r="172" ht="15.0" customHeight="1">
      <c r="A172" s="328" t="s">
        <v>1133</v>
      </c>
      <c r="B172" s="328">
        <v>6.22637E7</v>
      </c>
      <c r="C172" s="328" t="s">
        <v>1103</v>
      </c>
      <c r="D172" s="328" t="s">
        <v>856</v>
      </c>
    </row>
    <row r="173" ht="15.0" customHeight="1">
      <c r="A173" s="328" t="s">
        <v>1134</v>
      </c>
      <c r="B173" s="328">
        <v>6.07115E7</v>
      </c>
      <c r="C173" s="328" t="s">
        <v>1103</v>
      </c>
      <c r="D173" s="328" t="s">
        <v>1135</v>
      </c>
    </row>
    <row r="174" ht="15.0" customHeight="1">
      <c r="A174" s="328" t="s">
        <v>1136</v>
      </c>
      <c r="B174" s="328">
        <v>6.15204E7</v>
      </c>
      <c r="C174" s="328" t="s">
        <v>1103</v>
      </c>
      <c r="D174" s="328" t="s">
        <v>864</v>
      </c>
    </row>
    <row r="175" ht="15.0" customHeight="1">
      <c r="A175" s="328" t="s">
        <v>1137</v>
      </c>
      <c r="B175" s="328">
        <v>6.07123E7</v>
      </c>
      <c r="C175" s="328" t="s">
        <v>1103</v>
      </c>
      <c r="D175" s="328" t="s">
        <v>1138</v>
      </c>
    </row>
    <row r="176" ht="15.0" customHeight="1">
      <c r="A176" s="328" t="s">
        <v>1139</v>
      </c>
      <c r="B176" s="328">
        <v>6.07117E7</v>
      </c>
      <c r="C176" s="328" t="s">
        <v>1103</v>
      </c>
      <c r="D176" s="328" t="s">
        <v>1012</v>
      </c>
    </row>
    <row r="177" ht="15.0" customHeight="1">
      <c r="A177" s="328" t="s">
        <v>1140</v>
      </c>
      <c r="B177" s="328">
        <v>6.07129E7</v>
      </c>
      <c r="C177" s="328" t="s">
        <v>1103</v>
      </c>
      <c r="D177" s="328" t="s">
        <v>1141</v>
      </c>
    </row>
    <row r="178" ht="15.0" customHeight="1">
      <c r="A178" s="328" t="s">
        <v>1142</v>
      </c>
      <c r="B178" s="328">
        <v>6.10263E7</v>
      </c>
      <c r="C178" s="328" t="s">
        <v>1103</v>
      </c>
      <c r="D178" s="328" t="s">
        <v>1143</v>
      </c>
    </row>
    <row r="179" ht="15.0" customHeight="1">
      <c r="A179" s="328" t="s">
        <v>1144</v>
      </c>
      <c r="B179" s="328">
        <v>6.07119E7</v>
      </c>
      <c r="C179" s="328" t="s">
        <v>1103</v>
      </c>
      <c r="D179" s="328" t="s">
        <v>1145</v>
      </c>
    </row>
    <row r="180" ht="15.0" customHeight="1">
      <c r="A180" s="328" t="s">
        <v>1146</v>
      </c>
      <c r="B180" s="328">
        <v>6.03933E7</v>
      </c>
      <c r="C180" s="328" t="s">
        <v>1103</v>
      </c>
      <c r="D180" s="328" t="s">
        <v>1147</v>
      </c>
    </row>
    <row r="181" ht="15.0" customHeight="1">
      <c r="A181" s="328" t="s">
        <v>1148</v>
      </c>
      <c r="B181" s="328">
        <v>6.01425E7</v>
      </c>
      <c r="C181" s="328" t="s">
        <v>1103</v>
      </c>
      <c r="D181" s="328" t="s">
        <v>1149</v>
      </c>
    </row>
    <row r="182" ht="15.0" customHeight="1">
      <c r="A182" s="328" t="s">
        <v>1150</v>
      </c>
      <c r="B182" s="328">
        <v>6.07121E7</v>
      </c>
      <c r="C182" s="328" t="s">
        <v>1103</v>
      </c>
      <c r="D182" s="328" t="s">
        <v>1151</v>
      </c>
    </row>
    <row r="183" ht="15.0" customHeight="1">
      <c r="A183" s="328" t="s">
        <v>1152</v>
      </c>
      <c r="B183" s="328">
        <v>6.11921E7</v>
      </c>
      <c r="C183" s="328" t="s">
        <v>1103</v>
      </c>
      <c r="D183" s="328" t="s">
        <v>1153</v>
      </c>
    </row>
    <row r="184" ht="15.0" customHeight="1">
      <c r="A184" s="328" t="s">
        <v>1154</v>
      </c>
      <c r="B184" s="328">
        <v>6.10262E7</v>
      </c>
      <c r="C184" s="328" t="s">
        <v>1103</v>
      </c>
      <c r="D184" s="328" t="s">
        <v>1155</v>
      </c>
    </row>
    <row r="185" ht="15.0" customHeight="1">
      <c r="A185" s="328" t="s">
        <v>1156</v>
      </c>
      <c r="B185" s="328">
        <v>6.10259E7</v>
      </c>
      <c r="C185" s="328" t="s">
        <v>1103</v>
      </c>
      <c r="D185" s="328" t="s">
        <v>1157</v>
      </c>
    </row>
    <row r="186" ht="15.0" customHeight="1">
      <c r="A186" s="328" t="s">
        <v>1158</v>
      </c>
      <c r="B186" s="328">
        <v>6.03457E7</v>
      </c>
      <c r="C186" s="328" t="s">
        <v>1103</v>
      </c>
      <c r="D186" s="328" t="s">
        <v>1159</v>
      </c>
    </row>
    <row r="187" ht="15.0" customHeight="1">
      <c r="A187" s="328" t="s">
        <v>1160</v>
      </c>
      <c r="B187" s="328">
        <v>6.01431E7</v>
      </c>
      <c r="C187" s="328" t="s">
        <v>1103</v>
      </c>
      <c r="D187" s="328" t="s">
        <v>1161</v>
      </c>
    </row>
    <row r="188" ht="15.0" customHeight="1">
      <c r="A188" s="328" t="s">
        <v>1162</v>
      </c>
      <c r="B188" s="328">
        <v>6.07118E7</v>
      </c>
      <c r="C188" s="328" t="s">
        <v>1103</v>
      </c>
      <c r="D188" s="328" t="s">
        <v>1163</v>
      </c>
    </row>
    <row r="189" ht="15.0" customHeight="1">
      <c r="A189" s="328" t="s">
        <v>1164</v>
      </c>
      <c r="B189" s="328">
        <v>6.10268E7</v>
      </c>
      <c r="C189" s="328" t="s">
        <v>1103</v>
      </c>
      <c r="D189" s="328" t="s">
        <v>1165</v>
      </c>
    </row>
    <row r="190" ht="15.0" customHeight="1">
      <c r="A190" s="328" t="s">
        <v>1166</v>
      </c>
      <c r="B190" s="328">
        <v>6.23973E7</v>
      </c>
      <c r="C190" s="328" t="s">
        <v>1103</v>
      </c>
      <c r="D190" s="328" t="s">
        <v>914</v>
      </c>
    </row>
    <row r="191" ht="15.0" customHeight="1">
      <c r="A191" s="328" t="s">
        <v>1167</v>
      </c>
      <c r="B191" s="328">
        <v>6.10258E7</v>
      </c>
      <c r="C191" s="328" t="s">
        <v>1103</v>
      </c>
      <c r="D191" s="328" t="s">
        <v>1168</v>
      </c>
    </row>
    <row r="192" ht="15.0" customHeight="1">
      <c r="A192" s="328" t="s">
        <v>1169</v>
      </c>
      <c r="B192" s="328">
        <v>6.18493E7</v>
      </c>
      <c r="C192" s="328" t="s">
        <v>1103</v>
      </c>
      <c r="D192" s="328" t="s">
        <v>928</v>
      </c>
    </row>
    <row r="193" ht="15.0" customHeight="1">
      <c r="A193" s="328" t="s">
        <v>1170</v>
      </c>
      <c r="B193" s="328">
        <v>6.17842E7</v>
      </c>
      <c r="C193" s="328" t="s">
        <v>1103</v>
      </c>
      <c r="D193" s="328" t="s">
        <v>932</v>
      </c>
    </row>
    <row r="194" ht="15.0" customHeight="1">
      <c r="A194" s="328" t="s">
        <v>1171</v>
      </c>
      <c r="B194" s="328">
        <v>6.17841E7</v>
      </c>
      <c r="C194" s="328" t="s">
        <v>1103</v>
      </c>
      <c r="D194" s="328" t="s">
        <v>1048</v>
      </c>
    </row>
    <row r="195" ht="15.0" customHeight="1">
      <c r="A195" s="328" t="s">
        <v>1172</v>
      </c>
      <c r="B195" s="328">
        <v>6.1784E7</v>
      </c>
      <c r="C195" s="328" t="s">
        <v>1103</v>
      </c>
      <c r="D195" s="328" t="s">
        <v>936</v>
      </c>
    </row>
    <row r="196" ht="15.0" customHeight="1">
      <c r="A196" s="328" t="s">
        <v>1173</v>
      </c>
      <c r="B196" s="328">
        <v>6.17297E7</v>
      </c>
      <c r="C196" s="328" t="s">
        <v>1103</v>
      </c>
      <c r="D196" s="328" t="s">
        <v>1053</v>
      </c>
    </row>
    <row r="197" ht="15.0" customHeight="1">
      <c r="A197" s="328" t="s">
        <v>1174</v>
      </c>
      <c r="B197" s="328">
        <v>6.17261E7</v>
      </c>
      <c r="C197" s="328" t="s">
        <v>1103</v>
      </c>
      <c r="D197" s="328" t="s">
        <v>938</v>
      </c>
    </row>
    <row r="198" ht="15.0" customHeight="1">
      <c r="A198" s="328" t="s">
        <v>1175</v>
      </c>
      <c r="B198" s="328">
        <v>6.07122E7</v>
      </c>
      <c r="C198" s="328" t="s">
        <v>1103</v>
      </c>
      <c r="D198" s="328" t="s">
        <v>1176</v>
      </c>
    </row>
    <row r="199" ht="15.0" customHeight="1">
      <c r="A199" s="328" t="s">
        <v>1177</v>
      </c>
      <c r="B199" s="328">
        <v>6.10272E7</v>
      </c>
      <c r="C199" s="328" t="s">
        <v>1103</v>
      </c>
      <c r="D199" s="328" t="s">
        <v>1178</v>
      </c>
    </row>
    <row r="200" ht="15.0" customHeight="1">
      <c r="A200" s="328" t="s">
        <v>1179</v>
      </c>
      <c r="B200" s="328">
        <v>6.07124E7</v>
      </c>
      <c r="C200" s="328" t="s">
        <v>1103</v>
      </c>
      <c r="D200" s="328" t="s">
        <v>1180</v>
      </c>
    </row>
    <row r="201" ht="15.0" customHeight="1">
      <c r="A201" s="328" t="s">
        <v>1181</v>
      </c>
      <c r="B201" s="328">
        <v>6.05468E7</v>
      </c>
      <c r="C201" s="328" t="s">
        <v>1103</v>
      </c>
      <c r="D201" s="328" t="s">
        <v>1182</v>
      </c>
    </row>
    <row r="202" ht="15.0" customHeight="1">
      <c r="A202" s="328" t="s">
        <v>1183</v>
      </c>
      <c r="B202" s="328">
        <v>6.17843E7</v>
      </c>
      <c r="C202" s="328" t="s">
        <v>1103</v>
      </c>
      <c r="D202" s="328" t="s">
        <v>1184</v>
      </c>
    </row>
    <row r="203" ht="15.0" customHeight="1">
      <c r="A203" s="328" t="s">
        <v>1185</v>
      </c>
      <c r="B203" s="328">
        <v>6.20187E7</v>
      </c>
      <c r="C203" s="328" t="s">
        <v>1103</v>
      </c>
      <c r="D203" s="328" t="s">
        <v>1186</v>
      </c>
    </row>
    <row r="204" ht="15.0" customHeight="1">
      <c r="A204" s="328" t="s">
        <v>1187</v>
      </c>
      <c r="B204" s="328">
        <v>6.01432E7</v>
      </c>
      <c r="C204" s="328" t="s">
        <v>1103</v>
      </c>
      <c r="D204" s="328" t="s">
        <v>1188</v>
      </c>
    </row>
    <row r="205" ht="15.0" customHeight="1">
      <c r="A205" s="328" t="s">
        <v>1189</v>
      </c>
      <c r="B205" s="328">
        <v>6.23202E7</v>
      </c>
      <c r="C205" s="328" t="s">
        <v>1103</v>
      </c>
      <c r="D205" s="328" t="s">
        <v>1190</v>
      </c>
    </row>
    <row r="206" ht="15.0" customHeight="1">
      <c r="A206" s="328" t="s">
        <v>1191</v>
      </c>
      <c r="B206" s="328">
        <v>6.01434E7</v>
      </c>
      <c r="C206" s="328" t="s">
        <v>1103</v>
      </c>
      <c r="D206" s="328" t="s">
        <v>1192</v>
      </c>
    </row>
    <row r="207" ht="15.0" customHeight="1">
      <c r="A207" s="328" t="s">
        <v>1193</v>
      </c>
      <c r="B207" s="328">
        <v>6.01427E7</v>
      </c>
      <c r="C207" s="328" t="s">
        <v>1103</v>
      </c>
      <c r="D207" s="328" t="s">
        <v>1194</v>
      </c>
    </row>
    <row r="208" ht="15.0" customHeight="1">
      <c r="A208" s="328" t="s">
        <v>1195</v>
      </c>
      <c r="B208" s="328">
        <v>6.10261E7</v>
      </c>
      <c r="C208" s="328" t="s">
        <v>1103</v>
      </c>
      <c r="D208" s="328" t="s">
        <v>1196</v>
      </c>
    </row>
    <row r="209" ht="15.0" customHeight="1">
      <c r="A209" s="328" t="s">
        <v>1197</v>
      </c>
      <c r="B209" s="328">
        <v>6.1026E7</v>
      </c>
      <c r="C209" s="328" t="s">
        <v>1103</v>
      </c>
      <c r="D209" s="328" t="s">
        <v>1198</v>
      </c>
    </row>
    <row r="210" ht="15.0" customHeight="1">
      <c r="A210" s="328" t="s">
        <v>1199</v>
      </c>
      <c r="B210" s="328">
        <v>6.03932E7</v>
      </c>
      <c r="C210" s="328" t="s">
        <v>1103</v>
      </c>
      <c r="D210" s="328" t="s">
        <v>1200</v>
      </c>
    </row>
    <row r="211" ht="15.0" customHeight="1">
      <c r="A211" s="328" t="s">
        <v>1201</v>
      </c>
      <c r="B211" s="328">
        <v>6.01428E7</v>
      </c>
      <c r="C211" s="328" t="s">
        <v>1103</v>
      </c>
      <c r="D211" s="328" t="s">
        <v>1202</v>
      </c>
    </row>
    <row r="212" ht="15.0" customHeight="1">
      <c r="A212" s="328" t="s">
        <v>1203</v>
      </c>
      <c r="B212" s="328">
        <v>6.0713E7</v>
      </c>
      <c r="C212" s="328" t="s">
        <v>1103</v>
      </c>
      <c r="D212" s="328" t="s">
        <v>1204</v>
      </c>
    </row>
    <row r="213" ht="15.0" customHeight="1">
      <c r="A213" s="328" t="s">
        <v>1205</v>
      </c>
      <c r="B213" s="328">
        <v>6.07116E7</v>
      </c>
      <c r="C213" s="328" t="s">
        <v>1103</v>
      </c>
      <c r="D213" s="328" t="s">
        <v>1206</v>
      </c>
    </row>
    <row r="214" ht="15.0" customHeight="1">
      <c r="A214" s="328" t="s">
        <v>1207</v>
      </c>
      <c r="B214" s="328">
        <v>6.07125E7</v>
      </c>
      <c r="C214" s="328" t="s">
        <v>1103</v>
      </c>
      <c r="D214" s="328" t="s">
        <v>1208</v>
      </c>
    </row>
    <row r="215" ht="15.0" customHeight="1">
      <c r="A215" s="328" t="s">
        <v>1209</v>
      </c>
      <c r="B215" s="328">
        <v>6.07127E7</v>
      </c>
      <c r="C215" s="328" t="s">
        <v>1103</v>
      </c>
      <c r="D215" s="328" t="s">
        <v>1210</v>
      </c>
    </row>
    <row r="216" ht="15.0" customHeight="1">
      <c r="A216" s="328" t="s">
        <v>1211</v>
      </c>
      <c r="B216" s="328">
        <v>6.01433E7</v>
      </c>
      <c r="C216" s="328" t="s">
        <v>1103</v>
      </c>
      <c r="D216" s="328" t="s">
        <v>1212</v>
      </c>
    </row>
    <row r="217" ht="15.0" customHeight="1">
      <c r="A217" s="328" t="s">
        <v>1213</v>
      </c>
      <c r="B217" s="328">
        <v>6.17076E7</v>
      </c>
      <c r="C217" s="328" t="s">
        <v>1103</v>
      </c>
      <c r="D217" s="328" t="s">
        <v>1214</v>
      </c>
    </row>
    <row r="218" ht="15.0" customHeight="1">
      <c r="A218" s="328" t="s">
        <v>1215</v>
      </c>
      <c r="B218" s="328">
        <v>6.24306E7</v>
      </c>
      <c r="C218" s="328" t="s">
        <v>1103</v>
      </c>
      <c r="D218" s="328" t="s">
        <v>1216</v>
      </c>
    </row>
    <row r="219" ht="15.0" customHeight="1">
      <c r="A219" s="328" t="s">
        <v>1217</v>
      </c>
      <c r="B219" s="328">
        <v>6.21509E7</v>
      </c>
      <c r="C219" s="328" t="s">
        <v>1103</v>
      </c>
      <c r="D219" s="328" t="s">
        <v>1093</v>
      </c>
    </row>
    <row r="220" ht="15.0" customHeight="1">
      <c r="A220" s="328" t="s">
        <v>1218</v>
      </c>
      <c r="B220" s="328">
        <v>6.1203301E7</v>
      </c>
      <c r="C220" s="328" t="s">
        <v>1219</v>
      </c>
      <c r="D220" s="328" t="s">
        <v>1220</v>
      </c>
    </row>
    <row r="221" ht="15.0" customHeight="1">
      <c r="A221" s="328" t="s">
        <v>1221</v>
      </c>
      <c r="B221" s="328">
        <v>6.2045901E7</v>
      </c>
      <c r="C221" s="328" t="s">
        <v>1219</v>
      </c>
      <c r="D221" s="328" t="s">
        <v>1222</v>
      </c>
    </row>
    <row r="222" ht="15.0" customHeight="1">
      <c r="A222" s="328" t="s">
        <v>1223</v>
      </c>
      <c r="B222" s="328">
        <v>6.0923701E7</v>
      </c>
      <c r="C222" s="328" t="s">
        <v>1219</v>
      </c>
      <c r="D222" s="328" t="s">
        <v>1224</v>
      </c>
    </row>
    <row r="223" ht="15.0" customHeight="1">
      <c r="A223" s="328" t="s">
        <v>1225</v>
      </c>
      <c r="B223" s="328">
        <v>6.0784201E7</v>
      </c>
      <c r="C223" s="328" t="s">
        <v>1219</v>
      </c>
      <c r="D223" s="328" t="s">
        <v>1226</v>
      </c>
    </row>
    <row r="224" ht="15.0" customHeight="1">
      <c r="A224" s="328" t="s">
        <v>1227</v>
      </c>
      <c r="B224" s="328">
        <v>6.0891001E7</v>
      </c>
      <c r="C224" s="328" t="s">
        <v>1219</v>
      </c>
      <c r="D224" s="328" t="s">
        <v>1228</v>
      </c>
    </row>
    <row r="225" ht="15.0" customHeight="1">
      <c r="A225" s="328" t="s">
        <v>1229</v>
      </c>
      <c r="B225" s="328">
        <v>6.1771701E7</v>
      </c>
      <c r="C225" s="328" t="s">
        <v>1219</v>
      </c>
      <c r="D225" s="328" t="s">
        <v>1230</v>
      </c>
    </row>
    <row r="226" ht="15.0" customHeight="1">
      <c r="A226" s="328" t="s">
        <v>1231</v>
      </c>
      <c r="B226" s="328">
        <v>6.0622201E7</v>
      </c>
      <c r="C226" s="328" t="s">
        <v>1219</v>
      </c>
      <c r="D226" s="328" t="s">
        <v>1232</v>
      </c>
    </row>
    <row r="227" ht="15.0" customHeight="1">
      <c r="A227" s="328" t="s">
        <v>1233</v>
      </c>
      <c r="B227" s="328">
        <v>6.2251205E7</v>
      </c>
      <c r="C227" s="328" t="s">
        <v>1219</v>
      </c>
      <c r="D227" s="328" t="s">
        <v>1234</v>
      </c>
    </row>
    <row r="228" ht="15.0" customHeight="1">
      <c r="A228" s="328" t="s">
        <v>1235</v>
      </c>
      <c r="B228" s="328">
        <v>6.0784202E7</v>
      </c>
      <c r="C228" s="328" t="s">
        <v>1219</v>
      </c>
      <c r="D228" s="328" t="s">
        <v>1236</v>
      </c>
    </row>
    <row r="229" ht="15.0" customHeight="1">
      <c r="A229" s="328" t="s">
        <v>1237</v>
      </c>
      <c r="B229" s="328">
        <v>6.2251206E7</v>
      </c>
      <c r="C229" s="328" t="s">
        <v>1219</v>
      </c>
      <c r="D229" s="328" t="s">
        <v>1238</v>
      </c>
    </row>
    <row r="230" ht="15.0" customHeight="1">
      <c r="A230" s="328" t="s">
        <v>1239</v>
      </c>
      <c r="B230" s="328">
        <v>6.2251207E7</v>
      </c>
      <c r="C230" s="328" t="s">
        <v>1219</v>
      </c>
      <c r="D230" s="328" t="s">
        <v>1240</v>
      </c>
    </row>
    <row r="231" ht="15.0" customHeight="1">
      <c r="A231" s="328" t="s">
        <v>1241</v>
      </c>
      <c r="B231" s="328">
        <v>6.2052901E7</v>
      </c>
      <c r="C231" s="328" t="s">
        <v>1219</v>
      </c>
      <c r="D231" s="328" t="s">
        <v>1242</v>
      </c>
    </row>
    <row r="232" ht="15.0" customHeight="1">
      <c r="A232" s="328" t="s">
        <v>1243</v>
      </c>
      <c r="B232" s="328">
        <v>6.2251214E7</v>
      </c>
      <c r="C232" s="328" t="s">
        <v>1219</v>
      </c>
      <c r="D232" s="328" t="s">
        <v>1244</v>
      </c>
    </row>
    <row r="233" ht="15.0" customHeight="1">
      <c r="A233" s="328" t="s">
        <v>1245</v>
      </c>
      <c r="B233" s="328">
        <v>6.2251215E7</v>
      </c>
      <c r="C233" s="328" t="s">
        <v>1219</v>
      </c>
      <c r="D233" s="328" t="s">
        <v>1246</v>
      </c>
    </row>
    <row r="234" ht="15.0" customHeight="1">
      <c r="A234" s="328" t="s">
        <v>1247</v>
      </c>
      <c r="B234" s="328">
        <v>6.2251216E7</v>
      </c>
      <c r="C234" s="328" t="s">
        <v>1219</v>
      </c>
      <c r="D234" s="328" t="s">
        <v>1248</v>
      </c>
    </row>
    <row r="235" ht="15.0" customHeight="1">
      <c r="A235" s="328" t="s">
        <v>1249</v>
      </c>
      <c r="B235" s="328">
        <v>6.2251217E7</v>
      </c>
      <c r="C235" s="328" t="s">
        <v>1219</v>
      </c>
      <c r="D235" s="328" t="s">
        <v>1250</v>
      </c>
    </row>
    <row r="236" ht="15.0" customHeight="1">
      <c r="A236" s="328" t="s">
        <v>1251</v>
      </c>
      <c r="B236" s="328">
        <v>6.2251218E7</v>
      </c>
      <c r="C236" s="328" t="s">
        <v>1219</v>
      </c>
      <c r="D236" s="328" t="s">
        <v>1252</v>
      </c>
    </row>
    <row r="237" ht="15.0" customHeight="1">
      <c r="A237" s="328" t="s">
        <v>1253</v>
      </c>
      <c r="B237" s="328">
        <v>6.2251208E7</v>
      </c>
      <c r="C237" s="328" t="s">
        <v>1219</v>
      </c>
      <c r="D237" s="328" t="s">
        <v>1254</v>
      </c>
    </row>
    <row r="238" ht="15.0" customHeight="1">
      <c r="A238" s="328" t="s">
        <v>1255</v>
      </c>
      <c r="B238" s="328">
        <v>6.2251209E7</v>
      </c>
      <c r="C238" s="328" t="s">
        <v>1219</v>
      </c>
      <c r="D238" s="328" t="s">
        <v>1256</v>
      </c>
    </row>
    <row r="239" ht="15.0" customHeight="1">
      <c r="A239" s="328" t="s">
        <v>1257</v>
      </c>
      <c r="B239" s="328">
        <v>6.225121E7</v>
      </c>
      <c r="C239" s="328" t="s">
        <v>1219</v>
      </c>
      <c r="D239" s="328" t="s">
        <v>1258</v>
      </c>
    </row>
    <row r="240" ht="15.0" customHeight="1">
      <c r="A240" s="328" t="s">
        <v>1259</v>
      </c>
      <c r="B240" s="328">
        <v>6.2251211E7</v>
      </c>
      <c r="C240" s="328" t="s">
        <v>1219</v>
      </c>
      <c r="D240" s="328" t="s">
        <v>1260</v>
      </c>
    </row>
    <row r="241" ht="15.0" customHeight="1">
      <c r="A241" s="328" t="s">
        <v>1261</v>
      </c>
      <c r="B241" s="328">
        <v>6.2251212E7</v>
      </c>
      <c r="C241" s="328" t="s">
        <v>1219</v>
      </c>
      <c r="D241" s="328" t="s">
        <v>1262</v>
      </c>
    </row>
    <row r="242" ht="15.0" customHeight="1">
      <c r="A242" s="328" t="s">
        <v>1263</v>
      </c>
      <c r="B242" s="328">
        <v>6.2251213E7</v>
      </c>
      <c r="C242" s="328" t="s">
        <v>1219</v>
      </c>
      <c r="D242" s="328" t="s">
        <v>1264</v>
      </c>
    </row>
    <row r="243" ht="15.0" customHeight="1">
      <c r="A243" s="328" t="s">
        <v>1265</v>
      </c>
      <c r="B243" s="328">
        <v>6.90021E7</v>
      </c>
      <c r="C243" s="328" t="s">
        <v>1219</v>
      </c>
      <c r="D243" s="328" t="s">
        <v>1266</v>
      </c>
    </row>
    <row r="244" ht="15.0" customHeight="1">
      <c r="A244" s="328" t="s">
        <v>1267</v>
      </c>
      <c r="B244" s="328">
        <v>6.21996E7</v>
      </c>
      <c r="C244" s="328" t="s">
        <v>1219</v>
      </c>
      <c r="D244" s="328" t="s">
        <v>1268</v>
      </c>
    </row>
    <row r="245" ht="15.0" customHeight="1">
      <c r="A245" s="328" t="s">
        <v>1269</v>
      </c>
      <c r="B245" s="328">
        <v>6.15655E7</v>
      </c>
      <c r="C245" s="328" t="s">
        <v>1219</v>
      </c>
      <c r="D245" s="328" t="s">
        <v>1270</v>
      </c>
    </row>
    <row r="246" ht="15.0" customHeight="1">
      <c r="A246" s="328" t="s">
        <v>1271</v>
      </c>
      <c r="B246" s="328">
        <v>6.1565501E7</v>
      </c>
      <c r="C246" s="328" t="s">
        <v>1219</v>
      </c>
      <c r="D246" s="328" t="s">
        <v>1270</v>
      </c>
    </row>
    <row r="247" ht="15.0" customHeight="1">
      <c r="A247" s="328" t="s">
        <v>1272</v>
      </c>
      <c r="B247" s="328">
        <v>6.09006E7</v>
      </c>
      <c r="C247" s="328" t="s">
        <v>1219</v>
      </c>
      <c r="D247" s="328" t="s">
        <v>1273</v>
      </c>
    </row>
    <row r="248" ht="15.0" customHeight="1">
      <c r="A248" s="328" t="s">
        <v>1274</v>
      </c>
      <c r="B248" s="328">
        <v>6.20508E7</v>
      </c>
      <c r="C248" s="328" t="s">
        <v>1219</v>
      </c>
      <c r="D248" s="328" t="s">
        <v>1275</v>
      </c>
    </row>
    <row r="249" ht="15.0" customHeight="1">
      <c r="A249" s="328" t="s">
        <v>1276</v>
      </c>
      <c r="B249" s="328">
        <v>6.0889001E7</v>
      </c>
      <c r="C249" s="328" t="s">
        <v>1219</v>
      </c>
      <c r="D249" s="328" t="s">
        <v>1277</v>
      </c>
    </row>
    <row r="250" ht="15.0" customHeight="1">
      <c r="A250" s="328" t="s">
        <v>1278</v>
      </c>
      <c r="B250" s="328">
        <v>6.0897901E7</v>
      </c>
      <c r="C250" s="328" t="s">
        <v>1219</v>
      </c>
      <c r="D250" s="328" t="s">
        <v>1279</v>
      </c>
    </row>
    <row r="251" ht="15.0" customHeight="1">
      <c r="A251" s="328" t="s">
        <v>1280</v>
      </c>
      <c r="B251" s="328">
        <v>6.0291402E7</v>
      </c>
      <c r="C251" s="328" t="s">
        <v>1219</v>
      </c>
      <c r="D251" s="328" t="s">
        <v>1281</v>
      </c>
    </row>
    <row r="252" ht="15.0" customHeight="1">
      <c r="A252" s="328" t="s">
        <v>1282</v>
      </c>
      <c r="B252" s="328">
        <v>6.0291401E7</v>
      </c>
      <c r="C252" s="328" t="s">
        <v>1219</v>
      </c>
      <c r="D252" s="328" t="s">
        <v>1283</v>
      </c>
    </row>
    <row r="253" ht="15.0" customHeight="1">
      <c r="A253" s="328" t="s">
        <v>1284</v>
      </c>
      <c r="B253" s="328">
        <v>6.1206E7</v>
      </c>
      <c r="C253" s="328" t="s">
        <v>1219</v>
      </c>
      <c r="D253" s="328" t="s">
        <v>1285</v>
      </c>
    </row>
    <row r="254" ht="15.0" customHeight="1">
      <c r="A254" s="328" t="s">
        <v>1286</v>
      </c>
      <c r="B254" s="328">
        <v>6.1138901E7</v>
      </c>
      <c r="C254" s="328" t="s">
        <v>1219</v>
      </c>
      <c r="D254" s="328" t="s">
        <v>1287</v>
      </c>
    </row>
    <row r="255" ht="15.0" customHeight="1">
      <c r="A255" s="328" t="s">
        <v>1288</v>
      </c>
      <c r="B255" s="328">
        <v>6.0911501E7</v>
      </c>
      <c r="C255" s="328" t="s">
        <v>1219</v>
      </c>
      <c r="D255" s="328" t="s">
        <v>1289</v>
      </c>
    </row>
    <row r="256" ht="15.0" customHeight="1">
      <c r="A256" s="328" t="s">
        <v>1290</v>
      </c>
      <c r="B256" s="328">
        <v>6.0911502E7</v>
      </c>
      <c r="C256" s="328" t="s">
        <v>1219</v>
      </c>
      <c r="D256" s="328" t="s">
        <v>1291</v>
      </c>
    </row>
    <row r="257" ht="15.0" customHeight="1">
      <c r="A257" s="328" t="s">
        <v>1292</v>
      </c>
      <c r="B257" s="328">
        <v>6.1313801E7</v>
      </c>
      <c r="C257" s="328" t="s">
        <v>1219</v>
      </c>
      <c r="D257" s="328" t="s">
        <v>1293</v>
      </c>
    </row>
    <row r="258" ht="15.0" customHeight="1">
      <c r="A258" s="328" t="s">
        <v>1294</v>
      </c>
      <c r="B258" s="328">
        <v>6.1313802E7</v>
      </c>
      <c r="C258" s="328" t="s">
        <v>1219</v>
      </c>
      <c r="D258" s="328" t="s">
        <v>1295</v>
      </c>
    </row>
    <row r="259" ht="15.0" customHeight="1">
      <c r="A259" s="328" t="s">
        <v>1296</v>
      </c>
      <c r="B259" s="328">
        <v>6.02884E7</v>
      </c>
      <c r="C259" s="328" t="s">
        <v>1219</v>
      </c>
      <c r="D259" s="328" t="s">
        <v>1297</v>
      </c>
    </row>
    <row r="260" ht="15.0" customHeight="1">
      <c r="A260" s="328" t="s">
        <v>1298</v>
      </c>
      <c r="B260" s="328">
        <v>6.00512E7</v>
      </c>
      <c r="C260" s="328" t="s">
        <v>1219</v>
      </c>
      <c r="D260" s="328" t="s">
        <v>1299</v>
      </c>
    </row>
    <row r="261" ht="15.0" customHeight="1">
      <c r="A261" s="328" t="s">
        <v>1300</v>
      </c>
      <c r="B261" s="328">
        <v>6.0073501E7</v>
      </c>
      <c r="C261" s="328" t="s">
        <v>1219</v>
      </c>
      <c r="D261" s="328" t="s">
        <v>1301</v>
      </c>
    </row>
    <row r="262" ht="15.0" customHeight="1">
      <c r="A262" s="328" t="s">
        <v>1302</v>
      </c>
      <c r="B262" s="328">
        <v>6.0317201E7</v>
      </c>
      <c r="C262" s="328" t="s">
        <v>1219</v>
      </c>
      <c r="D262" s="328" t="s">
        <v>1303</v>
      </c>
    </row>
    <row r="263" ht="15.0" customHeight="1">
      <c r="A263" s="328" t="s">
        <v>1304</v>
      </c>
      <c r="B263" s="328">
        <v>6.0897902E7</v>
      </c>
      <c r="C263" s="328" t="s">
        <v>1219</v>
      </c>
      <c r="D263" s="328" t="s">
        <v>1305</v>
      </c>
    </row>
    <row r="264" ht="15.0" customHeight="1">
      <c r="A264" s="328" t="s">
        <v>1306</v>
      </c>
      <c r="B264" s="328">
        <v>6.1563801E7</v>
      </c>
      <c r="C264" s="328" t="s">
        <v>1219</v>
      </c>
      <c r="D264" s="328" t="s">
        <v>1307</v>
      </c>
    </row>
    <row r="265" ht="15.0" customHeight="1">
      <c r="A265" s="328" t="s">
        <v>1308</v>
      </c>
      <c r="B265" s="328">
        <v>6.08902E7</v>
      </c>
      <c r="C265" s="328" t="s">
        <v>1219</v>
      </c>
      <c r="D265" s="328" t="s">
        <v>1309</v>
      </c>
    </row>
    <row r="266" ht="15.0" customHeight="1">
      <c r="A266" s="328" t="s">
        <v>1310</v>
      </c>
      <c r="B266" s="328">
        <v>6.1563802E7</v>
      </c>
      <c r="C266" s="328" t="s">
        <v>1219</v>
      </c>
      <c r="D266" s="328" t="s">
        <v>1311</v>
      </c>
    </row>
    <row r="267" ht="15.0" customHeight="1">
      <c r="A267" s="328" t="s">
        <v>1312</v>
      </c>
      <c r="B267" s="328">
        <v>6.1313803E7</v>
      </c>
      <c r="C267" s="328" t="s">
        <v>1219</v>
      </c>
      <c r="D267" s="328" t="s">
        <v>1313</v>
      </c>
    </row>
    <row r="268" ht="15.0" customHeight="1">
      <c r="A268" s="328" t="s">
        <v>1314</v>
      </c>
      <c r="B268" s="328">
        <v>6.0317203E7</v>
      </c>
      <c r="C268" s="328" t="s">
        <v>1219</v>
      </c>
      <c r="D268" s="328" t="s">
        <v>1315</v>
      </c>
    </row>
    <row r="269" ht="15.0" customHeight="1">
      <c r="A269" s="328" t="s">
        <v>1316</v>
      </c>
      <c r="B269" s="328">
        <v>6.0317202E7</v>
      </c>
      <c r="C269" s="328" t="s">
        <v>1219</v>
      </c>
      <c r="D269" s="328" t="s">
        <v>1317</v>
      </c>
    </row>
    <row r="270" ht="15.0" customHeight="1">
      <c r="A270" s="328" t="s">
        <v>1318</v>
      </c>
      <c r="B270" s="328">
        <v>6.1138902E7</v>
      </c>
      <c r="C270" s="328" t="s">
        <v>1219</v>
      </c>
      <c r="D270" s="328" t="s">
        <v>1319</v>
      </c>
    </row>
    <row r="271" ht="15.0" customHeight="1">
      <c r="A271" s="328" t="s">
        <v>1320</v>
      </c>
      <c r="B271" s="328">
        <v>6.0897903E7</v>
      </c>
      <c r="C271" s="328" t="s">
        <v>1219</v>
      </c>
      <c r="D271" s="328" t="s">
        <v>1321</v>
      </c>
    </row>
    <row r="272" ht="15.0" customHeight="1">
      <c r="A272" s="328" t="s">
        <v>1322</v>
      </c>
      <c r="B272" s="328">
        <v>6.13272E7</v>
      </c>
      <c r="C272" s="328" t="s">
        <v>1219</v>
      </c>
      <c r="D272" s="328" t="s">
        <v>1323</v>
      </c>
    </row>
    <row r="273" ht="15.0" customHeight="1">
      <c r="A273" s="328" t="s">
        <v>1324</v>
      </c>
      <c r="B273" s="328">
        <v>6.0911503E7</v>
      </c>
      <c r="C273" s="328" t="s">
        <v>1219</v>
      </c>
      <c r="D273" s="328" t="s">
        <v>1325</v>
      </c>
    </row>
    <row r="274" ht="15.0" customHeight="1">
      <c r="A274" s="328" t="s">
        <v>1326</v>
      </c>
      <c r="B274" s="328">
        <v>6.0291403E7</v>
      </c>
      <c r="C274" s="328" t="s">
        <v>1219</v>
      </c>
      <c r="D274" s="328" t="s">
        <v>1327</v>
      </c>
    </row>
    <row r="275" ht="15.0" customHeight="1">
      <c r="A275" s="328" t="s">
        <v>1328</v>
      </c>
      <c r="B275" s="328">
        <v>6.15903E7</v>
      </c>
      <c r="C275" s="328" t="s">
        <v>1219</v>
      </c>
      <c r="D275" s="328" t="s">
        <v>1329</v>
      </c>
    </row>
    <row r="276" ht="15.0" customHeight="1">
      <c r="A276" s="328" t="s">
        <v>1330</v>
      </c>
      <c r="B276" s="328">
        <v>6.1614E7</v>
      </c>
      <c r="C276" s="328" t="s">
        <v>1219</v>
      </c>
      <c r="D276" s="328" t="s">
        <v>1331</v>
      </c>
    </row>
    <row r="277" ht="15.0" customHeight="1">
      <c r="A277" s="328" t="s">
        <v>1332</v>
      </c>
      <c r="B277" s="328">
        <v>6.16141E7</v>
      </c>
      <c r="C277" s="328" t="s">
        <v>1219</v>
      </c>
      <c r="D277" s="328" t="s">
        <v>1333</v>
      </c>
    </row>
    <row r="278" ht="15.0" customHeight="1">
      <c r="A278" s="328" t="s">
        <v>1334</v>
      </c>
      <c r="B278" s="328">
        <v>6.14455E7</v>
      </c>
      <c r="C278" s="328" t="s">
        <v>1219</v>
      </c>
      <c r="D278" s="328" t="s">
        <v>1335</v>
      </c>
    </row>
    <row r="279" ht="15.0" customHeight="1">
      <c r="A279" s="328" t="s">
        <v>1336</v>
      </c>
      <c r="B279" s="328">
        <v>6.14457E7</v>
      </c>
      <c r="C279" s="328" t="s">
        <v>1219</v>
      </c>
      <c r="D279" s="328" t="s">
        <v>1337</v>
      </c>
    </row>
    <row r="280" ht="15.0" customHeight="1">
      <c r="A280" s="328" t="s">
        <v>1338</v>
      </c>
      <c r="B280" s="328">
        <v>6.16142E7</v>
      </c>
      <c r="C280" s="328" t="s">
        <v>1219</v>
      </c>
      <c r="D280" s="328" t="s">
        <v>1339</v>
      </c>
    </row>
    <row r="281" ht="15.0" customHeight="1">
      <c r="A281" s="328" t="s">
        <v>1340</v>
      </c>
      <c r="B281" s="328">
        <v>6.15904E7</v>
      </c>
      <c r="C281" s="328" t="s">
        <v>1219</v>
      </c>
      <c r="D281" s="328" t="s">
        <v>1341</v>
      </c>
    </row>
    <row r="282" ht="15.0" customHeight="1">
      <c r="A282" s="328" t="s">
        <v>1342</v>
      </c>
      <c r="B282" s="328">
        <v>6.15901E7</v>
      </c>
      <c r="C282" s="328" t="s">
        <v>1219</v>
      </c>
      <c r="D282" s="328" t="s">
        <v>1343</v>
      </c>
    </row>
    <row r="283" ht="15.0" customHeight="1">
      <c r="A283" s="328" t="s">
        <v>1344</v>
      </c>
      <c r="B283" s="328">
        <v>6.15902E7</v>
      </c>
      <c r="C283" s="328" t="s">
        <v>1219</v>
      </c>
      <c r="D283" s="328" t="s">
        <v>1345</v>
      </c>
    </row>
    <row r="284" ht="15.0" customHeight="1">
      <c r="A284" s="328" t="s">
        <v>1346</v>
      </c>
      <c r="B284" s="328">
        <v>6.16116E7</v>
      </c>
      <c r="C284" s="328" t="s">
        <v>1219</v>
      </c>
      <c r="D284" s="328" t="s">
        <v>1347</v>
      </c>
    </row>
    <row r="285" ht="15.0" customHeight="1">
      <c r="A285" s="328" t="s">
        <v>1348</v>
      </c>
      <c r="B285" s="328">
        <v>6.16117E7</v>
      </c>
      <c r="C285" s="328" t="s">
        <v>1219</v>
      </c>
      <c r="D285" s="328" t="s">
        <v>1349</v>
      </c>
    </row>
    <row r="286" ht="15.0" customHeight="1">
      <c r="A286" s="328" t="s">
        <v>1350</v>
      </c>
      <c r="B286" s="328">
        <v>6.14459E7</v>
      </c>
      <c r="C286" s="328" t="s">
        <v>1219</v>
      </c>
      <c r="D286" s="328" t="s">
        <v>1351</v>
      </c>
    </row>
    <row r="287" ht="15.0" customHeight="1">
      <c r="A287" s="328" t="s">
        <v>1352</v>
      </c>
      <c r="B287" s="328">
        <v>6.14461E7</v>
      </c>
      <c r="C287" s="328" t="s">
        <v>1219</v>
      </c>
      <c r="D287" s="328" t="s">
        <v>1353</v>
      </c>
    </row>
    <row r="288" ht="15.0" customHeight="1">
      <c r="A288" s="328" t="s">
        <v>1354</v>
      </c>
      <c r="B288" s="328">
        <v>6.21946E7</v>
      </c>
      <c r="C288" s="328" t="s">
        <v>1219</v>
      </c>
      <c r="D288" s="328" t="s">
        <v>1355</v>
      </c>
    </row>
    <row r="289" ht="15.0" customHeight="1">
      <c r="A289" s="328" t="s">
        <v>1356</v>
      </c>
      <c r="B289" s="328">
        <v>6.22372E7</v>
      </c>
      <c r="C289" s="328" t="s">
        <v>1219</v>
      </c>
      <c r="D289" s="328" t="s">
        <v>1357</v>
      </c>
    </row>
    <row r="290" ht="15.0" customHeight="1">
      <c r="A290" s="328" t="s">
        <v>1358</v>
      </c>
      <c r="B290" s="328">
        <v>6.16231E7</v>
      </c>
      <c r="C290" s="328" t="s">
        <v>1219</v>
      </c>
      <c r="D290" s="328" t="s">
        <v>1359</v>
      </c>
    </row>
    <row r="291" ht="15.0" customHeight="1">
      <c r="A291" s="328" t="s">
        <v>1360</v>
      </c>
      <c r="B291" s="328">
        <v>6.22512E7</v>
      </c>
      <c r="C291" s="328" t="s">
        <v>1219</v>
      </c>
      <c r="D291" s="328" t="s">
        <v>1361</v>
      </c>
    </row>
    <row r="292" ht="15.0" customHeight="1">
      <c r="A292" s="328" t="s">
        <v>1362</v>
      </c>
      <c r="B292" s="328">
        <v>6.14986E7</v>
      </c>
      <c r="C292" s="328" t="s">
        <v>1219</v>
      </c>
      <c r="D292" s="328" t="s">
        <v>1363</v>
      </c>
    </row>
    <row r="293" ht="15.0" customHeight="1">
      <c r="A293" s="328" t="s">
        <v>1364</v>
      </c>
      <c r="B293" s="328">
        <v>6.14987E7</v>
      </c>
      <c r="C293" s="328" t="s">
        <v>1219</v>
      </c>
      <c r="D293" s="328" t="s">
        <v>1365</v>
      </c>
    </row>
    <row r="294" ht="15.0" customHeight="1">
      <c r="A294" s="328" t="s">
        <v>1366</v>
      </c>
      <c r="B294" s="328">
        <v>6.1499E7</v>
      </c>
      <c r="C294" s="328" t="s">
        <v>1219</v>
      </c>
      <c r="D294" s="328" t="s">
        <v>836</v>
      </c>
    </row>
    <row r="295" ht="15.0" customHeight="1">
      <c r="A295" s="328" t="s">
        <v>1367</v>
      </c>
      <c r="B295" s="328">
        <v>6.14991E7</v>
      </c>
      <c r="C295" s="328" t="s">
        <v>1219</v>
      </c>
      <c r="D295" s="328" t="s">
        <v>838</v>
      </c>
    </row>
    <row r="296" ht="15.0" customHeight="1">
      <c r="A296" s="328" t="s">
        <v>1368</v>
      </c>
      <c r="B296" s="328">
        <v>6.14992E7</v>
      </c>
      <c r="C296" s="328" t="s">
        <v>1219</v>
      </c>
      <c r="D296" s="328" t="s">
        <v>1369</v>
      </c>
    </row>
    <row r="297" ht="15.0" customHeight="1">
      <c r="A297" s="328" t="s">
        <v>1370</v>
      </c>
      <c r="B297" s="328">
        <v>6.14993E7</v>
      </c>
      <c r="C297" s="328" t="s">
        <v>1219</v>
      </c>
      <c r="D297" s="328" t="s">
        <v>842</v>
      </c>
    </row>
    <row r="298" ht="15.0" customHeight="1">
      <c r="A298" s="328" t="s">
        <v>1371</v>
      </c>
      <c r="B298" s="328">
        <v>6.15825E7</v>
      </c>
      <c r="C298" s="328" t="s">
        <v>1219</v>
      </c>
      <c r="D298" s="328" t="s">
        <v>1372</v>
      </c>
    </row>
    <row r="299" ht="15.0" customHeight="1">
      <c r="A299" s="328" t="s">
        <v>1373</v>
      </c>
      <c r="B299" s="328">
        <v>6.18405E7</v>
      </c>
      <c r="C299" s="328" t="s">
        <v>1219</v>
      </c>
      <c r="D299" s="328" t="s">
        <v>1374</v>
      </c>
    </row>
    <row r="300" ht="15.0" customHeight="1">
      <c r="A300" s="328" t="s">
        <v>1375</v>
      </c>
      <c r="B300" s="328">
        <v>6.20113E7</v>
      </c>
      <c r="C300" s="328" t="s">
        <v>1219</v>
      </c>
      <c r="D300" s="328" t="s">
        <v>1376</v>
      </c>
    </row>
    <row r="301" ht="15.0" customHeight="1">
      <c r="A301" s="328" t="s">
        <v>1377</v>
      </c>
      <c r="B301" s="328">
        <v>6.20082E7</v>
      </c>
      <c r="C301" s="328" t="s">
        <v>1219</v>
      </c>
      <c r="D301" s="328" t="s">
        <v>1378</v>
      </c>
    </row>
    <row r="302" ht="15.0" customHeight="1">
      <c r="A302" s="328" t="s">
        <v>1379</v>
      </c>
      <c r="B302" s="328">
        <v>6.20074E7</v>
      </c>
      <c r="C302" s="328" t="s">
        <v>1219</v>
      </c>
      <c r="D302" s="328" t="s">
        <v>1380</v>
      </c>
    </row>
    <row r="303" ht="15.0" customHeight="1">
      <c r="A303" s="328" t="s">
        <v>1381</v>
      </c>
      <c r="B303" s="328">
        <v>6.20191E7</v>
      </c>
      <c r="C303" s="328" t="s">
        <v>1219</v>
      </c>
      <c r="D303" s="328" t="s">
        <v>1382</v>
      </c>
    </row>
    <row r="304" ht="15.0" customHeight="1">
      <c r="A304" s="328" t="s">
        <v>1383</v>
      </c>
      <c r="B304" s="328">
        <v>6.21719E7</v>
      </c>
      <c r="C304" s="328" t="s">
        <v>1219</v>
      </c>
      <c r="D304" s="328" t="s">
        <v>1384</v>
      </c>
    </row>
    <row r="305" ht="15.0" customHeight="1">
      <c r="A305" s="328" t="s">
        <v>1385</v>
      </c>
      <c r="B305" s="328">
        <v>6.20906E7</v>
      </c>
      <c r="C305" s="328" t="s">
        <v>1219</v>
      </c>
      <c r="D305" s="328" t="s">
        <v>1386</v>
      </c>
    </row>
    <row r="306" ht="15.0" customHeight="1">
      <c r="A306" s="328" t="s">
        <v>1387</v>
      </c>
      <c r="B306" s="328">
        <v>6.22006E7</v>
      </c>
      <c r="C306" s="328" t="s">
        <v>1219</v>
      </c>
      <c r="D306" s="328" t="s">
        <v>1388</v>
      </c>
    </row>
    <row r="307" ht="15.0" customHeight="1">
      <c r="A307" s="328" t="s">
        <v>1389</v>
      </c>
      <c r="B307" s="328">
        <v>6.21216E7</v>
      </c>
      <c r="C307" s="328" t="s">
        <v>1219</v>
      </c>
      <c r="D307" s="328" t="s">
        <v>1390</v>
      </c>
    </row>
    <row r="308" ht="15.0" customHeight="1">
      <c r="A308" s="328" t="s">
        <v>1391</v>
      </c>
      <c r="B308" s="328">
        <v>6.219E7</v>
      </c>
      <c r="C308" s="328" t="s">
        <v>1219</v>
      </c>
      <c r="D308" s="328" t="s">
        <v>1392</v>
      </c>
    </row>
    <row r="309" ht="15.0" customHeight="1">
      <c r="A309" s="328" t="s">
        <v>1393</v>
      </c>
      <c r="B309" s="328">
        <v>6.212E7</v>
      </c>
      <c r="C309" s="328" t="s">
        <v>1219</v>
      </c>
      <c r="D309" s="328" t="s">
        <v>1394</v>
      </c>
    </row>
    <row r="310" ht="15.0" customHeight="1">
      <c r="A310" s="328" t="s">
        <v>1395</v>
      </c>
      <c r="B310" s="328">
        <v>6.2176E7</v>
      </c>
      <c r="C310" s="328" t="s">
        <v>1219</v>
      </c>
      <c r="D310" s="328" t="s">
        <v>1396</v>
      </c>
    </row>
    <row r="311" ht="15.0" customHeight="1">
      <c r="A311" s="328" t="s">
        <v>1397</v>
      </c>
      <c r="B311" s="328">
        <v>6.21806E7</v>
      </c>
      <c r="C311" s="328" t="s">
        <v>1219</v>
      </c>
      <c r="D311" s="328" t="s">
        <v>1398</v>
      </c>
    </row>
    <row r="312" ht="15.0" customHeight="1">
      <c r="A312" s="328" t="s">
        <v>1399</v>
      </c>
      <c r="B312" s="328">
        <v>6.21986E7</v>
      </c>
      <c r="C312" s="328" t="s">
        <v>1219</v>
      </c>
      <c r="D312" s="328" t="s">
        <v>1400</v>
      </c>
    </row>
    <row r="313" ht="15.0" customHeight="1">
      <c r="A313" s="328" t="s">
        <v>1401</v>
      </c>
      <c r="B313" s="328">
        <v>6.21969E7</v>
      </c>
      <c r="C313" s="328" t="s">
        <v>1219</v>
      </c>
      <c r="D313" s="328" t="s">
        <v>1402</v>
      </c>
    </row>
    <row r="314" ht="15.0" customHeight="1">
      <c r="A314" s="328" t="s">
        <v>1403</v>
      </c>
      <c r="B314" s="328">
        <v>6.22733E7</v>
      </c>
      <c r="C314" s="328" t="s">
        <v>1219</v>
      </c>
      <c r="D314" s="328" t="s">
        <v>1404</v>
      </c>
    </row>
    <row r="315" ht="15.0" customHeight="1">
      <c r="A315" s="328" t="s">
        <v>1405</v>
      </c>
      <c r="B315" s="328">
        <v>6.22416E7</v>
      </c>
      <c r="C315" s="328" t="s">
        <v>1219</v>
      </c>
      <c r="D315" s="328" t="s">
        <v>1406</v>
      </c>
    </row>
    <row r="316" ht="15.0" customHeight="1">
      <c r="A316" s="328" t="s">
        <v>1407</v>
      </c>
      <c r="B316" s="328">
        <v>6.22965E7</v>
      </c>
      <c r="C316" s="328" t="s">
        <v>1219</v>
      </c>
      <c r="D316" s="328" t="s">
        <v>1408</v>
      </c>
    </row>
    <row r="317" ht="15.0" customHeight="1">
      <c r="A317" s="328" t="s">
        <v>1409</v>
      </c>
      <c r="B317" s="328">
        <v>6.23184E7</v>
      </c>
      <c r="C317" s="328" t="s">
        <v>1219</v>
      </c>
      <c r="D317" s="328" t="s">
        <v>1410</v>
      </c>
    </row>
    <row r="318" ht="15.0" customHeight="1">
      <c r="A318" s="328" t="s">
        <v>1411</v>
      </c>
      <c r="B318" s="328">
        <v>6.23228E7</v>
      </c>
      <c r="C318" s="328" t="s">
        <v>1219</v>
      </c>
      <c r="D318" s="328" t="s">
        <v>1412</v>
      </c>
    </row>
    <row r="319" ht="15.0" customHeight="1">
      <c r="A319" s="328" t="s">
        <v>1413</v>
      </c>
      <c r="B319" s="328">
        <v>6.23229E7</v>
      </c>
      <c r="C319" s="328" t="s">
        <v>1219</v>
      </c>
      <c r="D319" s="328" t="s">
        <v>1414</v>
      </c>
    </row>
    <row r="320" ht="15.0" customHeight="1">
      <c r="A320" s="328" t="s">
        <v>1415</v>
      </c>
      <c r="B320" s="328">
        <v>6.23244E7</v>
      </c>
      <c r="C320" s="328" t="s">
        <v>1219</v>
      </c>
      <c r="D320" s="328" t="s">
        <v>1416</v>
      </c>
    </row>
    <row r="321" ht="15.0" customHeight="1">
      <c r="A321" s="328" t="s">
        <v>1417</v>
      </c>
      <c r="B321" s="328">
        <v>6.233E7</v>
      </c>
      <c r="C321" s="328" t="s">
        <v>1219</v>
      </c>
      <c r="D321" s="328" t="s">
        <v>1418</v>
      </c>
    </row>
    <row r="322" ht="15.0" customHeight="1">
      <c r="A322" s="328" t="s">
        <v>1419</v>
      </c>
      <c r="B322" s="328">
        <v>6.23259E7</v>
      </c>
      <c r="C322" s="328" t="s">
        <v>1219</v>
      </c>
      <c r="D322" s="328" t="s">
        <v>1420</v>
      </c>
    </row>
    <row r="323" ht="15.0" customHeight="1">
      <c r="A323" s="328" t="s">
        <v>1421</v>
      </c>
      <c r="B323" s="328">
        <v>6.23372E7</v>
      </c>
      <c r="C323" s="328" t="s">
        <v>1219</v>
      </c>
      <c r="D323" s="328" t="s">
        <v>1422</v>
      </c>
    </row>
    <row r="324" ht="15.0" customHeight="1">
      <c r="A324" s="328" t="s">
        <v>1423</v>
      </c>
      <c r="B324" s="328">
        <v>6.23388E7</v>
      </c>
      <c r="C324" s="328" t="s">
        <v>1219</v>
      </c>
      <c r="D324" s="328" t="s">
        <v>1424</v>
      </c>
    </row>
    <row r="325" ht="15.0" customHeight="1">
      <c r="A325" s="328" t="s">
        <v>1425</v>
      </c>
      <c r="B325" s="328">
        <v>6.24608E7</v>
      </c>
      <c r="C325" s="328" t="s">
        <v>1219</v>
      </c>
      <c r="D325" s="328" t="s">
        <v>1426</v>
      </c>
    </row>
    <row r="326" ht="15.0" customHeight="1">
      <c r="A326" s="328" t="s">
        <v>1427</v>
      </c>
      <c r="B326" s="328">
        <v>6.24629E7</v>
      </c>
      <c r="C326" s="328" t="s">
        <v>1219</v>
      </c>
      <c r="D326" s="328" t="s">
        <v>1428</v>
      </c>
    </row>
    <row r="327" ht="15.0" customHeight="1">
      <c r="A327" s="328" t="s">
        <v>1429</v>
      </c>
      <c r="B327" s="328">
        <v>6.22526E7</v>
      </c>
      <c r="C327" s="328" t="s">
        <v>1219</v>
      </c>
      <c r="D327" s="328" t="s">
        <v>1430</v>
      </c>
    </row>
    <row r="328" ht="15.0" customHeight="1">
      <c r="A328" s="328" t="s">
        <v>1431</v>
      </c>
      <c r="B328" s="328">
        <v>6.23196E7</v>
      </c>
      <c r="C328" s="328" t="s">
        <v>1219</v>
      </c>
      <c r="D328" s="328" t="s">
        <v>1432</v>
      </c>
    </row>
    <row r="329" ht="15.0" customHeight="1">
      <c r="A329" s="328" t="s">
        <v>1433</v>
      </c>
      <c r="B329" s="328">
        <v>6.23587E7</v>
      </c>
      <c r="C329" s="328" t="s">
        <v>1219</v>
      </c>
      <c r="D329" s="328" t="s">
        <v>1434</v>
      </c>
    </row>
    <row r="330" ht="15.0" customHeight="1">
      <c r="A330" s="328" t="s">
        <v>1435</v>
      </c>
      <c r="B330" s="328">
        <v>6.02867E7</v>
      </c>
      <c r="C330" s="328" t="s">
        <v>1219</v>
      </c>
      <c r="D330" s="328" t="s">
        <v>1436</v>
      </c>
    </row>
    <row r="331" ht="15.0" customHeight="1">
      <c r="A331" s="328" t="s">
        <v>1437</v>
      </c>
      <c r="B331" s="328">
        <v>6.23588E7</v>
      </c>
      <c r="C331" s="328" t="s">
        <v>1219</v>
      </c>
      <c r="D331" s="328" t="s">
        <v>1438</v>
      </c>
    </row>
    <row r="332" ht="15.0" customHeight="1">
      <c r="A332" s="328" t="s">
        <v>1439</v>
      </c>
      <c r="B332" s="328">
        <v>6.23589E7</v>
      </c>
      <c r="C332" s="328" t="s">
        <v>1219</v>
      </c>
      <c r="D332" s="328" t="s">
        <v>1440</v>
      </c>
    </row>
    <row r="333" ht="15.0" customHeight="1">
      <c r="A333" s="328" t="s">
        <v>1441</v>
      </c>
      <c r="B333" s="328">
        <v>6.2359E7</v>
      </c>
      <c r="C333" s="328" t="s">
        <v>1219</v>
      </c>
      <c r="D333" s="328" t="s">
        <v>1442</v>
      </c>
    </row>
    <row r="334" ht="15.0" customHeight="1">
      <c r="A334" s="328" t="s">
        <v>1443</v>
      </c>
      <c r="B334" s="328">
        <v>6.08838E7</v>
      </c>
      <c r="C334" s="328" t="s">
        <v>1219</v>
      </c>
      <c r="D334" s="328" t="s">
        <v>1444</v>
      </c>
    </row>
    <row r="335" ht="15.0" customHeight="1">
      <c r="A335" s="328" t="s">
        <v>1445</v>
      </c>
      <c r="B335" s="328">
        <v>6.02865E7</v>
      </c>
      <c r="C335" s="328" t="s">
        <v>1219</v>
      </c>
      <c r="D335" s="328" t="s">
        <v>1446</v>
      </c>
    </row>
    <row r="336" ht="15.0" customHeight="1">
      <c r="A336" s="328" t="s">
        <v>1447</v>
      </c>
      <c r="B336" s="328">
        <v>6.08852E7</v>
      </c>
      <c r="C336" s="328" t="s">
        <v>1219</v>
      </c>
      <c r="D336" s="328" t="s">
        <v>1448</v>
      </c>
    </row>
    <row r="337" ht="15.0" customHeight="1">
      <c r="A337" s="328" t="s">
        <v>1449</v>
      </c>
      <c r="B337" s="328">
        <v>6.23591E7</v>
      </c>
      <c r="C337" s="328" t="s">
        <v>1219</v>
      </c>
      <c r="D337" s="328" t="s">
        <v>1450</v>
      </c>
    </row>
    <row r="338" ht="15.0" customHeight="1">
      <c r="A338" s="328" t="s">
        <v>1451</v>
      </c>
      <c r="B338" s="328">
        <v>6.23592E7</v>
      </c>
      <c r="C338" s="328" t="s">
        <v>1219</v>
      </c>
      <c r="D338" s="328" t="s">
        <v>1452</v>
      </c>
    </row>
    <row r="339" ht="15.0" customHeight="1">
      <c r="A339" s="328" t="s">
        <v>1453</v>
      </c>
      <c r="B339" s="328">
        <v>6.23593E7</v>
      </c>
      <c r="C339" s="328" t="s">
        <v>1219</v>
      </c>
      <c r="D339" s="328" t="s">
        <v>1454</v>
      </c>
    </row>
    <row r="340" ht="15.0" customHeight="1">
      <c r="A340" s="328" t="s">
        <v>1455</v>
      </c>
      <c r="B340" s="328">
        <v>6.08823E7</v>
      </c>
      <c r="C340" s="328" t="s">
        <v>1219</v>
      </c>
      <c r="D340" s="328" t="s">
        <v>1456</v>
      </c>
    </row>
    <row r="341" ht="15.0" customHeight="1">
      <c r="A341" s="328" t="s">
        <v>1457</v>
      </c>
      <c r="B341" s="328">
        <v>6.06407E7</v>
      </c>
      <c r="C341" s="328" t="s">
        <v>1219</v>
      </c>
      <c r="D341" s="328" t="s">
        <v>1458</v>
      </c>
    </row>
    <row r="342" ht="15.0" customHeight="1">
      <c r="A342" s="328" t="s">
        <v>1459</v>
      </c>
      <c r="B342" s="328">
        <v>6.00732E7</v>
      </c>
      <c r="C342" s="328" t="s">
        <v>1219</v>
      </c>
      <c r="D342" s="328" t="s">
        <v>1460</v>
      </c>
    </row>
    <row r="343" ht="15.0" customHeight="1">
      <c r="A343" s="328" t="s">
        <v>1461</v>
      </c>
      <c r="B343" s="328">
        <v>6.02887E7</v>
      </c>
      <c r="C343" s="328" t="s">
        <v>1219</v>
      </c>
      <c r="D343" s="328" t="s">
        <v>1462</v>
      </c>
    </row>
    <row r="344" ht="15.0" customHeight="1">
      <c r="A344" s="328" t="s">
        <v>1463</v>
      </c>
      <c r="B344" s="328">
        <v>6.17135E7</v>
      </c>
      <c r="C344" s="328" t="s">
        <v>1219</v>
      </c>
      <c r="D344" s="328" t="s">
        <v>1464</v>
      </c>
    </row>
    <row r="345" ht="15.0" customHeight="1">
      <c r="A345" s="328" t="s">
        <v>1465</v>
      </c>
      <c r="B345" s="328">
        <v>6.24019E7</v>
      </c>
      <c r="C345" s="328" t="s">
        <v>1219</v>
      </c>
      <c r="D345" s="328" t="s">
        <v>1466</v>
      </c>
    </row>
    <row r="346" ht="15.0" customHeight="1">
      <c r="A346" s="328" t="s">
        <v>1467</v>
      </c>
      <c r="B346" s="328">
        <v>6.24055E7</v>
      </c>
      <c r="C346" s="328" t="s">
        <v>1219</v>
      </c>
      <c r="D346" s="328" t="s">
        <v>1468</v>
      </c>
    </row>
    <row r="347" ht="15.0" customHeight="1">
      <c r="A347" s="328" t="s">
        <v>1469</v>
      </c>
      <c r="B347" s="328">
        <v>6.24407E7</v>
      </c>
      <c r="C347" s="328" t="s">
        <v>1219</v>
      </c>
      <c r="D347" s="328" t="s">
        <v>1470</v>
      </c>
    </row>
    <row r="348" ht="15.0" customHeight="1">
      <c r="A348" s="328" t="s">
        <v>1471</v>
      </c>
      <c r="B348" s="328">
        <v>6.18227E7</v>
      </c>
      <c r="C348" s="328" t="s">
        <v>1219</v>
      </c>
      <c r="D348" s="328" t="s">
        <v>1472</v>
      </c>
    </row>
    <row r="349" ht="15.0" customHeight="1">
      <c r="A349" s="328" t="s">
        <v>1473</v>
      </c>
      <c r="B349" s="328">
        <v>6.20391E7</v>
      </c>
      <c r="C349" s="328" t="s">
        <v>1219</v>
      </c>
      <c r="D349" s="328" t="s">
        <v>1474</v>
      </c>
    </row>
    <row r="350" ht="15.0" customHeight="1">
      <c r="A350" s="328" t="s">
        <v>1475</v>
      </c>
      <c r="B350" s="328">
        <v>6.20392E7</v>
      </c>
      <c r="C350" s="328" t="s">
        <v>1219</v>
      </c>
      <c r="D350" s="328" t="s">
        <v>1476</v>
      </c>
    </row>
    <row r="351" ht="15.0" customHeight="1">
      <c r="A351" s="328" t="s">
        <v>1477</v>
      </c>
      <c r="B351" s="328">
        <v>6.20529E7</v>
      </c>
      <c r="C351" s="328" t="s">
        <v>1219</v>
      </c>
      <c r="D351" s="328" t="s">
        <v>1478</v>
      </c>
    </row>
    <row r="352" ht="15.0" customHeight="1">
      <c r="A352" s="328" t="s">
        <v>1479</v>
      </c>
      <c r="B352" s="328">
        <v>6.90019E7</v>
      </c>
      <c r="C352" s="328" t="s">
        <v>1219</v>
      </c>
      <c r="D352" s="328" t="s">
        <v>1480</v>
      </c>
    </row>
    <row r="353" ht="15.0" customHeight="1">
      <c r="A353" s="328" t="s">
        <v>1481</v>
      </c>
      <c r="B353" s="328">
        <v>6.07946E7</v>
      </c>
      <c r="C353" s="328" t="s">
        <v>1219</v>
      </c>
      <c r="D353" s="328" t="s">
        <v>1482</v>
      </c>
    </row>
    <row r="354" ht="15.0" customHeight="1">
      <c r="A354" s="328" t="s">
        <v>1483</v>
      </c>
      <c r="B354" s="328">
        <v>6.0E7</v>
      </c>
      <c r="C354" s="328" t="s">
        <v>1219</v>
      </c>
      <c r="D354" s="328" t="s">
        <v>1484</v>
      </c>
    </row>
    <row r="355" ht="15.0" customHeight="1">
      <c r="A355" s="328" t="s">
        <v>1485</v>
      </c>
      <c r="B355" s="328">
        <v>6.2198E7</v>
      </c>
      <c r="C355" s="328" t="s">
        <v>1219</v>
      </c>
      <c r="D355" s="328" t="s">
        <v>1486</v>
      </c>
    </row>
    <row r="356" ht="15.0" customHeight="1">
      <c r="A356" s="328" t="s">
        <v>1487</v>
      </c>
      <c r="B356" s="328">
        <v>6.00724E7</v>
      </c>
      <c r="C356" s="328" t="s">
        <v>1219</v>
      </c>
      <c r="D356" s="328" t="s">
        <v>1488</v>
      </c>
    </row>
    <row r="357" ht="15.0" customHeight="1">
      <c r="A357" s="328" t="s">
        <v>1489</v>
      </c>
      <c r="B357" s="328">
        <v>6.02888E7</v>
      </c>
      <c r="C357" s="328" t="s">
        <v>1219</v>
      </c>
      <c r="D357" s="328" t="s">
        <v>1490</v>
      </c>
    </row>
    <row r="358" ht="15.0" customHeight="1">
      <c r="A358" s="328" t="s">
        <v>1491</v>
      </c>
      <c r="B358" s="328">
        <v>6.11389E7</v>
      </c>
      <c r="C358" s="328" t="s">
        <v>1219</v>
      </c>
      <c r="D358" s="328" t="s">
        <v>1492</v>
      </c>
    </row>
    <row r="359" ht="15.0" customHeight="1">
      <c r="A359" s="328" t="s">
        <v>1493</v>
      </c>
      <c r="B359" s="328">
        <v>6.03172E7</v>
      </c>
      <c r="C359" s="328" t="s">
        <v>1219</v>
      </c>
      <c r="D359" s="328" t="s">
        <v>1494</v>
      </c>
    </row>
    <row r="360" ht="15.0" customHeight="1">
      <c r="A360" s="328" t="s">
        <v>1495</v>
      </c>
      <c r="B360" s="328">
        <v>6.13138E7</v>
      </c>
      <c r="C360" s="328" t="s">
        <v>1219</v>
      </c>
      <c r="D360" s="328" t="s">
        <v>1496</v>
      </c>
    </row>
    <row r="361" ht="15.0" customHeight="1">
      <c r="A361" s="328" t="s">
        <v>1497</v>
      </c>
      <c r="B361" s="328">
        <v>6.15638E7</v>
      </c>
      <c r="C361" s="328" t="s">
        <v>1219</v>
      </c>
      <c r="D361" s="328" t="s">
        <v>1498</v>
      </c>
    </row>
    <row r="362" ht="15.0" customHeight="1">
      <c r="A362" s="328" t="s">
        <v>1499</v>
      </c>
      <c r="B362" s="328">
        <v>6.02914E7</v>
      </c>
      <c r="C362" s="328" t="s">
        <v>1219</v>
      </c>
      <c r="D362" s="328" t="s">
        <v>1500</v>
      </c>
    </row>
    <row r="363" ht="15.0" customHeight="1">
      <c r="A363" s="328" t="s">
        <v>1501</v>
      </c>
      <c r="B363" s="328">
        <v>6.08979E7</v>
      </c>
      <c r="C363" s="328" t="s">
        <v>1219</v>
      </c>
      <c r="D363" s="328" t="s">
        <v>1502</v>
      </c>
    </row>
    <row r="364" ht="15.0" customHeight="1">
      <c r="A364" s="328" t="s">
        <v>1503</v>
      </c>
      <c r="B364" s="328">
        <v>6.09115E7</v>
      </c>
      <c r="C364" s="328" t="s">
        <v>1219</v>
      </c>
      <c r="D364" s="328" t="s">
        <v>1504</v>
      </c>
    </row>
    <row r="365" ht="15.0" customHeight="1">
      <c r="A365" s="328" t="s">
        <v>1505</v>
      </c>
      <c r="B365" s="328">
        <v>6.00735E7</v>
      </c>
      <c r="C365" s="328" t="s">
        <v>1219</v>
      </c>
      <c r="D365" s="328" t="s">
        <v>1506</v>
      </c>
    </row>
    <row r="366" ht="15.0" customHeight="1">
      <c r="A366" s="328" t="s">
        <v>1507</v>
      </c>
      <c r="B366" s="328">
        <v>6.02882E7</v>
      </c>
      <c r="C366" s="328" t="s">
        <v>1219</v>
      </c>
      <c r="D366" s="328" t="s">
        <v>1508</v>
      </c>
    </row>
    <row r="367" ht="15.0" customHeight="1">
      <c r="A367" s="328" t="s">
        <v>1509</v>
      </c>
      <c r="B367" s="328">
        <v>6.04899E7</v>
      </c>
      <c r="C367" s="328" t="s">
        <v>1219</v>
      </c>
      <c r="D367" s="328" t="s">
        <v>1510</v>
      </c>
    </row>
    <row r="368" ht="15.0" customHeight="1">
      <c r="A368" s="328" t="s">
        <v>1511</v>
      </c>
      <c r="B368" s="328">
        <v>6.03179E7</v>
      </c>
      <c r="C368" s="328" t="s">
        <v>1219</v>
      </c>
      <c r="D368" s="328" t="s">
        <v>1512</v>
      </c>
    </row>
    <row r="369" ht="15.0" customHeight="1">
      <c r="A369" s="328" t="s">
        <v>1513</v>
      </c>
      <c r="B369" s="328">
        <v>6.00729E7</v>
      </c>
      <c r="C369" s="328" t="s">
        <v>1219</v>
      </c>
      <c r="D369" s="328" t="s">
        <v>1514</v>
      </c>
    </row>
    <row r="370" ht="15.0" customHeight="1">
      <c r="A370" s="328" t="s">
        <v>1515</v>
      </c>
      <c r="B370" s="328">
        <v>6.106E7</v>
      </c>
      <c r="C370" s="328" t="s">
        <v>1219</v>
      </c>
      <c r="D370" s="328" t="s">
        <v>1516</v>
      </c>
    </row>
    <row r="371" ht="15.0" customHeight="1">
      <c r="A371" s="328" t="s">
        <v>1517</v>
      </c>
      <c r="B371" s="328">
        <v>6.14554E7</v>
      </c>
      <c r="C371" s="328" t="s">
        <v>1219</v>
      </c>
      <c r="D371" s="328" t="s">
        <v>1518</v>
      </c>
    </row>
    <row r="372" ht="15.0" customHeight="1">
      <c r="A372" s="328" t="s">
        <v>1519</v>
      </c>
      <c r="B372" s="328">
        <v>6.15686E7</v>
      </c>
      <c r="C372" s="328" t="s">
        <v>1219</v>
      </c>
      <c r="D372" s="328" t="s">
        <v>1520</v>
      </c>
    </row>
    <row r="373" ht="15.0" customHeight="1">
      <c r="A373" s="328" t="s">
        <v>1521</v>
      </c>
      <c r="B373" s="328">
        <v>6.14985E7</v>
      </c>
      <c r="C373" s="328" t="s">
        <v>1219</v>
      </c>
      <c r="D373" s="328" t="s">
        <v>1522</v>
      </c>
    </row>
    <row r="374" ht="15.0" customHeight="1">
      <c r="A374" s="328" t="s">
        <v>1523</v>
      </c>
      <c r="B374" s="328">
        <v>6.14984E7</v>
      </c>
      <c r="C374" s="328" t="s">
        <v>1219</v>
      </c>
      <c r="D374" s="328" t="s">
        <v>1524</v>
      </c>
    </row>
    <row r="375" ht="15.0" customHeight="1">
      <c r="A375" s="328" t="s">
        <v>1525</v>
      </c>
      <c r="B375" s="328">
        <v>6.00727E7</v>
      </c>
      <c r="C375" s="328" t="s">
        <v>1219</v>
      </c>
      <c r="D375" s="328" t="s">
        <v>1526</v>
      </c>
    </row>
    <row r="376" ht="15.0" customHeight="1">
      <c r="A376" s="328" t="s">
        <v>1527</v>
      </c>
      <c r="B376" s="328">
        <v>6.2087E7</v>
      </c>
      <c r="C376" s="328" t="s">
        <v>1219</v>
      </c>
      <c r="D376" s="328" t="s">
        <v>1528</v>
      </c>
    </row>
    <row r="377" ht="15.0" customHeight="1">
      <c r="A377" s="328" t="s">
        <v>1529</v>
      </c>
      <c r="B377" s="328">
        <v>6.24018E7</v>
      </c>
      <c r="C377" s="328" t="s">
        <v>1219</v>
      </c>
      <c r="D377" s="328" t="s">
        <v>1530</v>
      </c>
    </row>
    <row r="378" ht="15.0" customHeight="1">
      <c r="A378" s="328" t="s">
        <v>1531</v>
      </c>
      <c r="B378" s="328">
        <v>6.08822E7</v>
      </c>
      <c r="C378" s="328" t="s">
        <v>1219</v>
      </c>
      <c r="D378" s="328" t="s">
        <v>1532</v>
      </c>
    </row>
    <row r="379" ht="15.0" customHeight="1">
      <c r="A379" s="328" t="s">
        <v>1533</v>
      </c>
      <c r="B379" s="328">
        <v>6.06233E7</v>
      </c>
      <c r="C379" s="328" t="s">
        <v>1219</v>
      </c>
      <c r="D379" s="328" t="s">
        <v>1534</v>
      </c>
    </row>
    <row r="380" ht="15.0" customHeight="1">
      <c r="A380" s="328" t="s">
        <v>1535</v>
      </c>
      <c r="B380" s="328">
        <v>6.02866E7</v>
      </c>
      <c r="C380" s="328" t="s">
        <v>1219</v>
      </c>
      <c r="D380" s="328" t="s">
        <v>1536</v>
      </c>
    </row>
    <row r="381" ht="15.0" customHeight="1">
      <c r="A381" s="328" t="s">
        <v>1537</v>
      </c>
      <c r="B381" s="328">
        <v>6.08897E7</v>
      </c>
      <c r="C381" s="328" t="s">
        <v>1219</v>
      </c>
      <c r="D381" s="328" t="s">
        <v>1538</v>
      </c>
    </row>
    <row r="382" ht="15.0" customHeight="1">
      <c r="A382" s="328" t="s">
        <v>1539</v>
      </c>
      <c r="B382" s="328">
        <v>6.0315E7</v>
      </c>
      <c r="C382" s="328" t="s">
        <v>1219</v>
      </c>
      <c r="D382" s="328" t="s">
        <v>1540</v>
      </c>
    </row>
    <row r="383" ht="15.0" customHeight="1">
      <c r="A383" s="328" t="s">
        <v>1541</v>
      </c>
      <c r="B383" s="328">
        <v>6.08984E7</v>
      </c>
      <c r="C383" s="328" t="s">
        <v>1219</v>
      </c>
      <c r="D383" s="328" t="s">
        <v>1542</v>
      </c>
    </row>
    <row r="384" ht="15.0" customHeight="1">
      <c r="A384" s="328" t="s">
        <v>1543</v>
      </c>
      <c r="B384" s="328">
        <v>6.03068E7</v>
      </c>
      <c r="C384" s="328" t="s">
        <v>1219</v>
      </c>
      <c r="D384" s="328" t="s">
        <v>1544</v>
      </c>
    </row>
    <row r="385" ht="15.0" customHeight="1">
      <c r="A385" s="328" t="s">
        <v>1545</v>
      </c>
      <c r="B385" s="328">
        <v>6.02919E7</v>
      </c>
      <c r="C385" s="328" t="s">
        <v>1219</v>
      </c>
      <c r="D385" s="328" t="s">
        <v>1546</v>
      </c>
    </row>
    <row r="386" ht="15.0" customHeight="1">
      <c r="A386" s="328" t="s">
        <v>1547</v>
      </c>
      <c r="B386" s="328">
        <v>6.02857E7</v>
      </c>
      <c r="C386" s="328" t="s">
        <v>1219</v>
      </c>
      <c r="D386" s="328" t="s">
        <v>1548</v>
      </c>
    </row>
    <row r="387" ht="15.0" customHeight="1">
      <c r="A387" s="328" t="s">
        <v>1549</v>
      </c>
      <c r="B387" s="328">
        <v>6.09264E7</v>
      </c>
      <c r="C387" s="328" t="s">
        <v>1219</v>
      </c>
      <c r="D387" s="328" t="s">
        <v>1550</v>
      </c>
    </row>
    <row r="388" ht="15.0" customHeight="1">
      <c r="A388" s="328" t="s">
        <v>1551</v>
      </c>
      <c r="B388" s="328">
        <v>6.02874E7</v>
      </c>
      <c r="C388" s="328" t="s">
        <v>1219</v>
      </c>
      <c r="D388" s="328" t="s">
        <v>1552</v>
      </c>
    </row>
    <row r="389" ht="15.0" customHeight="1">
      <c r="A389" s="328" t="s">
        <v>1553</v>
      </c>
      <c r="B389" s="328">
        <v>6.088E7</v>
      </c>
      <c r="C389" s="328" t="s">
        <v>1219</v>
      </c>
      <c r="D389" s="328" t="s">
        <v>1554</v>
      </c>
    </row>
    <row r="390" ht="15.0" customHeight="1">
      <c r="A390" s="328" t="s">
        <v>1555</v>
      </c>
      <c r="B390" s="328">
        <v>6.09313E7</v>
      </c>
      <c r="C390" s="328" t="s">
        <v>1219</v>
      </c>
      <c r="D390" s="328" t="s">
        <v>1556</v>
      </c>
    </row>
    <row r="391" ht="15.0" customHeight="1">
      <c r="A391" s="328" t="s">
        <v>1557</v>
      </c>
      <c r="B391" s="328">
        <v>6.00523E7</v>
      </c>
      <c r="C391" s="328" t="s">
        <v>1219</v>
      </c>
      <c r="D391" s="328" t="s">
        <v>1558</v>
      </c>
    </row>
    <row r="392" ht="15.0" customHeight="1">
      <c r="A392" s="328" t="s">
        <v>1559</v>
      </c>
      <c r="B392" s="328">
        <v>6.06232E7</v>
      </c>
      <c r="C392" s="328" t="s">
        <v>1219</v>
      </c>
      <c r="D392" s="328" t="s">
        <v>1560</v>
      </c>
    </row>
    <row r="393" ht="15.0" customHeight="1">
      <c r="A393" s="328" t="s">
        <v>1561</v>
      </c>
      <c r="B393" s="328">
        <v>6.08824E7</v>
      </c>
      <c r="C393" s="328" t="s">
        <v>1219</v>
      </c>
      <c r="D393" s="328" t="s">
        <v>1562</v>
      </c>
    </row>
    <row r="394" ht="15.0" customHeight="1">
      <c r="A394" s="328" t="s">
        <v>1563</v>
      </c>
      <c r="B394" s="328">
        <v>6.02886E7</v>
      </c>
      <c r="C394" s="328" t="s">
        <v>1219</v>
      </c>
      <c r="D394" s="328" t="s">
        <v>1564</v>
      </c>
    </row>
    <row r="395" ht="15.0" customHeight="1">
      <c r="A395" s="328" t="s">
        <v>1565</v>
      </c>
      <c r="B395" s="328">
        <v>6.12035E7</v>
      </c>
      <c r="C395" s="328" t="s">
        <v>1219</v>
      </c>
      <c r="D395" s="328" t="s">
        <v>1566</v>
      </c>
    </row>
    <row r="396" ht="15.0" customHeight="1">
      <c r="A396" s="328" t="s">
        <v>1567</v>
      </c>
      <c r="B396" s="328">
        <v>6.02903E7</v>
      </c>
      <c r="C396" s="328" t="s">
        <v>1219</v>
      </c>
      <c r="D396" s="328" t="s">
        <v>1568</v>
      </c>
    </row>
    <row r="397" ht="15.0" customHeight="1">
      <c r="A397" s="328" t="s">
        <v>1569</v>
      </c>
      <c r="B397" s="328">
        <v>6.08886E7</v>
      </c>
      <c r="C397" s="328" t="s">
        <v>1219</v>
      </c>
      <c r="D397" s="328" t="s">
        <v>1570</v>
      </c>
    </row>
    <row r="398" ht="15.0" customHeight="1">
      <c r="A398" s="328" t="s">
        <v>1571</v>
      </c>
      <c r="B398" s="328">
        <v>6.06421E7</v>
      </c>
      <c r="C398" s="328" t="s">
        <v>1219</v>
      </c>
      <c r="D398" s="328" t="s">
        <v>1572</v>
      </c>
    </row>
    <row r="399" ht="15.0" customHeight="1">
      <c r="A399" s="328" t="s">
        <v>1573</v>
      </c>
      <c r="B399" s="328">
        <v>6.02909E7</v>
      </c>
      <c r="C399" s="328" t="s">
        <v>1219</v>
      </c>
      <c r="D399" s="328" t="s">
        <v>1574</v>
      </c>
    </row>
    <row r="400" ht="15.0" customHeight="1">
      <c r="A400" s="328" t="s">
        <v>1575</v>
      </c>
      <c r="B400" s="328">
        <v>6.11356E7</v>
      </c>
      <c r="C400" s="328" t="s">
        <v>1219</v>
      </c>
      <c r="D400" s="328" t="s">
        <v>1576</v>
      </c>
    </row>
    <row r="401" ht="15.0" customHeight="1">
      <c r="A401" s="328" t="s">
        <v>72</v>
      </c>
      <c r="B401" s="328">
        <v>6.08818E7</v>
      </c>
      <c r="C401" s="328" t="s">
        <v>1219</v>
      </c>
      <c r="D401" s="328" t="s">
        <v>1577</v>
      </c>
    </row>
    <row r="402" ht="15.0" customHeight="1">
      <c r="A402" s="328" t="s">
        <v>1578</v>
      </c>
      <c r="B402" s="328">
        <v>6.09226E7</v>
      </c>
      <c r="C402" s="328" t="s">
        <v>1219</v>
      </c>
      <c r="D402" s="328" t="s">
        <v>1579</v>
      </c>
    </row>
    <row r="403" ht="15.0" customHeight="1">
      <c r="A403" s="328" t="s">
        <v>1580</v>
      </c>
      <c r="B403" s="328">
        <v>6.11401E7</v>
      </c>
      <c r="C403" s="328" t="s">
        <v>1219</v>
      </c>
      <c r="D403" s="328" t="s">
        <v>1581</v>
      </c>
    </row>
    <row r="404" ht="15.0" customHeight="1">
      <c r="A404" s="328" t="s">
        <v>1582</v>
      </c>
      <c r="B404" s="328">
        <v>6.08989E7</v>
      </c>
      <c r="C404" s="328" t="s">
        <v>1219</v>
      </c>
      <c r="D404" s="328" t="s">
        <v>1583</v>
      </c>
    </row>
    <row r="405" ht="15.0" customHeight="1">
      <c r="A405" s="328" t="s">
        <v>1584</v>
      </c>
      <c r="B405" s="328">
        <v>6.02878E7</v>
      </c>
      <c r="C405" s="328" t="s">
        <v>1219</v>
      </c>
      <c r="D405" s="328" t="s">
        <v>1585</v>
      </c>
    </row>
    <row r="406" ht="15.0" customHeight="1">
      <c r="A406" s="328" t="s">
        <v>1586</v>
      </c>
      <c r="B406" s="328">
        <v>6.09227E7</v>
      </c>
      <c r="C406" s="328" t="s">
        <v>1219</v>
      </c>
      <c r="D406" s="328" t="s">
        <v>1587</v>
      </c>
    </row>
    <row r="407" ht="15.0" customHeight="1">
      <c r="A407" s="328" t="s">
        <v>1588</v>
      </c>
      <c r="B407" s="328">
        <v>6.09232E7</v>
      </c>
      <c r="C407" s="328" t="s">
        <v>1219</v>
      </c>
      <c r="D407" s="328" t="s">
        <v>1589</v>
      </c>
    </row>
    <row r="408" ht="15.0" customHeight="1">
      <c r="A408" s="328" t="s">
        <v>1590</v>
      </c>
      <c r="B408" s="328">
        <v>6.02852E7</v>
      </c>
      <c r="C408" s="328" t="s">
        <v>1219</v>
      </c>
      <c r="D408" s="328" t="s">
        <v>1591</v>
      </c>
    </row>
    <row r="409" ht="15.0" customHeight="1">
      <c r="A409" s="328" t="s">
        <v>1592</v>
      </c>
      <c r="B409" s="328">
        <v>6.08862E7</v>
      </c>
      <c r="C409" s="328" t="s">
        <v>1219</v>
      </c>
      <c r="D409" s="328" t="s">
        <v>1593</v>
      </c>
    </row>
    <row r="410" ht="15.0" customHeight="1">
      <c r="A410" s="328" t="s">
        <v>1594</v>
      </c>
      <c r="B410" s="328">
        <v>6.02851E7</v>
      </c>
      <c r="C410" s="328" t="s">
        <v>1219</v>
      </c>
      <c r="D410" s="328" t="s">
        <v>1595</v>
      </c>
    </row>
    <row r="411" ht="15.0" customHeight="1">
      <c r="A411" s="328" t="s">
        <v>1596</v>
      </c>
      <c r="B411" s="328">
        <v>6.02853E7</v>
      </c>
      <c r="C411" s="328" t="s">
        <v>1219</v>
      </c>
      <c r="D411" s="328" t="s">
        <v>1597</v>
      </c>
    </row>
    <row r="412" ht="15.0" customHeight="1">
      <c r="A412" s="328" t="s">
        <v>1598</v>
      </c>
      <c r="B412" s="328">
        <v>6.0887E7</v>
      </c>
      <c r="C412" s="328" t="s">
        <v>1219</v>
      </c>
      <c r="D412" s="328" t="s">
        <v>1599</v>
      </c>
    </row>
    <row r="413" ht="15.0" customHeight="1">
      <c r="A413" s="328" t="s">
        <v>1600</v>
      </c>
      <c r="B413" s="328">
        <v>6.0286E7</v>
      </c>
      <c r="C413" s="328" t="s">
        <v>1219</v>
      </c>
      <c r="D413" s="328" t="s">
        <v>1601</v>
      </c>
    </row>
    <row r="414" ht="15.0" customHeight="1">
      <c r="A414" s="328" t="s">
        <v>1602</v>
      </c>
      <c r="B414" s="328">
        <v>6.04166E7</v>
      </c>
      <c r="C414" s="328" t="s">
        <v>1219</v>
      </c>
      <c r="D414" s="328" t="s">
        <v>1603</v>
      </c>
    </row>
    <row r="415" ht="15.0" customHeight="1">
      <c r="A415" s="328" t="s">
        <v>1604</v>
      </c>
      <c r="B415" s="328">
        <v>6.02983E7</v>
      </c>
      <c r="C415" s="328" t="s">
        <v>1219</v>
      </c>
      <c r="D415" s="328" t="s">
        <v>1605</v>
      </c>
    </row>
    <row r="416" ht="15.0" customHeight="1">
      <c r="A416" s="328" t="s">
        <v>1606</v>
      </c>
      <c r="B416" s="328">
        <v>6.08876E7</v>
      </c>
      <c r="C416" s="328" t="s">
        <v>1219</v>
      </c>
      <c r="D416" s="328" t="s">
        <v>1607</v>
      </c>
    </row>
    <row r="417" ht="15.0" customHeight="1">
      <c r="A417" s="328" t="s">
        <v>1608</v>
      </c>
      <c r="B417" s="328">
        <v>6.02982E7</v>
      </c>
      <c r="C417" s="328" t="s">
        <v>1219</v>
      </c>
      <c r="D417" s="328" t="s">
        <v>1609</v>
      </c>
    </row>
    <row r="418" ht="15.0" customHeight="1">
      <c r="A418" s="328" t="s">
        <v>1610</v>
      </c>
      <c r="B418" s="328">
        <v>6.02881E7</v>
      </c>
      <c r="C418" s="328" t="s">
        <v>1219</v>
      </c>
      <c r="D418" s="328" t="s">
        <v>1611</v>
      </c>
    </row>
    <row r="419" ht="15.0" customHeight="1">
      <c r="A419" s="328" t="s">
        <v>1612</v>
      </c>
      <c r="B419" s="328">
        <v>6.09229E7</v>
      </c>
      <c r="C419" s="328" t="s">
        <v>1219</v>
      </c>
      <c r="D419" s="328" t="s">
        <v>1613</v>
      </c>
    </row>
    <row r="420" ht="15.0" customHeight="1">
      <c r="A420" s="328" t="s">
        <v>1614</v>
      </c>
      <c r="B420" s="328">
        <v>6.03044E7</v>
      </c>
      <c r="C420" s="328" t="s">
        <v>1219</v>
      </c>
      <c r="D420" s="328" t="s">
        <v>1615</v>
      </c>
    </row>
    <row r="421" ht="15.0" customHeight="1">
      <c r="A421" s="328" t="s">
        <v>1616</v>
      </c>
      <c r="B421" s="328">
        <v>6.09005E7</v>
      </c>
      <c r="C421" s="328" t="s">
        <v>1219</v>
      </c>
      <c r="D421" s="328" t="s">
        <v>1617</v>
      </c>
    </row>
    <row r="422" ht="15.0" customHeight="1">
      <c r="A422" s="328" t="s">
        <v>1618</v>
      </c>
      <c r="B422" s="328">
        <v>6.03067E7</v>
      </c>
      <c r="C422" s="328" t="s">
        <v>1219</v>
      </c>
      <c r="D422" s="328" t="s">
        <v>1619</v>
      </c>
    </row>
    <row r="423" ht="15.0" customHeight="1">
      <c r="A423" s="328" t="s">
        <v>1620</v>
      </c>
      <c r="B423" s="328">
        <v>6.09234E7</v>
      </c>
      <c r="C423" s="328" t="s">
        <v>1219</v>
      </c>
      <c r="D423" s="328" t="s">
        <v>1621</v>
      </c>
    </row>
    <row r="424" ht="15.0" customHeight="1">
      <c r="A424" s="328" t="s">
        <v>1622</v>
      </c>
      <c r="B424" s="328">
        <v>6.13362E7</v>
      </c>
      <c r="C424" s="328" t="s">
        <v>1219</v>
      </c>
      <c r="D424" s="328" t="s">
        <v>1623</v>
      </c>
    </row>
    <row r="425" ht="15.0" customHeight="1">
      <c r="A425" s="328" t="s">
        <v>1624</v>
      </c>
      <c r="B425" s="328">
        <v>6.02893E7</v>
      </c>
      <c r="C425" s="328" t="s">
        <v>1219</v>
      </c>
      <c r="D425" s="328" t="s">
        <v>1625</v>
      </c>
    </row>
    <row r="426" ht="15.0" customHeight="1">
      <c r="A426" s="328" t="s">
        <v>1626</v>
      </c>
      <c r="B426" s="328">
        <v>6.02864E7</v>
      </c>
      <c r="C426" s="328" t="s">
        <v>1219</v>
      </c>
      <c r="D426" s="328" t="s">
        <v>1627</v>
      </c>
    </row>
    <row r="427" ht="15.0" customHeight="1">
      <c r="A427" s="328" t="s">
        <v>1628</v>
      </c>
      <c r="B427" s="328">
        <v>6.09263E7</v>
      </c>
      <c r="C427" s="328" t="s">
        <v>1219</v>
      </c>
      <c r="D427" s="328" t="s">
        <v>1629</v>
      </c>
    </row>
    <row r="428" ht="15.0" customHeight="1">
      <c r="A428" s="328" t="s">
        <v>1630</v>
      </c>
      <c r="B428" s="328">
        <v>6.09113E7</v>
      </c>
      <c r="C428" s="328" t="s">
        <v>1219</v>
      </c>
      <c r="D428" s="328" t="s">
        <v>1631</v>
      </c>
    </row>
    <row r="429" ht="15.0" customHeight="1">
      <c r="A429" s="328" t="s">
        <v>1632</v>
      </c>
      <c r="B429" s="328">
        <v>6.08887E7</v>
      </c>
      <c r="C429" s="328" t="s">
        <v>1219</v>
      </c>
      <c r="D429" s="328" t="s">
        <v>1633</v>
      </c>
    </row>
    <row r="430" ht="15.0" customHeight="1">
      <c r="A430" s="328" t="s">
        <v>1634</v>
      </c>
      <c r="B430" s="328">
        <v>6.02885E7</v>
      </c>
      <c r="C430" s="328" t="s">
        <v>1219</v>
      </c>
      <c r="D430" s="328" t="s">
        <v>1635</v>
      </c>
    </row>
    <row r="431" ht="15.0" customHeight="1">
      <c r="A431" s="328" t="s">
        <v>1636</v>
      </c>
      <c r="B431" s="328">
        <v>6.09012E7</v>
      </c>
      <c r="C431" s="328" t="s">
        <v>1219</v>
      </c>
      <c r="D431" s="328" t="s">
        <v>1637</v>
      </c>
    </row>
    <row r="432" ht="15.0" customHeight="1">
      <c r="A432" s="328" t="s">
        <v>1638</v>
      </c>
      <c r="B432" s="328">
        <v>6.06416E7</v>
      </c>
      <c r="C432" s="328" t="s">
        <v>1219</v>
      </c>
      <c r="D432" s="328" t="s">
        <v>1639</v>
      </c>
    </row>
    <row r="433" ht="15.0" customHeight="1">
      <c r="A433" s="328" t="s">
        <v>1640</v>
      </c>
      <c r="B433" s="328">
        <v>6.0924E7</v>
      </c>
      <c r="C433" s="328" t="s">
        <v>1219</v>
      </c>
      <c r="D433" s="328" t="s">
        <v>1641</v>
      </c>
    </row>
    <row r="434" ht="15.0" customHeight="1">
      <c r="A434" s="328" t="s">
        <v>1642</v>
      </c>
      <c r="B434" s="328">
        <v>6.08798E7</v>
      </c>
      <c r="C434" s="328" t="s">
        <v>1219</v>
      </c>
      <c r="D434" s="328" t="s">
        <v>1643</v>
      </c>
    </row>
    <row r="435" ht="15.0" customHeight="1">
      <c r="A435" s="328" t="s">
        <v>1644</v>
      </c>
      <c r="B435" s="328">
        <v>6.08863E7</v>
      </c>
      <c r="C435" s="328" t="s">
        <v>1219</v>
      </c>
      <c r="D435" s="328" t="s">
        <v>1645</v>
      </c>
    </row>
    <row r="436" ht="15.0" customHeight="1">
      <c r="A436" s="328" t="s">
        <v>1646</v>
      </c>
      <c r="B436" s="328">
        <v>6.08987E7</v>
      </c>
      <c r="C436" s="328" t="s">
        <v>1219</v>
      </c>
      <c r="D436" s="328" t="s">
        <v>1647</v>
      </c>
    </row>
    <row r="437" ht="15.0" customHeight="1">
      <c r="A437" s="328" t="s">
        <v>1648</v>
      </c>
      <c r="B437" s="328">
        <v>6.03176E7</v>
      </c>
      <c r="C437" s="328" t="s">
        <v>1219</v>
      </c>
      <c r="D437" s="328" t="s">
        <v>1649</v>
      </c>
    </row>
    <row r="438" ht="15.0" customHeight="1">
      <c r="A438" s="328" t="s">
        <v>1650</v>
      </c>
      <c r="B438" s="328">
        <v>6.08904E7</v>
      </c>
      <c r="C438" s="328" t="s">
        <v>1219</v>
      </c>
      <c r="D438" s="328" t="s">
        <v>1651</v>
      </c>
    </row>
    <row r="439" ht="15.0" customHeight="1">
      <c r="A439" s="328" t="s">
        <v>1652</v>
      </c>
      <c r="B439" s="328">
        <v>6.06432E7</v>
      </c>
      <c r="C439" s="328" t="s">
        <v>1219</v>
      </c>
      <c r="D439" s="328" t="s">
        <v>1653</v>
      </c>
    </row>
    <row r="440" ht="15.0" customHeight="1">
      <c r="A440" s="328" t="s">
        <v>1654</v>
      </c>
      <c r="B440" s="328">
        <v>6.04165E7</v>
      </c>
      <c r="C440" s="328" t="s">
        <v>1219</v>
      </c>
      <c r="D440" s="328" t="s">
        <v>1655</v>
      </c>
    </row>
    <row r="441" ht="15.0" customHeight="1">
      <c r="A441" s="328" t="s">
        <v>1656</v>
      </c>
      <c r="B441" s="328">
        <v>6.04164E7</v>
      </c>
      <c r="C441" s="328" t="s">
        <v>1219</v>
      </c>
      <c r="D441" s="328" t="s">
        <v>1657</v>
      </c>
    </row>
    <row r="442" ht="15.0" customHeight="1">
      <c r="A442" s="328" t="s">
        <v>1658</v>
      </c>
      <c r="B442" s="328">
        <v>6.03058E7</v>
      </c>
      <c r="C442" s="328" t="s">
        <v>1219</v>
      </c>
      <c r="D442" s="328" t="s">
        <v>1659</v>
      </c>
    </row>
    <row r="443" ht="15.0" customHeight="1">
      <c r="A443" s="328" t="s">
        <v>1660</v>
      </c>
      <c r="B443" s="328">
        <v>6.09317E7</v>
      </c>
      <c r="C443" s="328" t="s">
        <v>1219</v>
      </c>
      <c r="D443" s="328" t="s">
        <v>1661</v>
      </c>
    </row>
    <row r="444" ht="15.0" customHeight="1">
      <c r="A444" s="328" t="s">
        <v>1662</v>
      </c>
      <c r="B444" s="328">
        <v>6.03152E7</v>
      </c>
      <c r="C444" s="328" t="s">
        <v>1219</v>
      </c>
      <c r="D444" s="328" t="s">
        <v>1663</v>
      </c>
    </row>
    <row r="445" ht="15.0" customHeight="1">
      <c r="A445" s="328" t="s">
        <v>1664</v>
      </c>
      <c r="B445" s="328">
        <v>6.03046E7</v>
      </c>
      <c r="C445" s="328" t="s">
        <v>1219</v>
      </c>
      <c r="D445" s="328" t="s">
        <v>1665</v>
      </c>
    </row>
    <row r="446" ht="15.0" customHeight="1">
      <c r="A446" s="328" t="s">
        <v>1666</v>
      </c>
      <c r="B446" s="328">
        <v>6.09231E7</v>
      </c>
      <c r="C446" s="328" t="s">
        <v>1219</v>
      </c>
      <c r="D446" s="328" t="s">
        <v>1667</v>
      </c>
    </row>
    <row r="447" ht="15.0" customHeight="1">
      <c r="A447" s="328" t="s">
        <v>1668</v>
      </c>
      <c r="B447" s="328">
        <v>6.03222E7</v>
      </c>
      <c r="C447" s="328" t="s">
        <v>1219</v>
      </c>
      <c r="D447" s="328" t="s">
        <v>1669</v>
      </c>
    </row>
    <row r="448" ht="15.0" customHeight="1">
      <c r="A448" s="328" t="s">
        <v>1670</v>
      </c>
      <c r="B448" s="328">
        <v>6.06221E7</v>
      </c>
      <c r="C448" s="328" t="s">
        <v>1219</v>
      </c>
      <c r="D448" s="328" t="s">
        <v>1671</v>
      </c>
    </row>
    <row r="449" ht="15.0" customHeight="1">
      <c r="A449" s="328" t="s">
        <v>1672</v>
      </c>
      <c r="B449" s="328">
        <v>6.02854E7</v>
      </c>
      <c r="C449" s="328" t="s">
        <v>1219</v>
      </c>
      <c r="D449" s="328" t="s">
        <v>1673</v>
      </c>
    </row>
    <row r="450" ht="15.0" customHeight="1">
      <c r="A450" s="328" t="s">
        <v>1674</v>
      </c>
      <c r="B450" s="328">
        <v>6.04898E7</v>
      </c>
      <c r="C450" s="328" t="s">
        <v>1219</v>
      </c>
      <c r="D450" s="328" t="s">
        <v>1675</v>
      </c>
    </row>
    <row r="451" ht="15.0" customHeight="1">
      <c r="A451" s="328" t="s">
        <v>1676</v>
      </c>
      <c r="B451" s="328">
        <v>6.08842E7</v>
      </c>
      <c r="C451" s="328" t="s">
        <v>1219</v>
      </c>
      <c r="D451" s="328" t="s">
        <v>1677</v>
      </c>
    </row>
    <row r="452" ht="15.0" customHeight="1">
      <c r="A452" s="328" t="s">
        <v>1678</v>
      </c>
      <c r="B452" s="328">
        <v>6.08855E7</v>
      </c>
      <c r="C452" s="328" t="s">
        <v>1219</v>
      </c>
      <c r="D452" s="328" t="s">
        <v>1679</v>
      </c>
    </row>
    <row r="453" ht="15.0" customHeight="1">
      <c r="A453" s="328" t="s">
        <v>1680</v>
      </c>
      <c r="B453" s="328">
        <v>6.02964E7</v>
      </c>
      <c r="C453" s="328" t="s">
        <v>1219</v>
      </c>
      <c r="D453" s="328" t="s">
        <v>1681</v>
      </c>
    </row>
    <row r="454" ht="15.0" customHeight="1">
      <c r="A454" s="328" t="s">
        <v>1682</v>
      </c>
      <c r="B454" s="328">
        <v>6.08999E7</v>
      </c>
      <c r="C454" s="328" t="s">
        <v>1219</v>
      </c>
      <c r="D454" s="328" t="s">
        <v>1683</v>
      </c>
    </row>
    <row r="455" ht="15.0" customHeight="1">
      <c r="A455" s="328" t="s">
        <v>1684</v>
      </c>
      <c r="B455" s="328">
        <v>6.02976E7</v>
      </c>
      <c r="C455" s="328" t="s">
        <v>1219</v>
      </c>
      <c r="D455" s="328" t="s">
        <v>1685</v>
      </c>
    </row>
    <row r="456" ht="15.0" customHeight="1">
      <c r="A456" s="328" t="s">
        <v>1686</v>
      </c>
      <c r="B456" s="328">
        <v>6.08901E7</v>
      </c>
      <c r="C456" s="328" t="s">
        <v>1219</v>
      </c>
      <c r="D456" s="328" t="s">
        <v>1687</v>
      </c>
    </row>
    <row r="457" ht="15.0" customHeight="1">
      <c r="A457" s="328" t="s">
        <v>1688</v>
      </c>
      <c r="B457" s="328">
        <v>6.08854E7</v>
      </c>
      <c r="C457" s="328" t="s">
        <v>1219</v>
      </c>
      <c r="D457" s="328" t="s">
        <v>1689</v>
      </c>
    </row>
    <row r="458" ht="15.0" customHeight="1">
      <c r="A458" s="328" t="s">
        <v>1690</v>
      </c>
      <c r="B458" s="328">
        <v>6.03149E7</v>
      </c>
      <c r="C458" s="328" t="s">
        <v>1219</v>
      </c>
      <c r="D458" s="328" t="s">
        <v>1691</v>
      </c>
    </row>
    <row r="459" ht="15.0" customHeight="1">
      <c r="A459" s="328" t="s">
        <v>1692</v>
      </c>
      <c r="B459" s="328">
        <v>6.06227E7</v>
      </c>
      <c r="C459" s="328" t="s">
        <v>1219</v>
      </c>
      <c r="D459" s="328" t="s">
        <v>1693</v>
      </c>
    </row>
    <row r="460" ht="15.0" customHeight="1">
      <c r="A460" s="328" t="s">
        <v>1694</v>
      </c>
      <c r="B460" s="328">
        <v>6.08871E7</v>
      </c>
      <c r="C460" s="328" t="s">
        <v>1219</v>
      </c>
      <c r="D460" s="328" t="s">
        <v>1695</v>
      </c>
    </row>
    <row r="461" ht="15.0" customHeight="1">
      <c r="A461" s="328" t="s">
        <v>1696</v>
      </c>
      <c r="B461" s="328">
        <v>6.09238E7</v>
      </c>
      <c r="C461" s="328" t="s">
        <v>1219</v>
      </c>
      <c r="D461" s="328" t="s">
        <v>1697</v>
      </c>
    </row>
    <row r="462" ht="15.0" customHeight="1">
      <c r="A462" s="328" t="s">
        <v>1698</v>
      </c>
      <c r="B462" s="328">
        <v>6.08785E7</v>
      </c>
      <c r="C462" s="328" t="s">
        <v>1219</v>
      </c>
      <c r="D462" s="328" t="s">
        <v>1699</v>
      </c>
    </row>
    <row r="463" ht="15.0" customHeight="1">
      <c r="A463" s="328" t="s">
        <v>1700</v>
      </c>
      <c r="B463" s="328">
        <v>6.07842E7</v>
      </c>
      <c r="C463" s="328" t="s">
        <v>1219</v>
      </c>
      <c r="D463" s="328" t="s">
        <v>1701</v>
      </c>
    </row>
    <row r="464" ht="15.0" customHeight="1">
      <c r="A464" s="328" t="s">
        <v>1702</v>
      </c>
      <c r="B464" s="328">
        <v>6.11383E7</v>
      </c>
      <c r="C464" s="328" t="s">
        <v>1219</v>
      </c>
      <c r="D464" s="328" t="s">
        <v>1703</v>
      </c>
    </row>
    <row r="465" ht="15.0" customHeight="1">
      <c r="A465" s="328" t="s">
        <v>1704</v>
      </c>
      <c r="B465" s="328">
        <v>6.0889E7</v>
      </c>
      <c r="C465" s="328" t="s">
        <v>1219</v>
      </c>
      <c r="D465" s="328" t="s">
        <v>1705</v>
      </c>
    </row>
    <row r="466" ht="15.0" customHeight="1">
      <c r="A466" s="328" t="s">
        <v>1706</v>
      </c>
      <c r="B466" s="328">
        <v>6.02918E7</v>
      </c>
      <c r="C466" s="328" t="s">
        <v>1219</v>
      </c>
      <c r="D466" s="328" t="s">
        <v>1707</v>
      </c>
    </row>
    <row r="467" ht="15.0" customHeight="1">
      <c r="A467" s="328" t="s">
        <v>1708</v>
      </c>
      <c r="B467" s="328">
        <v>6.11387E7</v>
      </c>
      <c r="C467" s="328" t="s">
        <v>1219</v>
      </c>
      <c r="D467" s="328" t="s">
        <v>1709</v>
      </c>
    </row>
    <row r="468" ht="15.0" customHeight="1">
      <c r="A468" s="328" t="s">
        <v>1710</v>
      </c>
      <c r="B468" s="328">
        <v>6.08541E7</v>
      </c>
      <c r="C468" s="328" t="s">
        <v>1219</v>
      </c>
      <c r="D468" s="328" t="s">
        <v>1711</v>
      </c>
    </row>
    <row r="469" ht="15.0" customHeight="1">
      <c r="A469" s="328" t="s">
        <v>1712</v>
      </c>
      <c r="B469" s="328">
        <v>6.06415E7</v>
      </c>
      <c r="C469" s="328" t="s">
        <v>1219</v>
      </c>
      <c r="D469" s="328" t="s">
        <v>1713</v>
      </c>
    </row>
    <row r="470" ht="15.0" customHeight="1">
      <c r="A470" s="328" t="s">
        <v>1714</v>
      </c>
      <c r="B470" s="328">
        <v>6.08986E7</v>
      </c>
      <c r="C470" s="328" t="s">
        <v>1219</v>
      </c>
      <c r="D470" s="328" t="s">
        <v>1715</v>
      </c>
    </row>
    <row r="471" ht="15.0" customHeight="1">
      <c r="A471" s="328" t="s">
        <v>1716</v>
      </c>
      <c r="B471" s="328">
        <v>6.08846E7</v>
      </c>
      <c r="C471" s="328" t="s">
        <v>1219</v>
      </c>
      <c r="D471" s="328" t="s">
        <v>1717</v>
      </c>
    </row>
    <row r="472" ht="15.0" customHeight="1">
      <c r="A472" s="328" t="s">
        <v>1718</v>
      </c>
      <c r="B472" s="328">
        <v>6.06261E7</v>
      </c>
      <c r="C472" s="328" t="s">
        <v>1219</v>
      </c>
      <c r="D472" s="328" t="s">
        <v>1719</v>
      </c>
    </row>
    <row r="473" ht="15.0" customHeight="1">
      <c r="A473" s="328" t="s">
        <v>1720</v>
      </c>
      <c r="B473" s="328">
        <v>6.17727E7</v>
      </c>
      <c r="C473" s="328" t="s">
        <v>1219</v>
      </c>
      <c r="D473" s="328" t="s">
        <v>1721</v>
      </c>
    </row>
    <row r="474" ht="15.0" customHeight="1">
      <c r="A474" s="328" t="s">
        <v>1722</v>
      </c>
      <c r="B474" s="328">
        <v>6.08907E7</v>
      </c>
      <c r="C474" s="328" t="s">
        <v>1219</v>
      </c>
      <c r="D474" s="328" t="s">
        <v>1723</v>
      </c>
    </row>
    <row r="475" ht="15.0" customHeight="1">
      <c r="A475" s="328" t="s">
        <v>1724</v>
      </c>
      <c r="B475" s="328">
        <v>6.08977E7</v>
      </c>
      <c r="C475" s="328" t="s">
        <v>1219</v>
      </c>
      <c r="D475" s="328" t="s">
        <v>1725</v>
      </c>
    </row>
    <row r="476" ht="15.0" customHeight="1">
      <c r="A476" s="328" t="s">
        <v>1726</v>
      </c>
      <c r="B476" s="328">
        <v>6.06231E7</v>
      </c>
      <c r="C476" s="328" t="s">
        <v>1219</v>
      </c>
      <c r="D476" s="328" t="s">
        <v>1727</v>
      </c>
    </row>
    <row r="477" ht="15.0" customHeight="1">
      <c r="A477" s="328" t="s">
        <v>1728</v>
      </c>
      <c r="B477" s="328">
        <v>6.1618E7</v>
      </c>
      <c r="C477" s="328" t="s">
        <v>1219</v>
      </c>
      <c r="D477" s="328" t="s">
        <v>1729</v>
      </c>
    </row>
    <row r="478" ht="15.0" customHeight="1">
      <c r="A478" s="328" t="s">
        <v>1730</v>
      </c>
      <c r="B478" s="328">
        <v>6.17011E7</v>
      </c>
      <c r="C478" s="328" t="s">
        <v>1219</v>
      </c>
      <c r="D478" s="328" t="s">
        <v>1731</v>
      </c>
    </row>
    <row r="479" ht="15.0" customHeight="1">
      <c r="A479" s="328" t="s">
        <v>1732</v>
      </c>
      <c r="B479" s="328">
        <v>6.0891E7</v>
      </c>
      <c r="C479" s="328" t="s">
        <v>1219</v>
      </c>
      <c r="D479" s="328" t="s">
        <v>1733</v>
      </c>
    </row>
    <row r="480" ht="15.0" customHeight="1">
      <c r="A480" s="328" t="s">
        <v>1734</v>
      </c>
      <c r="B480" s="328">
        <v>6.17692E7</v>
      </c>
      <c r="C480" s="328" t="s">
        <v>1219</v>
      </c>
      <c r="D480" s="328" t="s">
        <v>1735</v>
      </c>
    </row>
    <row r="481" ht="15.0" customHeight="1">
      <c r="A481" s="328" t="s">
        <v>1736</v>
      </c>
      <c r="B481" s="328">
        <v>6.1772E7</v>
      </c>
      <c r="C481" s="328" t="s">
        <v>1219</v>
      </c>
      <c r="D481" s="328" t="s">
        <v>1737</v>
      </c>
    </row>
    <row r="482" ht="15.0" customHeight="1">
      <c r="A482" s="328" t="s">
        <v>1738</v>
      </c>
      <c r="B482" s="328">
        <v>6.17693E7</v>
      </c>
      <c r="C482" s="328" t="s">
        <v>1219</v>
      </c>
      <c r="D482" s="328" t="s">
        <v>1739</v>
      </c>
    </row>
    <row r="483" ht="15.0" customHeight="1">
      <c r="A483" s="328" t="s">
        <v>1740</v>
      </c>
      <c r="B483" s="328">
        <v>6.17713E7</v>
      </c>
      <c r="C483" s="328" t="s">
        <v>1219</v>
      </c>
      <c r="D483" s="328" t="s">
        <v>1741</v>
      </c>
    </row>
    <row r="484" ht="15.0" customHeight="1">
      <c r="A484" s="328" t="s">
        <v>1742</v>
      </c>
      <c r="B484" s="328">
        <v>6.17319E7</v>
      </c>
      <c r="C484" s="328" t="s">
        <v>1219</v>
      </c>
      <c r="D484" s="328" t="s">
        <v>1743</v>
      </c>
    </row>
    <row r="485" ht="15.0" customHeight="1">
      <c r="A485" s="328" t="s">
        <v>1744</v>
      </c>
      <c r="B485" s="328">
        <v>6.17732E7</v>
      </c>
      <c r="C485" s="328" t="s">
        <v>1219</v>
      </c>
      <c r="D485" s="328" t="s">
        <v>1745</v>
      </c>
    </row>
    <row r="486" ht="15.0" customHeight="1">
      <c r="A486" s="328" t="s">
        <v>1746</v>
      </c>
      <c r="B486" s="328">
        <v>6.22341E7</v>
      </c>
      <c r="C486" s="328" t="s">
        <v>1219</v>
      </c>
      <c r="D486" s="328" t="s">
        <v>1747</v>
      </c>
    </row>
    <row r="487" ht="15.0" customHeight="1">
      <c r="A487" s="328" t="s">
        <v>1748</v>
      </c>
      <c r="B487" s="328">
        <v>6.17723E7</v>
      </c>
      <c r="C487" s="328" t="s">
        <v>1219</v>
      </c>
      <c r="D487" s="328" t="s">
        <v>1749</v>
      </c>
    </row>
    <row r="488" ht="15.0" customHeight="1">
      <c r="A488" s="328" t="s">
        <v>1750</v>
      </c>
      <c r="B488" s="328">
        <v>6.08853E7</v>
      </c>
      <c r="C488" s="328" t="s">
        <v>1219</v>
      </c>
      <c r="D488" s="328" t="s">
        <v>1751</v>
      </c>
    </row>
    <row r="489" ht="15.0" customHeight="1">
      <c r="A489" s="328" t="s">
        <v>1752</v>
      </c>
      <c r="B489" s="328">
        <v>6.17735E7</v>
      </c>
      <c r="C489" s="328" t="s">
        <v>1219</v>
      </c>
      <c r="D489" s="328" t="s">
        <v>1753</v>
      </c>
    </row>
    <row r="490" ht="15.0" customHeight="1">
      <c r="A490" s="328" t="s">
        <v>1754</v>
      </c>
      <c r="B490" s="328">
        <v>6.17706E7</v>
      </c>
      <c r="C490" s="328" t="s">
        <v>1219</v>
      </c>
      <c r="D490" s="328" t="s">
        <v>1755</v>
      </c>
    </row>
    <row r="491" ht="15.0" customHeight="1">
      <c r="A491" s="328" t="s">
        <v>1756</v>
      </c>
      <c r="B491" s="328">
        <v>6.17321E7</v>
      </c>
      <c r="C491" s="328" t="s">
        <v>1219</v>
      </c>
      <c r="D491" s="328" t="s">
        <v>1757</v>
      </c>
    </row>
    <row r="492" ht="15.0" customHeight="1">
      <c r="A492" s="328" t="s">
        <v>1758</v>
      </c>
      <c r="B492" s="328">
        <v>6.17701E7</v>
      </c>
      <c r="C492" s="328" t="s">
        <v>1219</v>
      </c>
      <c r="D492" s="328" t="s">
        <v>1759</v>
      </c>
    </row>
    <row r="493" ht="15.0" customHeight="1">
      <c r="A493" s="328" t="s">
        <v>1760</v>
      </c>
      <c r="B493" s="328">
        <v>6.17714E7</v>
      </c>
      <c r="C493" s="328" t="s">
        <v>1219</v>
      </c>
      <c r="D493" s="328" t="s">
        <v>1761</v>
      </c>
    </row>
    <row r="494" ht="15.0" customHeight="1">
      <c r="A494" s="328" t="s">
        <v>1762</v>
      </c>
      <c r="B494" s="328">
        <v>6.17733E7</v>
      </c>
      <c r="C494" s="328" t="s">
        <v>1219</v>
      </c>
      <c r="D494" s="328" t="s">
        <v>1763</v>
      </c>
    </row>
    <row r="495" ht="15.0" customHeight="1">
      <c r="A495" s="328" t="s">
        <v>1764</v>
      </c>
      <c r="B495" s="328">
        <v>6.1898E7</v>
      </c>
      <c r="C495" s="328" t="s">
        <v>1219</v>
      </c>
      <c r="D495" s="328" t="s">
        <v>1765</v>
      </c>
    </row>
    <row r="496" ht="15.0" customHeight="1">
      <c r="A496" s="328" t="s">
        <v>1766</v>
      </c>
      <c r="B496" s="328">
        <v>6.22728E7</v>
      </c>
      <c r="C496" s="328" t="s">
        <v>1219</v>
      </c>
      <c r="D496" s="328" t="s">
        <v>1767</v>
      </c>
    </row>
    <row r="497" ht="15.0" customHeight="1">
      <c r="A497" s="328" t="s">
        <v>1768</v>
      </c>
      <c r="B497" s="328">
        <v>6.22492E7</v>
      </c>
      <c r="C497" s="328" t="s">
        <v>1219</v>
      </c>
      <c r="D497" s="328" t="s">
        <v>1769</v>
      </c>
    </row>
    <row r="498" ht="15.0" customHeight="1">
      <c r="A498" s="328" t="s">
        <v>1770</v>
      </c>
      <c r="B498" s="328">
        <v>6.22729E7</v>
      </c>
      <c r="C498" s="328" t="s">
        <v>1219</v>
      </c>
      <c r="D498" s="328" t="s">
        <v>1771</v>
      </c>
    </row>
    <row r="499" ht="15.0" customHeight="1">
      <c r="A499" s="328" t="s">
        <v>1772</v>
      </c>
      <c r="B499" s="328">
        <v>6.17716E7</v>
      </c>
      <c r="C499" s="328" t="s">
        <v>1219</v>
      </c>
      <c r="D499" s="328" t="s">
        <v>1773</v>
      </c>
    </row>
    <row r="500" ht="15.0" customHeight="1">
      <c r="A500" s="328" t="s">
        <v>1774</v>
      </c>
      <c r="B500" s="328">
        <v>6.18589E7</v>
      </c>
      <c r="C500" s="328" t="s">
        <v>1219</v>
      </c>
      <c r="D500" s="328" t="s">
        <v>1775</v>
      </c>
    </row>
    <row r="501" ht="15.0" customHeight="1">
      <c r="A501" s="328" t="s">
        <v>1776</v>
      </c>
      <c r="B501" s="328">
        <v>6.17705E7</v>
      </c>
      <c r="C501" s="328" t="s">
        <v>1219</v>
      </c>
      <c r="D501" s="328" t="s">
        <v>1777</v>
      </c>
    </row>
    <row r="502" ht="15.0" customHeight="1">
      <c r="A502" s="328" t="s">
        <v>1778</v>
      </c>
      <c r="B502" s="328">
        <v>6.1732E7</v>
      </c>
      <c r="C502" s="328" t="s">
        <v>1219</v>
      </c>
      <c r="D502" s="328" t="s">
        <v>1779</v>
      </c>
    </row>
    <row r="503" ht="15.0" customHeight="1">
      <c r="A503" s="328" t="s">
        <v>1780</v>
      </c>
      <c r="B503" s="328">
        <v>6.17289E7</v>
      </c>
      <c r="C503" s="328" t="s">
        <v>1219</v>
      </c>
      <c r="D503" s="328" t="s">
        <v>1781</v>
      </c>
    </row>
    <row r="504" ht="15.0" customHeight="1">
      <c r="A504" s="328" t="s">
        <v>1782</v>
      </c>
      <c r="B504" s="328">
        <v>6.17295E7</v>
      </c>
      <c r="C504" s="328" t="s">
        <v>1219</v>
      </c>
      <c r="D504" s="328" t="s">
        <v>1783</v>
      </c>
    </row>
    <row r="505" ht="15.0" customHeight="1">
      <c r="A505" s="328" t="s">
        <v>1784</v>
      </c>
      <c r="B505" s="328">
        <v>6.17729E7</v>
      </c>
      <c r="C505" s="328" t="s">
        <v>1219</v>
      </c>
      <c r="D505" s="328" t="s">
        <v>1785</v>
      </c>
    </row>
    <row r="506" ht="15.0" customHeight="1">
      <c r="A506" s="328" t="s">
        <v>1786</v>
      </c>
      <c r="B506" s="328">
        <v>6.17711E7</v>
      </c>
      <c r="C506" s="328" t="s">
        <v>1219</v>
      </c>
      <c r="D506" s="328" t="s">
        <v>1787</v>
      </c>
    </row>
    <row r="507" ht="15.0" customHeight="1">
      <c r="A507" s="328" t="s">
        <v>1788</v>
      </c>
      <c r="B507" s="328">
        <v>6.17698E7</v>
      </c>
      <c r="C507" s="328" t="s">
        <v>1219</v>
      </c>
      <c r="D507" s="328" t="s">
        <v>1789</v>
      </c>
    </row>
    <row r="508" ht="15.0" customHeight="1">
      <c r="A508" s="328" t="s">
        <v>1790</v>
      </c>
      <c r="B508" s="328">
        <v>6.1845E7</v>
      </c>
      <c r="C508" s="328" t="s">
        <v>1219</v>
      </c>
      <c r="D508" s="328" t="s">
        <v>1791</v>
      </c>
    </row>
    <row r="509" ht="15.0" customHeight="1">
      <c r="A509" s="328" t="s">
        <v>1792</v>
      </c>
      <c r="B509" s="328">
        <v>6.17734E7</v>
      </c>
      <c r="C509" s="328" t="s">
        <v>1219</v>
      </c>
      <c r="D509" s="328" t="s">
        <v>1793</v>
      </c>
    </row>
    <row r="510" ht="15.0" customHeight="1">
      <c r="A510" s="328" t="s">
        <v>1794</v>
      </c>
      <c r="B510" s="328">
        <v>6.17699E7</v>
      </c>
      <c r="C510" s="328" t="s">
        <v>1219</v>
      </c>
      <c r="D510" s="328" t="s">
        <v>1795</v>
      </c>
    </row>
    <row r="511" ht="15.0" customHeight="1">
      <c r="A511" s="328" t="s">
        <v>1796</v>
      </c>
      <c r="B511" s="328">
        <v>6.17708E7</v>
      </c>
      <c r="C511" s="328" t="s">
        <v>1219</v>
      </c>
      <c r="D511" s="328" t="s">
        <v>1797</v>
      </c>
    </row>
    <row r="512" ht="15.0" customHeight="1">
      <c r="A512" s="328" t="s">
        <v>1798</v>
      </c>
      <c r="B512" s="328">
        <v>6.17721E7</v>
      </c>
      <c r="C512" s="328" t="s">
        <v>1219</v>
      </c>
      <c r="D512" s="328" t="s">
        <v>1799</v>
      </c>
    </row>
    <row r="513" ht="15.0" customHeight="1">
      <c r="A513" s="328" t="s">
        <v>1800</v>
      </c>
      <c r="B513" s="328">
        <v>6.20436E7</v>
      </c>
      <c r="C513" s="328" t="s">
        <v>1219</v>
      </c>
      <c r="D513" s="328" t="s">
        <v>1801</v>
      </c>
    </row>
    <row r="514" ht="15.0" customHeight="1">
      <c r="A514" s="328" t="s">
        <v>1802</v>
      </c>
      <c r="B514" s="328">
        <v>6.17726E7</v>
      </c>
      <c r="C514" s="328" t="s">
        <v>1219</v>
      </c>
      <c r="D514" s="328" t="s">
        <v>1803</v>
      </c>
    </row>
    <row r="515" ht="15.0" customHeight="1">
      <c r="A515" s="328" t="s">
        <v>1804</v>
      </c>
      <c r="B515" s="328">
        <v>6.08884E7</v>
      </c>
      <c r="C515" s="328" t="s">
        <v>1219</v>
      </c>
      <c r="D515" s="328" t="s">
        <v>1805</v>
      </c>
    </row>
    <row r="516" ht="15.0" customHeight="1">
      <c r="A516" s="328" t="s">
        <v>1806</v>
      </c>
      <c r="B516" s="328">
        <v>6.20404E7</v>
      </c>
      <c r="C516" s="328" t="s">
        <v>1219</v>
      </c>
      <c r="D516" s="328" t="s">
        <v>1807</v>
      </c>
    </row>
    <row r="517" ht="15.0" customHeight="1">
      <c r="A517" s="328" t="s">
        <v>1808</v>
      </c>
      <c r="B517" s="328">
        <v>6.177E7</v>
      </c>
      <c r="C517" s="328" t="s">
        <v>1219</v>
      </c>
      <c r="D517" s="328" t="s">
        <v>1809</v>
      </c>
    </row>
    <row r="518" ht="15.0" customHeight="1">
      <c r="A518" s="328" t="s">
        <v>1810</v>
      </c>
      <c r="B518" s="328">
        <v>6.17707E7</v>
      </c>
      <c r="C518" s="328" t="s">
        <v>1219</v>
      </c>
      <c r="D518" s="328" t="s">
        <v>1811</v>
      </c>
    </row>
    <row r="519" ht="15.0" customHeight="1">
      <c r="A519" s="328" t="s">
        <v>1812</v>
      </c>
      <c r="B519" s="328">
        <v>6.17725E7</v>
      </c>
      <c r="C519" s="328" t="s">
        <v>1219</v>
      </c>
      <c r="D519" s="328" t="s">
        <v>1813</v>
      </c>
    </row>
    <row r="520" ht="15.0" customHeight="1">
      <c r="A520" s="328" t="s">
        <v>1814</v>
      </c>
      <c r="B520" s="328">
        <v>6.17715E7</v>
      </c>
      <c r="C520" s="328" t="s">
        <v>1219</v>
      </c>
      <c r="D520" s="328" t="s">
        <v>1815</v>
      </c>
    </row>
    <row r="521" ht="15.0" customHeight="1">
      <c r="A521" s="328" t="s">
        <v>1816</v>
      </c>
      <c r="B521" s="328">
        <v>6.17712E7</v>
      </c>
      <c r="C521" s="328" t="s">
        <v>1219</v>
      </c>
      <c r="D521" s="328" t="s">
        <v>1817</v>
      </c>
    </row>
    <row r="522" ht="15.0" customHeight="1">
      <c r="A522" s="328" t="s">
        <v>1818</v>
      </c>
      <c r="B522" s="328">
        <v>6.17697E7</v>
      </c>
      <c r="C522" s="328" t="s">
        <v>1219</v>
      </c>
      <c r="D522" s="328" t="s">
        <v>1819</v>
      </c>
    </row>
    <row r="523" ht="15.0" customHeight="1">
      <c r="A523" s="328" t="s">
        <v>1820</v>
      </c>
      <c r="B523" s="328">
        <v>6.17724E7</v>
      </c>
      <c r="C523" s="328" t="s">
        <v>1219</v>
      </c>
      <c r="D523" s="328" t="s">
        <v>1821</v>
      </c>
    </row>
    <row r="524" ht="15.0" customHeight="1">
      <c r="A524" s="328" t="s">
        <v>1822</v>
      </c>
      <c r="B524" s="328">
        <v>6.06222E7</v>
      </c>
      <c r="C524" s="328" t="s">
        <v>1219</v>
      </c>
      <c r="D524" s="328" t="s">
        <v>938</v>
      </c>
    </row>
    <row r="525" ht="15.0" customHeight="1">
      <c r="A525" s="328" t="s">
        <v>1823</v>
      </c>
      <c r="B525" s="328">
        <v>6.17731E7</v>
      </c>
      <c r="C525" s="328" t="s">
        <v>1219</v>
      </c>
      <c r="D525" s="328" t="s">
        <v>1824</v>
      </c>
    </row>
    <row r="526" ht="15.0" customHeight="1">
      <c r="A526" s="328" t="s">
        <v>1825</v>
      </c>
      <c r="B526" s="328">
        <v>6.17691E7</v>
      </c>
      <c r="C526" s="328" t="s">
        <v>1219</v>
      </c>
      <c r="D526" s="328" t="s">
        <v>1826</v>
      </c>
    </row>
    <row r="527" ht="15.0" customHeight="1">
      <c r="A527" s="328" t="s">
        <v>1827</v>
      </c>
      <c r="B527" s="328">
        <v>6.20459E7</v>
      </c>
      <c r="C527" s="328" t="s">
        <v>1219</v>
      </c>
      <c r="D527" s="328" t="s">
        <v>1828</v>
      </c>
    </row>
    <row r="528" ht="15.0" customHeight="1">
      <c r="A528" s="328" t="s">
        <v>1829</v>
      </c>
      <c r="B528" s="328">
        <v>6.1773E7</v>
      </c>
      <c r="C528" s="328" t="s">
        <v>1219</v>
      </c>
      <c r="D528" s="328" t="s">
        <v>1830</v>
      </c>
    </row>
    <row r="529" ht="15.0" customHeight="1">
      <c r="A529" s="328" t="s">
        <v>1831</v>
      </c>
      <c r="B529" s="328">
        <v>6.1770901E7</v>
      </c>
      <c r="C529" s="328" t="s">
        <v>1219</v>
      </c>
      <c r="D529" s="328" t="s">
        <v>1832</v>
      </c>
    </row>
    <row r="530" ht="15.0" customHeight="1">
      <c r="A530" s="328" t="s">
        <v>1833</v>
      </c>
      <c r="B530" s="328">
        <v>6.17709E7</v>
      </c>
      <c r="C530" s="328" t="s">
        <v>1219</v>
      </c>
      <c r="D530" s="328" t="s">
        <v>1834</v>
      </c>
    </row>
    <row r="531" ht="15.0" customHeight="1">
      <c r="A531" s="328" t="s">
        <v>1835</v>
      </c>
      <c r="B531" s="328">
        <v>6.1859E7</v>
      </c>
      <c r="C531" s="328" t="s">
        <v>1219</v>
      </c>
      <c r="D531" s="328" t="s">
        <v>1836</v>
      </c>
    </row>
    <row r="532" ht="15.0" customHeight="1">
      <c r="A532" s="328" t="s">
        <v>1837</v>
      </c>
      <c r="B532" s="328">
        <v>6.24451E7</v>
      </c>
      <c r="C532" s="328" t="s">
        <v>1219</v>
      </c>
      <c r="D532" s="328" t="s">
        <v>1838</v>
      </c>
    </row>
    <row r="533" ht="15.0" customHeight="1">
      <c r="A533" s="328" t="s">
        <v>1839</v>
      </c>
      <c r="B533" s="328">
        <v>6.11382E7</v>
      </c>
      <c r="C533" s="328" t="s">
        <v>1219</v>
      </c>
      <c r="D533" s="328" t="s">
        <v>1840</v>
      </c>
    </row>
    <row r="534" ht="15.0" customHeight="1">
      <c r="A534" s="328" t="s">
        <v>1841</v>
      </c>
      <c r="B534" s="328">
        <v>6.06242E7</v>
      </c>
      <c r="C534" s="328" t="s">
        <v>1219</v>
      </c>
      <c r="D534" s="328" t="s">
        <v>1842</v>
      </c>
    </row>
    <row r="535" ht="15.0" customHeight="1">
      <c r="A535" s="328" t="s">
        <v>1843</v>
      </c>
      <c r="B535" s="328">
        <v>6.08908E7</v>
      </c>
      <c r="C535" s="328" t="s">
        <v>1219</v>
      </c>
      <c r="D535" s="328" t="s">
        <v>1844</v>
      </c>
    </row>
    <row r="536" ht="15.0" customHeight="1">
      <c r="A536" s="328" t="s">
        <v>1845</v>
      </c>
      <c r="B536" s="328">
        <v>6.09236E7</v>
      </c>
      <c r="C536" s="328" t="s">
        <v>1219</v>
      </c>
      <c r="D536" s="328" t="s">
        <v>1846</v>
      </c>
    </row>
    <row r="537" ht="15.0" customHeight="1">
      <c r="A537" s="328" t="s">
        <v>1847</v>
      </c>
      <c r="B537" s="328">
        <v>6.08889E7</v>
      </c>
      <c r="C537" s="328" t="s">
        <v>1219</v>
      </c>
      <c r="D537" s="328" t="s">
        <v>1848</v>
      </c>
    </row>
    <row r="538" ht="15.0" customHeight="1">
      <c r="A538" s="328" t="s">
        <v>1849</v>
      </c>
      <c r="B538" s="328">
        <v>6.0855E7</v>
      </c>
      <c r="C538" s="328" t="s">
        <v>1219</v>
      </c>
      <c r="D538" s="328" t="s">
        <v>1850</v>
      </c>
    </row>
    <row r="539" ht="15.0" customHeight="1">
      <c r="A539" s="328" t="s">
        <v>1851</v>
      </c>
      <c r="B539" s="328">
        <v>6.08882E7</v>
      </c>
      <c r="C539" s="328" t="s">
        <v>1219</v>
      </c>
      <c r="D539" s="328" t="s">
        <v>1852</v>
      </c>
    </row>
    <row r="540" ht="15.0" customHeight="1">
      <c r="A540" s="328" t="s">
        <v>1853</v>
      </c>
      <c r="B540" s="328">
        <v>6.08794E7</v>
      </c>
      <c r="C540" s="328" t="s">
        <v>1219</v>
      </c>
      <c r="D540" s="328" t="s">
        <v>1854</v>
      </c>
    </row>
    <row r="541" ht="15.0" customHeight="1">
      <c r="A541" s="328" t="s">
        <v>1855</v>
      </c>
      <c r="B541" s="328">
        <v>6.08975E7</v>
      </c>
      <c r="C541" s="328" t="s">
        <v>1219</v>
      </c>
      <c r="D541" s="328" t="s">
        <v>1856</v>
      </c>
    </row>
    <row r="542" ht="15.0" customHeight="1">
      <c r="A542" s="328" t="s">
        <v>1857</v>
      </c>
      <c r="B542" s="328">
        <v>6.12884E7</v>
      </c>
      <c r="C542" s="328" t="s">
        <v>1219</v>
      </c>
      <c r="D542" s="328" t="s">
        <v>1858</v>
      </c>
    </row>
    <row r="543" ht="15.0" customHeight="1">
      <c r="A543" s="328" t="s">
        <v>1859</v>
      </c>
      <c r="B543" s="328">
        <v>6.12548E7</v>
      </c>
      <c r="C543" s="328" t="s">
        <v>1219</v>
      </c>
      <c r="D543" s="328" t="s">
        <v>1860</v>
      </c>
    </row>
    <row r="544" ht="15.0" customHeight="1">
      <c r="A544" s="328" t="s">
        <v>1861</v>
      </c>
      <c r="B544" s="328">
        <v>6.09009E7</v>
      </c>
      <c r="C544" s="328" t="s">
        <v>1219</v>
      </c>
      <c r="D544" s="328" t="s">
        <v>1862</v>
      </c>
    </row>
    <row r="545" ht="15.0" customHeight="1">
      <c r="A545" s="328" t="s">
        <v>1863</v>
      </c>
      <c r="B545" s="328">
        <v>6.08982E7</v>
      </c>
      <c r="C545" s="328" t="s">
        <v>1219</v>
      </c>
      <c r="D545" s="328" t="s">
        <v>1864</v>
      </c>
    </row>
    <row r="546" ht="15.0" customHeight="1">
      <c r="A546" s="328" t="s">
        <v>1865</v>
      </c>
      <c r="B546" s="328">
        <v>6.02907E7</v>
      </c>
      <c r="C546" s="328" t="s">
        <v>1219</v>
      </c>
      <c r="D546" s="328" t="s">
        <v>1866</v>
      </c>
    </row>
    <row r="547" ht="15.0" customHeight="1">
      <c r="A547" s="328" t="s">
        <v>1867</v>
      </c>
      <c r="B547" s="328">
        <v>6.12552E7</v>
      </c>
      <c r="C547" s="328" t="s">
        <v>1219</v>
      </c>
      <c r="D547" s="328" t="s">
        <v>1868</v>
      </c>
    </row>
    <row r="548" ht="15.0" customHeight="1">
      <c r="A548" s="328" t="s">
        <v>1869</v>
      </c>
      <c r="B548" s="328">
        <v>6.12537E7</v>
      </c>
      <c r="C548" s="328" t="s">
        <v>1219</v>
      </c>
      <c r="D548" s="328" t="s">
        <v>1870</v>
      </c>
    </row>
    <row r="549" ht="15.0" customHeight="1">
      <c r="A549" s="328" t="s">
        <v>1871</v>
      </c>
      <c r="B549" s="328">
        <v>6.0884E7</v>
      </c>
      <c r="C549" s="328" t="s">
        <v>1219</v>
      </c>
      <c r="D549" s="328" t="s">
        <v>1872</v>
      </c>
    </row>
    <row r="550" ht="15.0" customHeight="1">
      <c r="A550" s="328" t="s">
        <v>1873</v>
      </c>
      <c r="B550" s="328">
        <v>6.03045E7</v>
      </c>
      <c r="C550" s="328" t="s">
        <v>1219</v>
      </c>
      <c r="D550" s="328" t="s">
        <v>1874</v>
      </c>
    </row>
    <row r="551" ht="15.0" customHeight="1">
      <c r="A551" s="328" t="s">
        <v>1875</v>
      </c>
      <c r="B551" s="328">
        <v>6.14474E7</v>
      </c>
      <c r="C551" s="328" t="s">
        <v>1219</v>
      </c>
      <c r="D551" s="328" t="s">
        <v>1876</v>
      </c>
    </row>
    <row r="552" ht="15.0" customHeight="1">
      <c r="A552" s="328" t="s">
        <v>1877</v>
      </c>
      <c r="B552" s="328">
        <v>6.08837E7</v>
      </c>
      <c r="C552" s="328" t="s">
        <v>1219</v>
      </c>
      <c r="D552" s="328" t="s">
        <v>1878</v>
      </c>
    </row>
    <row r="553" ht="15.0" customHeight="1">
      <c r="A553" s="328" t="s">
        <v>1879</v>
      </c>
      <c r="B553" s="328">
        <v>6.08903E7</v>
      </c>
      <c r="C553" s="328" t="s">
        <v>1219</v>
      </c>
      <c r="D553" s="328" t="s">
        <v>1880</v>
      </c>
    </row>
    <row r="554" ht="15.0" customHeight="1">
      <c r="A554" s="328" t="s">
        <v>1881</v>
      </c>
      <c r="B554" s="328">
        <v>6.02883E7</v>
      </c>
      <c r="C554" s="328" t="s">
        <v>1219</v>
      </c>
      <c r="D554" s="328" t="s">
        <v>1882</v>
      </c>
    </row>
    <row r="555" ht="15.0" customHeight="1">
      <c r="A555" s="328" t="s">
        <v>1883</v>
      </c>
      <c r="B555" s="328">
        <v>6.14475E7</v>
      </c>
      <c r="C555" s="328" t="s">
        <v>1219</v>
      </c>
      <c r="D555" s="328" t="s">
        <v>1884</v>
      </c>
    </row>
    <row r="556" ht="15.0" customHeight="1">
      <c r="A556" s="328" t="s">
        <v>1885</v>
      </c>
      <c r="B556" s="328">
        <v>6.03052E7</v>
      </c>
      <c r="C556" s="328" t="s">
        <v>1219</v>
      </c>
      <c r="D556" s="328" t="s">
        <v>1886</v>
      </c>
    </row>
    <row r="557" ht="15.0" customHeight="1">
      <c r="A557" s="328" t="s">
        <v>1887</v>
      </c>
      <c r="B557" s="328">
        <v>6.03177E7</v>
      </c>
      <c r="C557" s="328" t="s">
        <v>1219</v>
      </c>
      <c r="D557" s="328" t="s">
        <v>1888</v>
      </c>
    </row>
    <row r="558" ht="15.0" customHeight="1">
      <c r="A558" s="328" t="s">
        <v>1889</v>
      </c>
      <c r="B558" s="328">
        <v>6.09071E7</v>
      </c>
      <c r="C558" s="328" t="s">
        <v>1219</v>
      </c>
      <c r="D558" s="328" t="s">
        <v>1890</v>
      </c>
    </row>
    <row r="559" ht="15.0" customHeight="1">
      <c r="A559" s="328" t="s">
        <v>1891</v>
      </c>
      <c r="B559" s="328">
        <v>6.11388E7</v>
      </c>
      <c r="C559" s="328" t="s">
        <v>1219</v>
      </c>
      <c r="D559" s="328" t="s">
        <v>1892</v>
      </c>
    </row>
    <row r="560" ht="15.0" customHeight="1">
      <c r="A560" s="328" t="s">
        <v>1893</v>
      </c>
      <c r="B560" s="328">
        <v>6.00745E7</v>
      </c>
      <c r="C560" s="328" t="s">
        <v>1219</v>
      </c>
      <c r="D560" s="328" t="s">
        <v>1894</v>
      </c>
    </row>
    <row r="561" ht="15.0" customHeight="1">
      <c r="A561" s="328" t="s">
        <v>1895</v>
      </c>
      <c r="B561" s="328">
        <v>6.12536E7</v>
      </c>
      <c r="C561" s="328" t="s">
        <v>1219</v>
      </c>
      <c r="D561" s="328" t="s">
        <v>1896</v>
      </c>
    </row>
    <row r="562" ht="15.0" customHeight="1">
      <c r="A562" s="328" t="s">
        <v>1897</v>
      </c>
      <c r="B562" s="328">
        <v>6.90018E7</v>
      </c>
      <c r="C562" s="328" t="s">
        <v>1219</v>
      </c>
      <c r="D562" s="328" t="s">
        <v>1898</v>
      </c>
    </row>
    <row r="563" ht="15.0" customHeight="1">
      <c r="A563" s="328" t="s">
        <v>1899</v>
      </c>
      <c r="B563" s="328">
        <v>6.9001801E7</v>
      </c>
      <c r="C563" s="328" t="s">
        <v>1219</v>
      </c>
      <c r="D563" s="328" t="s">
        <v>1898</v>
      </c>
    </row>
    <row r="564" ht="15.0" customHeight="1">
      <c r="A564" s="328" t="s">
        <v>1900</v>
      </c>
      <c r="B564" s="328">
        <v>6.2438E7</v>
      </c>
      <c r="C564" s="328" t="s">
        <v>1219</v>
      </c>
      <c r="D564" s="328" t="s">
        <v>1901</v>
      </c>
    </row>
    <row r="565" ht="15.0" customHeight="1">
      <c r="A565" s="328" t="s">
        <v>1902</v>
      </c>
      <c r="B565" s="328">
        <v>6.24381E7</v>
      </c>
      <c r="C565" s="328" t="s">
        <v>1219</v>
      </c>
      <c r="D565" s="328" t="s">
        <v>1903</v>
      </c>
    </row>
    <row r="566" ht="15.0" customHeight="1">
      <c r="A566" s="328" t="s">
        <v>1904</v>
      </c>
      <c r="B566" s="328">
        <v>6.24346E7</v>
      </c>
      <c r="C566" s="328" t="s">
        <v>1219</v>
      </c>
      <c r="D566" s="328" t="s">
        <v>1905</v>
      </c>
    </row>
    <row r="567" ht="15.0" customHeight="1">
      <c r="A567" s="328" t="s">
        <v>1906</v>
      </c>
      <c r="B567" s="328">
        <v>6.23557E7</v>
      </c>
      <c r="C567" s="328" t="s">
        <v>1219</v>
      </c>
      <c r="D567" s="328" t="s">
        <v>1907</v>
      </c>
    </row>
    <row r="568" ht="15.0" customHeight="1">
      <c r="A568" s="328" t="s">
        <v>1908</v>
      </c>
      <c r="B568" s="328">
        <v>6.23558E7</v>
      </c>
      <c r="C568" s="328" t="s">
        <v>1219</v>
      </c>
      <c r="D568" s="328" t="s">
        <v>1909</v>
      </c>
    </row>
    <row r="569" ht="15.0" customHeight="1">
      <c r="A569" s="328" t="s">
        <v>1910</v>
      </c>
      <c r="B569" s="328">
        <v>6.09078E7</v>
      </c>
      <c r="C569" s="328" t="s">
        <v>1219</v>
      </c>
      <c r="D569" s="328" t="s">
        <v>1911</v>
      </c>
    </row>
    <row r="570" ht="15.0" customHeight="1">
      <c r="A570" s="328" t="s">
        <v>1912</v>
      </c>
      <c r="B570" s="328">
        <v>6.12033E7</v>
      </c>
      <c r="C570" s="328" t="s">
        <v>1219</v>
      </c>
      <c r="D570" s="328" t="s">
        <v>1913</v>
      </c>
    </row>
    <row r="571" ht="15.0" customHeight="1">
      <c r="A571" s="328" t="s">
        <v>1914</v>
      </c>
      <c r="B571" s="328">
        <v>6.11384E7</v>
      </c>
      <c r="C571" s="328" t="s">
        <v>1219</v>
      </c>
      <c r="D571" s="328" t="s">
        <v>1915</v>
      </c>
    </row>
    <row r="572" ht="15.0" customHeight="1">
      <c r="A572" s="328" t="s">
        <v>1916</v>
      </c>
      <c r="B572" s="328">
        <v>6.00731E7</v>
      </c>
      <c r="C572" s="328" t="s">
        <v>1219</v>
      </c>
      <c r="D572" s="328" t="s">
        <v>1917</v>
      </c>
    </row>
    <row r="573" ht="15.0" customHeight="1">
      <c r="A573" s="328" t="s">
        <v>1918</v>
      </c>
      <c r="B573" s="328">
        <v>6.08542E7</v>
      </c>
      <c r="C573" s="328" t="s">
        <v>1219</v>
      </c>
      <c r="D573" s="328" t="s">
        <v>1919</v>
      </c>
    </row>
    <row r="574" ht="15.0" customHeight="1">
      <c r="A574" s="328" t="s">
        <v>1920</v>
      </c>
      <c r="B574" s="328">
        <v>6.00715E7</v>
      </c>
      <c r="C574" s="328" t="s">
        <v>1219</v>
      </c>
      <c r="D574" s="328" t="s">
        <v>1921</v>
      </c>
    </row>
    <row r="575" ht="15.0" customHeight="1">
      <c r="A575" s="328" t="s">
        <v>1922</v>
      </c>
      <c r="B575" s="328">
        <v>6.11386E7</v>
      </c>
      <c r="C575" s="328" t="s">
        <v>1219</v>
      </c>
      <c r="D575" s="328" t="s">
        <v>1923</v>
      </c>
    </row>
    <row r="576" ht="15.0" customHeight="1">
      <c r="A576" s="328" t="s">
        <v>1924</v>
      </c>
      <c r="B576" s="328">
        <v>6.00728E7</v>
      </c>
      <c r="C576" s="328" t="s">
        <v>1219</v>
      </c>
      <c r="D576" s="328" t="s">
        <v>1925</v>
      </c>
    </row>
    <row r="577" ht="15.0" customHeight="1">
      <c r="A577" s="328" t="s">
        <v>1926</v>
      </c>
      <c r="B577" s="328">
        <v>6.00714E7</v>
      </c>
      <c r="C577" s="328" t="s">
        <v>1219</v>
      </c>
      <c r="D577" s="328" t="s">
        <v>1927</v>
      </c>
    </row>
    <row r="578" ht="15.0" customHeight="1">
      <c r="A578" s="328" t="s">
        <v>1928</v>
      </c>
      <c r="B578" s="328">
        <v>6.0923E7</v>
      </c>
      <c r="C578" s="328" t="s">
        <v>1219</v>
      </c>
      <c r="D578" s="328" t="s">
        <v>1929</v>
      </c>
    </row>
    <row r="579" ht="15.0" customHeight="1">
      <c r="A579" s="328" t="s">
        <v>1930</v>
      </c>
      <c r="B579" s="328">
        <v>6.00725E7</v>
      </c>
      <c r="C579" s="328" t="s">
        <v>1219</v>
      </c>
      <c r="D579" s="328" t="s">
        <v>1931</v>
      </c>
    </row>
    <row r="580" ht="15.0" customHeight="1">
      <c r="A580" s="328" t="s">
        <v>1932</v>
      </c>
      <c r="B580" s="328">
        <v>6.0284E7</v>
      </c>
      <c r="C580" s="328" t="s">
        <v>1219</v>
      </c>
      <c r="D580" s="328" t="s">
        <v>1933</v>
      </c>
    </row>
    <row r="581" ht="15.0" customHeight="1">
      <c r="A581" s="328" t="s">
        <v>1934</v>
      </c>
      <c r="B581" s="328">
        <v>6.08869E7</v>
      </c>
      <c r="C581" s="328" t="s">
        <v>1219</v>
      </c>
      <c r="D581" s="328" t="s">
        <v>1935</v>
      </c>
    </row>
    <row r="582" ht="15.0" customHeight="1">
      <c r="A582" s="328" t="s">
        <v>1936</v>
      </c>
      <c r="B582" s="328">
        <v>6.02962E7</v>
      </c>
      <c r="C582" s="328" t="s">
        <v>1219</v>
      </c>
      <c r="D582" s="328" t="s">
        <v>1937</v>
      </c>
    </row>
    <row r="583" ht="15.0" customHeight="1">
      <c r="A583" s="328" t="s">
        <v>1938</v>
      </c>
      <c r="B583" s="328">
        <v>6.11393E7</v>
      </c>
      <c r="C583" s="328" t="s">
        <v>1219</v>
      </c>
      <c r="D583" s="328" t="s">
        <v>1939</v>
      </c>
    </row>
    <row r="584" ht="15.0" customHeight="1">
      <c r="A584" s="328" t="s">
        <v>1940</v>
      </c>
      <c r="B584" s="328">
        <v>6.08909E7</v>
      </c>
      <c r="C584" s="328" t="s">
        <v>1219</v>
      </c>
      <c r="D584" s="328" t="s">
        <v>1941</v>
      </c>
    </row>
    <row r="585" ht="15.0" customHeight="1">
      <c r="A585" s="328" t="s">
        <v>1942</v>
      </c>
      <c r="B585" s="328">
        <v>6.08892E7</v>
      </c>
      <c r="C585" s="328" t="s">
        <v>1219</v>
      </c>
      <c r="D585" s="328" t="s">
        <v>1943</v>
      </c>
    </row>
    <row r="586" ht="15.0" customHeight="1">
      <c r="A586" s="328" t="s">
        <v>1944</v>
      </c>
      <c r="B586" s="328">
        <v>6.08543E7</v>
      </c>
      <c r="C586" s="328" t="s">
        <v>1219</v>
      </c>
      <c r="D586" s="328" t="s">
        <v>1945</v>
      </c>
    </row>
    <row r="587" ht="15.0" customHeight="1">
      <c r="A587" s="328" t="s">
        <v>1946</v>
      </c>
      <c r="B587" s="328">
        <v>6.08821E7</v>
      </c>
      <c r="C587" s="328" t="s">
        <v>1219</v>
      </c>
      <c r="D587" s="328" t="s">
        <v>1947</v>
      </c>
    </row>
    <row r="588" ht="15.0" customHeight="1">
      <c r="A588" s="328" t="s">
        <v>1948</v>
      </c>
      <c r="B588" s="328">
        <v>6.18831E7</v>
      </c>
      <c r="C588" s="328" t="s">
        <v>1219</v>
      </c>
      <c r="D588" s="328" t="s">
        <v>1949</v>
      </c>
    </row>
    <row r="589" ht="15.0" customHeight="1">
      <c r="A589" s="328" t="s">
        <v>1950</v>
      </c>
      <c r="B589" s="328">
        <v>6.08875E7</v>
      </c>
      <c r="C589" s="328" t="s">
        <v>1219</v>
      </c>
      <c r="D589" s="328" t="s">
        <v>1951</v>
      </c>
    </row>
    <row r="590" ht="15.0" customHeight="1">
      <c r="A590" s="328" t="s">
        <v>1952</v>
      </c>
      <c r="B590" s="328">
        <v>6.18981E7</v>
      </c>
      <c r="C590" s="328" t="s">
        <v>1219</v>
      </c>
      <c r="D590" s="328" t="s">
        <v>1953</v>
      </c>
    </row>
    <row r="591" ht="15.0" customHeight="1">
      <c r="A591" s="328" t="s">
        <v>1954</v>
      </c>
      <c r="B591" s="328">
        <v>6.17322E7</v>
      </c>
      <c r="C591" s="328" t="s">
        <v>1219</v>
      </c>
      <c r="D591" s="328" t="s">
        <v>1955</v>
      </c>
    </row>
    <row r="592" ht="15.0" customHeight="1">
      <c r="A592" s="328" t="s">
        <v>1956</v>
      </c>
      <c r="B592" s="328">
        <v>6.17717E7</v>
      </c>
      <c r="C592" s="328" t="s">
        <v>1219</v>
      </c>
      <c r="D592" s="328" t="s">
        <v>1957</v>
      </c>
    </row>
    <row r="593" ht="15.0" customHeight="1">
      <c r="A593" s="328" t="s">
        <v>1958</v>
      </c>
      <c r="B593" s="328">
        <v>6.17696E7</v>
      </c>
      <c r="C593" s="328" t="s">
        <v>1219</v>
      </c>
      <c r="D593" s="328" t="s">
        <v>1959</v>
      </c>
    </row>
    <row r="594" ht="15.0" customHeight="1">
      <c r="A594" s="328" t="s">
        <v>1960</v>
      </c>
      <c r="B594" s="328">
        <v>6.22103E7</v>
      </c>
      <c r="C594" s="328" t="s">
        <v>1219</v>
      </c>
      <c r="D594" s="328" t="s">
        <v>1961</v>
      </c>
    </row>
    <row r="595" ht="15.0" customHeight="1">
      <c r="A595" s="328" t="s">
        <v>1962</v>
      </c>
      <c r="B595" s="328">
        <v>6.2050801E7</v>
      </c>
      <c r="C595" s="328" t="s">
        <v>1219</v>
      </c>
      <c r="D595" s="328" t="s">
        <v>1963</v>
      </c>
    </row>
    <row r="596" ht="15.0" customHeight="1">
      <c r="A596" s="328" t="s">
        <v>1964</v>
      </c>
      <c r="B596" s="328">
        <v>6.0072701E7</v>
      </c>
      <c r="C596" s="328" t="s">
        <v>1219</v>
      </c>
      <c r="D596" s="328" t="s">
        <v>1965</v>
      </c>
    </row>
    <row r="597" ht="15.0" customHeight="1">
      <c r="A597" s="328" t="s">
        <v>1966</v>
      </c>
      <c r="B597" s="328">
        <v>6.0907801E7</v>
      </c>
      <c r="C597" s="328" t="s">
        <v>1219</v>
      </c>
      <c r="D597" s="328" t="s">
        <v>1967</v>
      </c>
    </row>
    <row r="598" ht="15.0" customHeight="1">
      <c r="A598" s="328" t="s">
        <v>1968</v>
      </c>
      <c r="B598" s="328">
        <v>6.1203501E7</v>
      </c>
      <c r="C598" s="328" t="s">
        <v>1219</v>
      </c>
      <c r="D598" s="328" t="s">
        <v>1969</v>
      </c>
    </row>
    <row r="599" ht="15.0" customHeight="1">
      <c r="A599" s="328" t="s">
        <v>1970</v>
      </c>
      <c r="B599" s="328">
        <v>6.1203502E7</v>
      </c>
      <c r="C599" s="328" t="s">
        <v>1219</v>
      </c>
      <c r="D599" s="328" t="s">
        <v>1971</v>
      </c>
    </row>
    <row r="600" ht="15.0" customHeight="1">
      <c r="A600" s="328" t="s">
        <v>1972</v>
      </c>
      <c r="B600" s="328">
        <v>6.0072702E7</v>
      </c>
      <c r="C600" s="328" t="s">
        <v>1219</v>
      </c>
      <c r="D600" s="328" t="s">
        <v>1973</v>
      </c>
    </row>
    <row r="601" ht="15.0" customHeight="1">
      <c r="A601" s="328" t="s">
        <v>1974</v>
      </c>
      <c r="B601" s="328">
        <v>6.0855001E7</v>
      </c>
      <c r="C601" s="328" t="s">
        <v>1219</v>
      </c>
      <c r="D601" s="328" t="s">
        <v>1975</v>
      </c>
    </row>
    <row r="602" ht="15.0" customHeight="1">
      <c r="A602" s="328" t="s">
        <v>1976</v>
      </c>
      <c r="B602" s="328">
        <v>6.2087004E7</v>
      </c>
      <c r="C602" s="328" t="s">
        <v>1219</v>
      </c>
      <c r="D602" s="328" t="s">
        <v>1977</v>
      </c>
    </row>
    <row r="603" ht="15.0" customHeight="1">
      <c r="A603" s="328" t="s">
        <v>1978</v>
      </c>
      <c r="B603" s="328">
        <v>6.2087007E7</v>
      </c>
      <c r="C603" s="328" t="s">
        <v>1219</v>
      </c>
      <c r="D603" s="328" t="s">
        <v>1979</v>
      </c>
    </row>
    <row r="604" ht="15.0" customHeight="1">
      <c r="A604" s="328" t="s">
        <v>1980</v>
      </c>
      <c r="B604" s="328">
        <v>6.2087005E7</v>
      </c>
      <c r="C604" s="328" t="s">
        <v>1219</v>
      </c>
      <c r="D604" s="328" t="s">
        <v>1981</v>
      </c>
    </row>
    <row r="605" ht="15.0" customHeight="1">
      <c r="A605" s="328" t="s">
        <v>1982</v>
      </c>
      <c r="B605" s="328">
        <v>6.2087003E7</v>
      </c>
      <c r="C605" s="328" t="s">
        <v>1219</v>
      </c>
      <c r="D605" s="328" t="s">
        <v>1983</v>
      </c>
    </row>
    <row r="606" ht="15.0" customHeight="1">
      <c r="A606" s="328" t="s">
        <v>1984</v>
      </c>
      <c r="B606" s="328">
        <v>6.0899401E7</v>
      </c>
      <c r="C606" s="328" t="s">
        <v>1219</v>
      </c>
      <c r="D606" s="328" t="s">
        <v>1985</v>
      </c>
    </row>
    <row r="607" ht="15.0" customHeight="1">
      <c r="A607" s="328" t="s">
        <v>1986</v>
      </c>
      <c r="B607" s="328">
        <v>6.0890901E7</v>
      </c>
      <c r="C607" s="328" t="s">
        <v>1219</v>
      </c>
      <c r="D607" s="328" t="s">
        <v>1987</v>
      </c>
    </row>
    <row r="608" ht="15.0" customHeight="1">
      <c r="A608" s="328" t="s">
        <v>1988</v>
      </c>
      <c r="B608" s="328">
        <v>6.0889201E7</v>
      </c>
      <c r="C608" s="328" t="s">
        <v>1219</v>
      </c>
      <c r="D608" s="328" t="s">
        <v>1989</v>
      </c>
    </row>
    <row r="609" ht="15.0" customHeight="1">
      <c r="A609" s="328" t="s">
        <v>1990</v>
      </c>
      <c r="B609" s="328">
        <v>6.1883101E7</v>
      </c>
      <c r="C609" s="328" t="s">
        <v>1219</v>
      </c>
      <c r="D609" s="328" t="s">
        <v>1991</v>
      </c>
    </row>
    <row r="610" ht="15.0" customHeight="1">
      <c r="A610" s="328" t="s">
        <v>1992</v>
      </c>
      <c r="B610" s="328">
        <v>6.2087002E7</v>
      </c>
      <c r="C610" s="328" t="s">
        <v>1219</v>
      </c>
      <c r="D610" s="328" t="s">
        <v>1993</v>
      </c>
    </row>
    <row r="611" ht="15.0" customHeight="1">
      <c r="A611" s="328" t="s">
        <v>1994</v>
      </c>
      <c r="B611" s="328">
        <v>6.2210303E7</v>
      </c>
      <c r="C611" s="328" t="s">
        <v>1219</v>
      </c>
      <c r="D611" s="328" t="s">
        <v>1995</v>
      </c>
    </row>
    <row r="612" ht="15.0" customHeight="1">
      <c r="A612" s="328" t="s">
        <v>1996</v>
      </c>
      <c r="B612" s="328">
        <v>6.0626101E7</v>
      </c>
      <c r="C612" s="328" t="s">
        <v>1219</v>
      </c>
      <c r="D612" s="328" t="s">
        <v>1997</v>
      </c>
    </row>
    <row r="613" ht="15.0" customHeight="1">
      <c r="A613" s="328" t="s">
        <v>1998</v>
      </c>
      <c r="B613" s="328">
        <v>6.1203201E7</v>
      </c>
      <c r="C613" s="328" t="s">
        <v>1219</v>
      </c>
      <c r="D613" s="328" t="s">
        <v>1999</v>
      </c>
    </row>
    <row r="614" ht="15.0" customHeight="1">
      <c r="A614" s="328" t="s">
        <v>2000</v>
      </c>
      <c r="B614" s="328">
        <v>6.1203302E7</v>
      </c>
      <c r="C614" s="328" t="s">
        <v>1219</v>
      </c>
      <c r="D614" s="328" t="s">
        <v>2001</v>
      </c>
    </row>
    <row r="615" ht="15.0" customHeight="1">
      <c r="A615" s="328" t="s">
        <v>2002</v>
      </c>
      <c r="B615" s="328">
        <v>6.1203202E7</v>
      </c>
      <c r="C615" s="328" t="s">
        <v>1219</v>
      </c>
      <c r="D615" s="328" t="s">
        <v>2003</v>
      </c>
    </row>
    <row r="616" ht="15.0" customHeight="1">
      <c r="A616" s="328" t="s">
        <v>2004</v>
      </c>
      <c r="B616" s="328">
        <v>6.2087008E7</v>
      </c>
      <c r="C616" s="328" t="s">
        <v>1219</v>
      </c>
      <c r="D616" s="328" t="s">
        <v>2005</v>
      </c>
    </row>
    <row r="617" ht="15.0" customHeight="1">
      <c r="A617" s="328" t="s">
        <v>2006</v>
      </c>
      <c r="B617" s="328">
        <v>6.2384E7</v>
      </c>
      <c r="C617" s="328" t="s">
        <v>1219</v>
      </c>
      <c r="D617" s="328" t="s">
        <v>2007</v>
      </c>
    </row>
    <row r="618" ht="15.0" customHeight="1">
      <c r="A618" s="328" t="s">
        <v>2008</v>
      </c>
      <c r="B618" s="328">
        <v>6.159E7</v>
      </c>
      <c r="C618" s="328" t="s">
        <v>1219</v>
      </c>
      <c r="D618" s="328" t="s">
        <v>2009</v>
      </c>
    </row>
    <row r="619" ht="15.0" customHeight="1">
      <c r="A619" s="328" t="s">
        <v>2010</v>
      </c>
      <c r="B619" s="328">
        <v>6.22203E7</v>
      </c>
      <c r="C619" s="328" t="s">
        <v>1219</v>
      </c>
      <c r="D619" s="328" t="s">
        <v>2011</v>
      </c>
    </row>
    <row r="620" ht="15.0" customHeight="1">
      <c r="A620" s="328" t="s">
        <v>2012</v>
      </c>
      <c r="B620" s="328">
        <v>6.08991E7</v>
      </c>
      <c r="C620" s="328" t="s">
        <v>1219</v>
      </c>
      <c r="D620" s="328" t="s">
        <v>2013</v>
      </c>
    </row>
    <row r="621" ht="15.0" customHeight="1">
      <c r="A621" s="328" t="s">
        <v>2014</v>
      </c>
      <c r="B621" s="328">
        <v>6.24037E7</v>
      </c>
      <c r="C621" s="328" t="s">
        <v>1219</v>
      </c>
      <c r="D621" s="328" t="s">
        <v>2015</v>
      </c>
    </row>
    <row r="622" ht="15.0" customHeight="1">
      <c r="A622" s="328" t="s">
        <v>2016</v>
      </c>
      <c r="B622" s="328">
        <v>6.06437E7</v>
      </c>
      <c r="C622" s="328" t="s">
        <v>1219</v>
      </c>
      <c r="D622" s="328" t="s">
        <v>2017</v>
      </c>
    </row>
    <row r="623" ht="15.0" customHeight="1">
      <c r="A623" s="328" t="s">
        <v>2018</v>
      </c>
      <c r="B623" s="328">
        <v>6.09E7</v>
      </c>
      <c r="C623" s="328" t="s">
        <v>1219</v>
      </c>
      <c r="D623" s="328" t="s">
        <v>2019</v>
      </c>
    </row>
    <row r="624" ht="15.0" customHeight="1">
      <c r="A624" s="328" t="s">
        <v>2020</v>
      </c>
      <c r="B624" s="328">
        <v>6.08906E7</v>
      </c>
      <c r="C624" s="328" t="s">
        <v>1219</v>
      </c>
      <c r="D624" s="328" t="s">
        <v>2021</v>
      </c>
    </row>
    <row r="625" ht="15.0" customHeight="1">
      <c r="A625" s="328" t="s">
        <v>2022</v>
      </c>
      <c r="B625" s="328">
        <v>6.00733E7</v>
      </c>
      <c r="C625" s="328" t="s">
        <v>1219</v>
      </c>
      <c r="D625" s="328" t="s">
        <v>2023</v>
      </c>
    </row>
    <row r="626" ht="15.0" customHeight="1">
      <c r="A626" s="328" t="s">
        <v>2024</v>
      </c>
      <c r="B626" s="328">
        <v>6.06439E7</v>
      </c>
      <c r="C626" s="328" t="s">
        <v>1219</v>
      </c>
      <c r="D626" s="328" t="s">
        <v>2025</v>
      </c>
    </row>
    <row r="627" ht="15.0" customHeight="1">
      <c r="A627" s="328" t="s">
        <v>2026</v>
      </c>
      <c r="B627" s="328">
        <v>6.08994E7</v>
      </c>
      <c r="C627" s="328" t="s">
        <v>1219</v>
      </c>
      <c r="D627" s="328" t="s">
        <v>2027</v>
      </c>
    </row>
    <row r="628" ht="15.0" customHeight="1">
      <c r="A628" s="328" t="s">
        <v>2028</v>
      </c>
      <c r="B628" s="328">
        <v>6.0143201E7</v>
      </c>
      <c r="C628" s="328" t="s">
        <v>1219</v>
      </c>
      <c r="D628" s="328" t="s">
        <v>2029</v>
      </c>
    </row>
    <row r="629" ht="15.0" customHeight="1">
      <c r="A629" s="328" t="s">
        <v>2030</v>
      </c>
      <c r="B629" s="328">
        <v>6.0143202E7</v>
      </c>
      <c r="C629" s="328" t="s">
        <v>1219</v>
      </c>
      <c r="D629" s="328" t="s">
        <v>2031</v>
      </c>
    </row>
    <row r="630" ht="15.0" customHeight="1">
      <c r="A630" s="328" t="s">
        <v>2032</v>
      </c>
      <c r="B630" s="328">
        <v>6.23192E7</v>
      </c>
      <c r="C630" s="328" t="s">
        <v>1219</v>
      </c>
      <c r="D630" s="328" t="s">
        <v>2033</v>
      </c>
    </row>
    <row r="631" ht="15.0" customHeight="1">
      <c r="A631" s="328" t="s">
        <v>2034</v>
      </c>
      <c r="B631" s="328">
        <v>6.22822E7</v>
      </c>
      <c r="C631" s="328" t="s">
        <v>1219</v>
      </c>
      <c r="D631" s="328" t="s">
        <v>2035</v>
      </c>
    </row>
    <row r="632" ht="15.0" customHeight="1">
      <c r="A632" s="328" t="s">
        <v>2036</v>
      </c>
      <c r="B632" s="328">
        <v>6.24282E7</v>
      </c>
      <c r="C632" s="328" t="s">
        <v>1219</v>
      </c>
      <c r="D632" s="328" t="s">
        <v>2037</v>
      </c>
    </row>
    <row r="633" ht="15.0" customHeight="1">
      <c r="A633" s="328" t="s">
        <v>2038</v>
      </c>
      <c r="B633" s="328">
        <v>6.09237E7</v>
      </c>
      <c r="C633" s="328" t="s">
        <v>1219</v>
      </c>
      <c r="D633" s="328" t="s">
        <v>2039</v>
      </c>
    </row>
    <row r="634" ht="15.0" customHeight="1">
      <c r="A634" s="328" t="s">
        <v>2040</v>
      </c>
      <c r="B634" s="328">
        <v>6.23048E7</v>
      </c>
      <c r="C634" s="328" t="s">
        <v>1219</v>
      </c>
      <c r="D634" s="328" t="s">
        <v>2041</v>
      </c>
    </row>
    <row r="635" ht="15.0" customHeight="1">
      <c r="A635" s="328" t="s">
        <v>2042</v>
      </c>
      <c r="B635" s="328">
        <v>6.23415E7</v>
      </c>
      <c r="C635" s="328" t="s">
        <v>1219</v>
      </c>
      <c r="D635" s="328" t="s">
        <v>2043</v>
      </c>
    </row>
    <row r="636" ht="15.0" customHeight="1">
      <c r="A636" s="328" t="s">
        <v>2044</v>
      </c>
      <c r="B636" s="328">
        <v>6.24036E7</v>
      </c>
      <c r="C636" s="328" t="s">
        <v>1219</v>
      </c>
      <c r="D636" s="328" t="s">
        <v>2045</v>
      </c>
    </row>
    <row r="637" ht="15.0" customHeight="1">
      <c r="A637" s="328" t="s">
        <v>2046</v>
      </c>
      <c r="B637" s="328">
        <v>6.22204E7</v>
      </c>
      <c r="C637" s="328" t="s">
        <v>1219</v>
      </c>
      <c r="D637" s="328" t="s">
        <v>2047</v>
      </c>
    </row>
    <row r="638" ht="15.0" customHeight="1">
      <c r="A638" s="328" t="s">
        <v>2048</v>
      </c>
      <c r="B638" s="328">
        <v>6.24209E7</v>
      </c>
      <c r="C638" s="328" t="s">
        <v>1219</v>
      </c>
      <c r="D638" s="328" t="s">
        <v>2049</v>
      </c>
    </row>
    <row r="639" ht="15.0" customHeight="1">
      <c r="A639" s="328" t="s">
        <v>2050</v>
      </c>
      <c r="B639" s="328">
        <v>6.22979E7</v>
      </c>
      <c r="C639" s="328" t="s">
        <v>1219</v>
      </c>
      <c r="D639" s="328" t="s">
        <v>2051</v>
      </c>
    </row>
    <row r="640" ht="15.0" customHeight="1">
      <c r="A640" s="328" t="s">
        <v>2052</v>
      </c>
      <c r="B640" s="328">
        <v>6.14811E7</v>
      </c>
      <c r="C640" s="328" t="s">
        <v>1219</v>
      </c>
      <c r="D640" s="328" t="s">
        <v>2053</v>
      </c>
    </row>
    <row r="641" ht="15.0" customHeight="1">
      <c r="A641" s="328" t="s">
        <v>2054</v>
      </c>
      <c r="B641" s="328">
        <v>6.08832E7</v>
      </c>
      <c r="C641" s="328" t="s">
        <v>1219</v>
      </c>
      <c r="D641" s="328" t="s">
        <v>2055</v>
      </c>
    </row>
    <row r="642" ht="15.0" customHeight="1">
      <c r="A642" s="328" t="s">
        <v>2056</v>
      </c>
      <c r="B642" s="328">
        <v>6.08995E7</v>
      </c>
      <c r="C642" s="328" t="s">
        <v>1219</v>
      </c>
      <c r="D642" s="328" t="s">
        <v>2057</v>
      </c>
    </row>
    <row r="643" ht="15.0" customHeight="1">
      <c r="A643" s="328" t="s">
        <v>2058</v>
      </c>
      <c r="B643" s="328">
        <v>6.04902E7</v>
      </c>
      <c r="C643" s="328" t="s">
        <v>1219</v>
      </c>
      <c r="D643" s="328" t="s">
        <v>2059</v>
      </c>
    </row>
    <row r="644" ht="15.0" customHeight="1">
      <c r="A644" s="328" t="s">
        <v>2060</v>
      </c>
      <c r="B644" s="328">
        <v>6.09233E7</v>
      </c>
      <c r="C644" s="328" t="s">
        <v>1219</v>
      </c>
      <c r="D644" s="328" t="s">
        <v>2061</v>
      </c>
    </row>
    <row r="645" ht="15.0" customHeight="1">
      <c r="A645" s="328" t="s">
        <v>2062</v>
      </c>
      <c r="B645" s="328">
        <v>6.08888E7</v>
      </c>
      <c r="C645" s="328" t="s">
        <v>1219</v>
      </c>
      <c r="D645" s="328" t="s">
        <v>2063</v>
      </c>
    </row>
    <row r="646" ht="15.0" customHeight="1">
      <c r="A646" s="328" t="s">
        <v>2064</v>
      </c>
      <c r="B646" s="328">
        <v>6.02844E7</v>
      </c>
      <c r="C646" s="328" t="s">
        <v>1219</v>
      </c>
      <c r="D646" s="328" t="s">
        <v>2065</v>
      </c>
    </row>
    <row r="647" ht="15.0" customHeight="1">
      <c r="A647" s="328" t="s">
        <v>2066</v>
      </c>
      <c r="B647" s="328">
        <v>6.08894E7</v>
      </c>
      <c r="C647" s="328" t="s">
        <v>1219</v>
      </c>
      <c r="D647" s="328" t="s">
        <v>2067</v>
      </c>
    </row>
    <row r="648" ht="15.0" customHeight="1">
      <c r="A648" s="328" t="s">
        <v>2068</v>
      </c>
      <c r="B648" s="328">
        <v>6.09002E7</v>
      </c>
      <c r="C648" s="328" t="s">
        <v>1219</v>
      </c>
      <c r="D648" s="328" t="s">
        <v>2069</v>
      </c>
    </row>
    <row r="649" ht="15.0" customHeight="1">
      <c r="A649" s="328" t="s">
        <v>2070</v>
      </c>
      <c r="B649" s="328">
        <v>6.1139E7</v>
      </c>
      <c r="C649" s="328" t="s">
        <v>1219</v>
      </c>
      <c r="D649" s="328" t="s">
        <v>2071</v>
      </c>
    </row>
    <row r="650" ht="15.0" customHeight="1">
      <c r="A650" s="328" t="s">
        <v>2072</v>
      </c>
      <c r="B650" s="328">
        <v>6.0285E7</v>
      </c>
      <c r="C650" s="328" t="s">
        <v>1219</v>
      </c>
      <c r="D650" s="328" t="s">
        <v>2073</v>
      </c>
    </row>
    <row r="651" ht="15.0" customHeight="1">
      <c r="A651" s="328" t="s">
        <v>2074</v>
      </c>
      <c r="B651" s="328">
        <v>6.02979E7</v>
      </c>
      <c r="C651" s="328" t="s">
        <v>1219</v>
      </c>
      <c r="D651" s="328" t="s">
        <v>2075</v>
      </c>
    </row>
    <row r="652" ht="15.0" customHeight="1">
      <c r="A652" s="328" t="s">
        <v>2076</v>
      </c>
      <c r="B652" s="328">
        <v>6.03151E7</v>
      </c>
      <c r="C652" s="328" t="s">
        <v>1219</v>
      </c>
      <c r="D652" s="328" t="s">
        <v>2077</v>
      </c>
    </row>
    <row r="653" ht="15.0" customHeight="1">
      <c r="A653" s="328" t="s">
        <v>2078</v>
      </c>
      <c r="B653" s="328">
        <v>6.0298E7</v>
      </c>
      <c r="C653" s="328" t="s">
        <v>1219</v>
      </c>
      <c r="D653" s="328" t="s">
        <v>2079</v>
      </c>
    </row>
    <row r="654" ht="15.0" customHeight="1">
      <c r="A654" s="328" t="s">
        <v>2080</v>
      </c>
      <c r="B654" s="328">
        <v>6.11362E7</v>
      </c>
      <c r="C654" s="328" t="s">
        <v>1219</v>
      </c>
      <c r="D654" s="328" t="s">
        <v>2081</v>
      </c>
    </row>
    <row r="655" ht="15.0" customHeight="1">
      <c r="A655" s="328" t="s">
        <v>2082</v>
      </c>
      <c r="B655" s="328">
        <v>6.09314E7</v>
      </c>
      <c r="C655" s="328" t="s">
        <v>1219</v>
      </c>
      <c r="D655" s="328" t="s">
        <v>2083</v>
      </c>
    </row>
    <row r="656" ht="15.0" customHeight="1">
      <c r="A656" s="328" t="s">
        <v>2084</v>
      </c>
      <c r="B656" s="328">
        <v>6.09007E7</v>
      </c>
      <c r="C656" s="328" t="s">
        <v>1219</v>
      </c>
      <c r="D656" s="328" t="s">
        <v>2085</v>
      </c>
    </row>
    <row r="657" ht="15.0" customHeight="1">
      <c r="A657" s="328" t="s">
        <v>2086</v>
      </c>
      <c r="B657" s="328">
        <v>6.11398E7</v>
      </c>
      <c r="C657" s="328" t="s">
        <v>1219</v>
      </c>
      <c r="D657" s="328" t="s">
        <v>2087</v>
      </c>
    </row>
    <row r="658" ht="15.0" customHeight="1">
      <c r="A658" s="328" t="s">
        <v>2088</v>
      </c>
      <c r="B658" s="328">
        <v>6.02916E7</v>
      </c>
      <c r="C658" s="328" t="s">
        <v>1219</v>
      </c>
      <c r="D658" s="328" t="s">
        <v>2089</v>
      </c>
    </row>
    <row r="659" ht="15.0" customHeight="1">
      <c r="A659" s="328" t="s">
        <v>2090</v>
      </c>
      <c r="B659" s="328">
        <v>6.08895E7</v>
      </c>
      <c r="C659" s="328" t="s">
        <v>1219</v>
      </c>
      <c r="D659" s="328" t="s">
        <v>2091</v>
      </c>
    </row>
    <row r="660" ht="15.0" customHeight="1">
      <c r="A660" s="328" t="s">
        <v>2092</v>
      </c>
      <c r="B660" s="328">
        <v>6.06429E7</v>
      </c>
      <c r="C660" s="328" t="s">
        <v>1219</v>
      </c>
      <c r="D660" s="328" t="s">
        <v>2093</v>
      </c>
    </row>
    <row r="661" ht="15.0" customHeight="1">
      <c r="A661" s="328" t="s">
        <v>2094</v>
      </c>
      <c r="B661" s="328">
        <v>6.00513E7</v>
      </c>
      <c r="C661" s="328" t="s">
        <v>1219</v>
      </c>
      <c r="D661" s="328" t="s">
        <v>2095</v>
      </c>
    </row>
    <row r="662" ht="15.0" customHeight="1">
      <c r="A662" s="328" t="s">
        <v>2096</v>
      </c>
      <c r="B662" s="328">
        <v>6.02849E7</v>
      </c>
      <c r="C662" s="328" t="s">
        <v>1219</v>
      </c>
      <c r="D662" s="328" t="s">
        <v>2097</v>
      </c>
    </row>
    <row r="663" ht="15.0" customHeight="1">
      <c r="A663" s="328" t="s">
        <v>2098</v>
      </c>
      <c r="B663" s="328">
        <v>6.08899E7</v>
      </c>
      <c r="C663" s="328" t="s">
        <v>1219</v>
      </c>
      <c r="D663" s="328" t="s">
        <v>2099</v>
      </c>
    </row>
    <row r="664" ht="15.0" customHeight="1">
      <c r="A664" s="328" t="s">
        <v>2100</v>
      </c>
      <c r="B664" s="328">
        <v>6.08874E7</v>
      </c>
      <c r="C664" s="328" t="s">
        <v>1219</v>
      </c>
      <c r="D664" s="328" t="s">
        <v>2101</v>
      </c>
    </row>
    <row r="665" ht="15.0" customHeight="1">
      <c r="A665" s="328" t="s">
        <v>2102</v>
      </c>
      <c r="B665" s="328">
        <v>6.08835E7</v>
      </c>
      <c r="C665" s="328" t="s">
        <v>1219</v>
      </c>
      <c r="D665" s="328" t="s">
        <v>2103</v>
      </c>
    </row>
    <row r="666" ht="15.0" customHeight="1">
      <c r="A666" s="328" t="s">
        <v>2104</v>
      </c>
      <c r="B666" s="328">
        <v>6.02971E7</v>
      </c>
      <c r="C666" s="328" t="s">
        <v>1219</v>
      </c>
      <c r="D666" s="328" t="s">
        <v>2105</v>
      </c>
    </row>
    <row r="667" ht="15.0" customHeight="1">
      <c r="A667" s="328" t="s">
        <v>2106</v>
      </c>
      <c r="B667" s="328">
        <v>6.00511E7</v>
      </c>
      <c r="C667" s="328" t="s">
        <v>1219</v>
      </c>
      <c r="D667" s="328" t="s">
        <v>2107</v>
      </c>
    </row>
    <row r="668" ht="15.0" customHeight="1">
      <c r="A668" s="328" t="s">
        <v>2108</v>
      </c>
      <c r="B668" s="328">
        <v>6.03175E7</v>
      </c>
      <c r="C668" s="328" t="s">
        <v>1219</v>
      </c>
      <c r="D668" s="328" t="s">
        <v>2109</v>
      </c>
    </row>
    <row r="669" ht="15.0" customHeight="1">
      <c r="A669" s="328" t="s">
        <v>2110</v>
      </c>
      <c r="B669" s="328">
        <v>6.08978E7</v>
      </c>
      <c r="C669" s="328" t="s">
        <v>1219</v>
      </c>
      <c r="D669" s="328" t="s">
        <v>2111</v>
      </c>
    </row>
    <row r="670" ht="15.0" customHeight="1">
      <c r="A670" s="328" t="s">
        <v>2112</v>
      </c>
      <c r="B670" s="328">
        <v>6.09239E7</v>
      </c>
      <c r="C670" s="328" t="s">
        <v>1219</v>
      </c>
      <c r="D670" s="328" t="s">
        <v>2113</v>
      </c>
    </row>
    <row r="671" ht="15.0" customHeight="1">
      <c r="A671" s="328" t="s">
        <v>2114</v>
      </c>
      <c r="B671" s="328">
        <v>6.02845E7</v>
      </c>
      <c r="C671" s="328" t="s">
        <v>1219</v>
      </c>
      <c r="D671" s="328" t="s">
        <v>2115</v>
      </c>
    </row>
    <row r="672" ht="15.0" customHeight="1">
      <c r="A672" s="328" t="s">
        <v>2116</v>
      </c>
      <c r="B672" s="328">
        <v>6.02848E7</v>
      </c>
      <c r="C672" s="328" t="s">
        <v>1219</v>
      </c>
      <c r="D672" s="328" t="s">
        <v>2117</v>
      </c>
    </row>
    <row r="673" ht="15.0" customHeight="1">
      <c r="A673" s="328" t="s">
        <v>2118</v>
      </c>
      <c r="B673" s="328">
        <v>6.03061E7</v>
      </c>
      <c r="C673" s="328" t="s">
        <v>1219</v>
      </c>
      <c r="D673" s="328" t="s">
        <v>2119</v>
      </c>
    </row>
    <row r="674" ht="15.0" customHeight="1">
      <c r="A674" s="328" t="s">
        <v>2120</v>
      </c>
      <c r="B674" s="328">
        <v>6.08983E7</v>
      </c>
      <c r="C674" s="328" t="s">
        <v>1219</v>
      </c>
      <c r="D674" s="328" t="s">
        <v>2121</v>
      </c>
    </row>
    <row r="675" ht="15.0" customHeight="1">
      <c r="A675" s="328" t="s">
        <v>2122</v>
      </c>
      <c r="B675" s="328">
        <v>6.03089E7</v>
      </c>
      <c r="C675" s="328" t="s">
        <v>1219</v>
      </c>
      <c r="D675" s="328" t="s">
        <v>2123</v>
      </c>
    </row>
    <row r="676" ht="15.0" customHeight="1">
      <c r="A676" s="328" t="s">
        <v>2124</v>
      </c>
      <c r="B676" s="328">
        <v>6.08873E7</v>
      </c>
      <c r="C676" s="328" t="s">
        <v>1219</v>
      </c>
      <c r="D676" s="328" t="s">
        <v>2125</v>
      </c>
    </row>
    <row r="677" ht="15.0" customHeight="1">
      <c r="A677" s="328" t="s">
        <v>2126</v>
      </c>
      <c r="B677" s="328">
        <v>6.02858E7</v>
      </c>
      <c r="C677" s="328" t="s">
        <v>1219</v>
      </c>
      <c r="D677" s="328" t="s">
        <v>2127</v>
      </c>
    </row>
    <row r="678" ht="15.0" customHeight="1">
      <c r="A678" s="328" t="s">
        <v>2128</v>
      </c>
      <c r="B678" s="328">
        <v>6.11364E7</v>
      </c>
      <c r="C678" s="328" t="s">
        <v>1219</v>
      </c>
      <c r="D678" s="328" t="s">
        <v>2129</v>
      </c>
    </row>
    <row r="679" ht="15.0" customHeight="1">
      <c r="A679" s="328" t="s">
        <v>2130</v>
      </c>
      <c r="B679" s="328">
        <v>6.0288E7</v>
      </c>
      <c r="C679" s="328" t="s">
        <v>1219</v>
      </c>
      <c r="D679" s="328" t="s">
        <v>2131</v>
      </c>
    </row>
    <row r="680" ht="15.0" customHeight="1">
      <c r="A680" s="328" t="s">
        <v>2132</v>
      </c>
      <c r="B680" s="328">
        <v>6.06409E7</v>
      </c>
      <c r="C680" s="328" t="s">
        <v>1219</v>
      </c>
      <c r="D680" s="328" t="s">
        <v>2133</v>
      </c>
    </row>
    <row r="681" ht="15.0" customHeight="1">
      <c r="A681" s="328" t="s">
        <v>2134</v>
      </c>
      <c r="B681" s="328">
        <v>6.03055E7</v>
      </c>
      <c r="C681" s="328" t="s">
        <v>1219</v>
      </c>
      <c r="D681" s="328" t="s">
        <v>2135</v>
      </c>
    </row>
    <row r="682" ht="15.0" customHeight="1">
      <c r="A682" s="328" t="s">
        <v>2136</v>
      </c>
      <c r="B682" s="328">
        <v>6.11368E7</v>
      </c>
      <c r="C682" s="328" t="s">
        <v>1219</v>
      </c>
      <c r="D682" s="328" t="s">
        <v>2137</v>
      </c>
    </row>
    <row r="683" ht="15.0" customHeight="1">
      <c r="A683" s="328" t="s">
        <v>2138</v>
      </c>
      <c r="B683" s="328">
        <v>6.02832E7</v>
      </c>
      <c r="C683" s="328" t="s">
        <v>1219</v>
      </c>
      <c r="D683" s="328" t="s">
        <v>2139</v>
      </c>
    </row>
    <row r="684" ht="15.0" customHeight="1">
      <c r="A684" s="328" t="s">
        <v>2140</v>
      </c>
      <c r="B684" s="328">
        <v>6.02894E7</v>
      </c>
      <c r="C684" s="328" t="s">
        <v>1219</v>
      </c>
      <c r="D684" s="328" t="s">
        <v>2141</v>
      </c>
    </row>
    <row r="685" ht="15.0" customHeight="1">
      <c r="A685" s="328" t="s">
        <v>2142</v>
      </c>
      <c r="B685" s="328">
        <v>6.04167E7</v>
      </c>
      <c r="C685" s="328" t="s">
        <v>1219</v>
      </c>
      <c r="D685" s="328" t="s">
        <v>2143</v>
      </c>
    </row>
    <row r="686" ht="15.0" customHeight="1">
      <c r="A686" s="328" t="s">
        <v>2144</v>
      </c>
      <c r="B686" s="328">
        <v>6.02876E7</v>
      </c>
      <c r="C686" s="328" t="s">
        <v>1219</v>
      </c>
      <c r="D686" s="328" t="s">
        <v>2145</v>
      </c>
    </row>
    <row r="687" ht="15.0" customHeight="1">
      <c r="A687" s="328" t="s">
        <v>2146</v>
      </c>
      <c r="B687" s="328">
        <v>6.09228E7</v>
      </c>
      <c r="C687" s="328" t="s">
        <v>1219</v>
      </c>
      <c r="D687" s="328" t="s">
        <v>2147</v>
      </c>
    </row>
    <row r="688" ht="15.0" customHeight="1">
      <c r="A688" s="328" t="s">
        <v>2148</v>
      </c>
      <c r="B688" s="328">
        <v>6.02875E7</v>
      </c>
      <c r="C688" s="328" t="s">
        <v>1219</v>
      </c>
      <c r="D688" s="328" t="s">
        <v>2149</v>
      </c>
    </row>
    <row r="689" ht="15.0" customHeight="1">
      <c r="A689" s="328" t="s">
        <v>2150</v>
      </c>
      <c r="B689" s="328">
        <v>6.02856E7</v>
      </c>
      <c r="C689" s="328" t="s">
        <v>1219</v>
      </c>
      <c r="D689" s="328" t="s">
        <v>2151</v>
      </c>
    </row>
    <row r="690" ht="15.0" customHeight="1">
      <c r="A690" s="328" t="s">
        <v>2152</v>
      </c>
      <c r="B690" s="328">
        <v>6.00759E7</v>
      </c>
      <c r="C690" s="328" t="s">
        <v>1219</v>
      </c>
      <c r="D690" s="328" t="s">
        <v>2153</v>
      </c>
    </row>
    <row r="691" ht="15.0" customHeight="1">
      <c r="A691" s="328" t="s">
        <v>2154</v>
      </c>
      <c r="B691" s="328">
        <v>6.02839E7</v>
      </c>
      <c r="C691" s="328" t="s">
        <v>1219</v>
      </c>
      <c r="D691" s="328" t="s">
        <v>2155</v>
      </c>
    </row>
    <row r="692" ht="15.0" customHeight="1">
      <c r="A692" s="328" t="s">
        <v>2156</v>
      </c>
      <c r="B692" s="328">
        <v>6.08988E7</v>
      </c>
      <c r="C692" s="328" t="s">
        <v>1219</v>
      </c>
      <c r="D692" s="328" t="s">
        <v>2157</v>
      </c>
    </row>
    <row r="693" ht="15.0" customHeight="1">
      <c r="A693" s="328" t="s">
        <v>2158</v>
      </c>
      <c r="B693" s="328">
        <v>6.02913E7</v>
      </c>
      <c r="C693" s="328" t="s">
        <v>1219</v>
      </c>
      <c r="D693" s="328" t="s">
        <v>2159</v>
      </c>
    </row>
    <row r="694" ht="15.0" customHeight="1">
      <c r="A694" s="328" t="s">
        <v>2160</v>
      </c>
      <c r="B694" s="328">
        <v>6.08998E7</v>
      </c>
      <c r="C694" s="328" t="s">
        <v>1219</v>
      </c>
      <c r="D694" s="328" t="s">
        <v>2161</v>
      </c>
    </row>
    <row r="695" ht="15.0" customHeight="1">
      <c r="A695" s="328" t="s">
        <v>2162</v>
      </c>
      <c r="B695" s="328">
        <v>6.089E7</v>
      </c>
      <c r="C695" s="328" t="s">
        <v>1219</v>
      </c>
      <c r="D695" s="328" t="s">
        <v>2163</v>
      </c>
    </row>
    <row r="696" ht="15.0" customHeight="1">
      <c r="A696" s="328" t="s">
        <v>2164</v>
      </c>
      <c r="B696" s="328">
        <v>6.10611E7</v>
      </c>
      <c r="C696" s="328" t="s">
        <v>1219</v>
      </c>
      <c r="D696" s="328" t="s">
        <v>2165</v>
      </c>
    </row>
    <row r="697" ht="15.0" customHeight="1">
      <c r="A697" s="328" t="s">
        <v>2166</v>
      </c>
      <c r="B697" s="328">
        <v>6.09261E7</v>
      </c>
      <c r="C697" s="328" t="s">
        <v>1219</v>
      </c>
      <c r="D697" s="328" t="s">
        <v>2167</v>
      </c>
    </row>
    <row r="698" ht="15.0" customHeight="1">
      <c r="A698" s="328" t="s">
        <v>2168</v>
      </c>
      <c r="B698" s="328">
        <v>6.02877E7</v>
      </c>
      <c r="C698" s="328" t="s">
        <v>1219</v>
      </c>
      <c r="D698" s="328" t="s">
        <v>2169</v>
      </c>
    </row>
    <row r="699" ht="15.0" customHeight="1">
      <c r="A699" s="328" t="s">
        <v>2170</v>
      </c>
      <c r="B699" s="328">
        <v>6.00734E7</v>
      </c>
      <c r="C699" s="328" t="s">
        <v>1219</v>
      </c>
      <c r="D699" s="328" t="s">
        <v>2171</v>
      </c>
    </row>
    <row r="700" ht="15.0" customHeight="1">
      <c r="A700" s="328" t="s">
        <v>2172</v>
      </c>
      <c r="B700" s="328">
        <v>6.09241E7</v>
      </c>
      <c r="C700" s="328" t="s">
        <v>1219</v>
      </c>
      <c r="D700" s="328" t="s">
        <v>2173</v>
      </c>
    </row>
    <row r="701" ht="15.0" customHeight="1">
      <c r="A701" s="328" t="s">
        <v>2174</v>
      </c>
      <c r="B701" s="328">
        <v>6.03221E7</v>
      </c>
      <c r="C701" s="328" t="s">
        <v>1219</v>
      </c>
      <c r="D701" s="328" t="s">
        <v>2175</v>
      </c>
    </row>
    <row r="702" ht="15.0" customHeight="1">
      <c r="A702" s="328" t="s">
        <v>2176</v>
      </c>
      <c r="B702" s="328">
        <v>6.08868E7</v>
      </c>
      <c r="C702" s="328" t="s">
        <v>1219</v>
      </c>
      <c r="D702" s="328" t="s">
        <v>2177</v>
      </c>
    </row>
    <row r="703" ht="15.0" customHeight="1">
      <c r="A703" s="328" t="s">
        <v>2178</v>
      </c>
      <c r="B703" s="328">
        <v>6.11391E7</v>
      </c>
      <c r="C703" s="328" t="s">
        <v>1219</v>
      </c>
      <c r="D703" s="328" t="s">
        <v>2179</v>
      </c>
    </row>
    <row r="704" ht="15.0" customHeight="1">
      <c r="A704" s="328" t="s">
        <v>2180</v>
      </c>
      <c r="B704" s="328">
        <v>6.09235E7</v>
      </c>
      <c r="C704" s="328" t="s">
        <v>1219</v>
      </c>
      <c r="D704" s="328" t="s">
        <v>2181</v>
      </c>
    </row>
    <row r="705" ht="15.0" customHeight="1">
      <c r="A705" s="328" t="s">
        <v>2182</v>
      </c>
      <c r="B705" s="328">
        <v>6.12032E7</v>
      </c>
      <c r="C705" s="328" t="s">
        <v>1219</v>
      </c>
      <c r="D705" s="328" t="s">
        <v>2183</v>
      </c>
    </row>
    <row r="706" ht="15.0" customHeight="1">
      <c r="A706" s="328" t="s">
        <v>2184</v>
      </c>
      <c r="B706" s="328">
        <v>6.02917E7</v>
      </c>
      <c r="C706" s="328" t="s">
        <v>1219</v>
      </c>
      <c r="D706" s="328" t="s">
        <v>2185</v>
      </c>
    </row>
    <row r="707" ht="15.0" customHeight="1">
      <c r="A707" s="328" t="s">
        <v>2186</v>
      </c>
      <c r="B707" s="328">
        <v>6.08833E7</v>
      </c>
      <c r="C707" s="328" t="s">
        <v>1219</v>
      </c>
      <c r="D707" s="328" t="s">
        <v>2187</v>
      </c>
    </row>
    <row r="708" ht="15.0" customHeight="1">
      <c r="A708" s="328" t="s">
        <v>2188</v>
      </c>
      <c r="B708" s="328">
        <v>6.02834E7</v>
      </c>
      <c r="C708" s="328" t="s">
        <v>1219</v>
      </c>
      <c r="D708" s="328" t="s">
        <v>2189</v>
      </c>
    </row>
    <row r="709" ht="15.0" customHeight="1">
      <c r="A709" s="328" t="s">
        <v>2190</v>
      </c>
      <c r="B709" s="328">
        <v>6.12811E7</v>
      </c>
      <c r="C709" s="328" t="s">
        <v>1219</v>
      </c>
      <c r="D709" s="328" t="s">
        <v>2191</v>
      </c>
    </row>
    <row r="710" ht="15.0" customHeight="1">
      <c r="A710" s="328" t="s">
        <v>2192</v>
      </c>
      <c r="B710" s="328">
        <v>6.12681E7</v>
      </c>
      <c r="C710" s="328" t="s">
        <v>1219</v>
      </c>
      <c r="D710" s="328" t="s">
        <v>2193</v>
      </c>
    </row>
    <row r="711" ht="15.0" customHeight="1">
      <c r="A711" s="328" t="s">
        <v>2194</v>
      </c>
      <c r="B711" s="328">
        <v>6.1281E7</v>
      </c>
      <c r="C711" s="328" t="s">
        <v>1219</v>
      </c>
      <c r="D711" s="328" t="s">
        <v>2195</v>
      </c>
    </row>
    <row r="712" ht="15.0" customHeight="1">
      <c r="A712" s="328" t="s">
        <v>2196</v>
      </c>
      <c r="B712" s="328">
        <v>6.12946E7</v>
      </c>
      <c r="C712" s="328" t="s">
        <v>1219</v>
      </c>
      <c r="D712" s="328" t="s">
        <v>2197</v>
      </c>
    </row>
    <row r="713" ht="15.0" customHeight="1">
      <c r="A713" s="328" t="s">
        <v>2198</v>
      </c>
      <c r="B713" s="328">
        <v>6.13782E7</v>
      </c>
      <c r="C713" s="328" t="s">
        <v>1219</v>
      </c>
      <c r="D713" s="328" t="s">
        <v>2199</v>
      </c>
    </row>
    <row r="714" ht="15.0" customHeight="1">
      <c r="A714" s="328" t="s">
        <v>2200</v>
      </c>
      <c r="B714" s="328">
        <v>6.14862E7</v>
      </c>
      <c r="C714" s="328" t="s">
        <v>1219</v>
      </c>
      <c r="D714" s="328" t="s">
        <v>2201</v>
      </c>
    </row>
    <row r="715" ht="15.0" customHeight="1">
      <c r="A715" s="328" t="s">
        <v>2202</v>
      </c>
      <c r="B715" s="328">
        <v>6.14789E7</v>
      </c>
      <c r="C715" s="328" t="s">
        <v>1219</v>
      </c>
      <c r="D715" s="328" t="s">
        <v>2203</v>
      </c>
    </row>
    <row r="716" ht="15.0" customHeight="1">
      <c r="A716" s="328" t="s">
        <v>2204</v>
      </c>
      <c r="B716" s="328">
        <v>6.1672E7</v>
      </c>
      <c r="C716" s="328" t="s">
        <v>1219</v>
      </c>
      <c r="D716" s="328" t="s">
        <v>2205</v>
      </c>
    </row>
    <row r="717" ht="15.0" customHeight="1">
      <c r="A717" s="328" t="s">
        <v>2206</v>
      </c>
      <c r="B717" s="328">
        <v>6.14871E7</v>
      </c>
      <c r="C717" s="328" t="s">
        <v>1219</v>
      </c>
      <c r="D717" s="328" t="s">
        <v>2207</v>
      </c>
    </row>
    <row r="718" ht="15.0" customHeight="1">
      <c r="A718" s="328" t="s">
        <v>2208</v>
      </c>
      <c r="B718" s="328">
        <v>6.16719E7</v>
      </c>
      <c r="C718" s="328" t="s">
        <v>1219</v>
      </c>
      <c r="D718" s="328" t="s">
        <v>2209</v>
      </c>
    </row>
    <row r="719" ht="15.0" customHeight="1">
      <c r="A719" s="328" t="s">
        <v>2210</v>
      </c>
      <c r="B719" s="328">
        <v>6.17173E7</v>
      </c>
      <c r="C719" s="328" t="s">
        <v>1219</v>
      </c>
      <c r="D719" s="328" t="s">
        <v>2211</v>
      </c>
    </row>
    <row r="720" ht="15.0" customHeight="1">
      <c r="A720" s="328" t="s">
        <v>2212</v>
      </c>
      <c r="B720" s="328">
        <v>6.22436E7</v>
      </c>
      <c r="C720" s="328" t="s">
        <v>1219</v>
      </c>
      <c r="D720" s="328" t="s">
        <v>2213</v>
      </c>
    </row>
    <row r="721" ht="15.0" customHeight="1">
      <c r="A721" s="328" t="s">
        <v>2214</v>
      </c>
      <c r="B721" s="328">
        <v>6.17174E7</v>
      </c>
      <c r="C721" s="328" t="s">
        <v>1219</v>
      </c>
      <c r="D721" s="328" t="s">
        <v>2215</v>
      </c>
    </row>
    <row r="722" ht="15.0" customHeight="1">
      <c r="A722" s="328" t="s">
        <v>2216</v>
      </c>
      <c r="B722" s="328">
        <v>6.20692E7</v>
      </c>
      <c r="C722" s="328" t="s">
        <v>1219</v>
      </c>
      <c r="D722" s="328" t="s">
        <v>2217</v>
      </c>
    </row>
    <row r="723" ht="15.0" customHeight="1">
      <c r="A723" s="328" t="s">
        <v>2218</v>
      </c>
      <c r="B723" s="328">
        <v>6.22074E7</v>
      </c>
      <c r="C723" s="328" t="s">
        <v>1219</v>
      </c>
      <c r="D723" s="328" t="s">
        <v>2219</v>
      </c>
    </row>
    <row r="724" ht="15.0" customHeight="1">
      <c r="A724" s="328" t="s">
        <v>2220</v>
      </c>
      <c r="B724" s="328">
        <v>6.22171E7</v>
      </c>
      <c r="C724" s="328" t="s">
        <v>1219</v>
      </c>
      <c r="D724" s="328" t="s">
        <v>2221</v>
      </c>
    </row>
    <row r="725" ht="15.0" customHeight="1">
      <c r="A725" s="328" t="s">
        <v>2222</v>
      </c>
      <c r="B725" s="328">
        <v>6.22456E7</v>
      </c>
      <c r="C725" s="328" t="s">
        <v>1219</v>
      </c>
      <c r="D725" s="328" t="s">
        <v>2223</v>
      </c>
    </row>
    <row r="726" ht="15.0" customHeight="1">
      <c r="A726" s="328" t="s">
        <v>2224</v>
      </c>
      <c r="B726" s="328">
        <v>6.23296E7</v>
      </c>
      <c r="C726" s="328" t="s">
        <v>1219</v>
      </c>
      <c r="D726" s="328" t="s">
        <v>2225</v>
      </c>
    </row>
    <row r="727" ht="15.0" customHeight="1">
      <c r="A727" s="328" t="s">
        <v>2226</v>
      </c>
      <c r="B727" s="328">
        <v>6.1714E7</v>
      </c>
      <c r="C727" s="328" t="s">
        <v>1219</v>
      </c>
      <c r="D727" s="328" t="s">
        <v>2227</v>
      </c>
    </row>
    <row r="728" ht="15.0" customHeight="1">
      <c r="A728" s="328" t="s">
        <v>2228</v>
      </c>
      <c r="B728" s="328">
        <v>6.23517E7</v>
      </c>
      <c r="C728" s="328" t="s">
        <v>1219</v>
      </c>
      <c r="D728" s="328" t="s">
        <v>2229</v>
      </c>
    </row>
    <row r="729" ht="15.0" customHeight="1">
      <c r="A729" s="328" t="s">
        <v>2230</v>
      </c>
      <c r="B729" s="328">
        <v>6.24279E7</v>
      </c>
      <c r="C729" s="328" t="s">
        <v>1219</v>
      </c>
      <c r="D729" s="328" t="s">
        <v>2231</v>
      </c>
    </row>
    <row r="730" ht="15.0" customHeight="1">
      <c r="A730" s="328" t="s">
        <v>2232</v>
      </c>
      <c r="B730" s="328">
        <v>6.24379E7</v>
      </c>
      <c r="C730" s="328" t="s">
        <v>1219</v>
      </c>
      <c r="D730" s="328" t="s">
        <v>2233</v>
      </c>
    </row>
    <row r="731" ht="15.0" customHeight="1">
      <c r="A731" s="328" t="s">
        <v>2234</v>
      </c>
      <c r="B731" s="328">
        <v>6.24458E7</v>
      </c>
      <c r="C731" s="328" t="s">
        <v>1219</v>
      </c>
      <c r="D731" s="328" t="s">
        <v>2235</v>
      </c>
    </row>
    <row r="732" ht="15.0" customHeight="1">
      <c r="A732" s="328" t="s">
        <v>2236</v>
      </c>
      <c r="B732" s="328">
        <v>6.21307E7</v>
      </c>
      <c r="C732" s="328" t="s">
        <v>1219</v>
      </c>
      <c r="D732" s="328" t="s">
        <v>1093</v>
      </c>
    </row>
    <row r="733" ht="15.0" customHeight="1">
      <c r="A733" s="328" t="s">
        <v>2237</v>
      </c>
      <c r="B733" s="328">
        <v>6.24383E7</v>
      </c>
      <c r="C733" s="328" t="s">
        <v>1219</v>
      </c>
      <c r="D733" s="328" t="s">
        <v>2238</v>
      </c>
    </row>
    <row r="734" ht="15.0" customHeight="1">
      <c r="A734" s="328" t="s">
        <v>2239</v>
      </c>
      <c r="B734" s="328">
        <v>6.20868E7</v>
      </c>
      <c r="C734" s="328" t="s">
        <v>1219</v>
      </c>
      <c r="D734" s="328" t="s">
        <v>2240</v>
      </c>
    </row>
    <row r="735" ht="15.0" customHeight="1">
      <c r="A735" s="328" t="s">
        <v>2241</v>
      </c>
      <c r="B735" s="328">
        <v>6.22189E7</v>
      </c>
      <c r="C735" s="328" t="s">
        <v>1219</v>
      </c>
      <c r="D735" s="328" t="s">
        <v>2242</v>
      </c>
    </row>
    <row r="736" ht="15.0" customHeight="1">
      <c r="A736" s="328" t="s">
        <v>2243</v>
      </c>
      <c r="B736" s="328">
        <v>6.20715E7</v>
      </c>
      <c r="C736" s="328" t="s">
        <v>1219</v>
      </c>
      <c r="D736" s="328" t="s">
        <v>2244</v>
      </c>
    </row>
    <row r="737" ht="15.0" customHeight="1">
      <c r="A737" s="328" t="s">
        <v>2245</v>
      </c>
      <c r="B737" s="328">
        <v>6.20802E7</v>
      </c>
      <c r="C737" s="328" t="s">
        <v>1219</v>
      </c>
      <c r="D737" s="328" t="s">
        <v>2246</v>
      </c>
    </row>
    <row r="738" ht="15.0" customHeight="1">
      <c r="A738" s="328" t="s">
        <v>2247</v>
      </c>
      <c r="B738" s="328">
        <v>6.20718E7</v>
      </c>
      <c r="C738" s="328" t="s">
        <v>1219</v>
      </c>
      <c r="D738" s="328" t="s">
        <v>2248</v>
      </c>
    </row>
    <row r="739" ht="15.0" customHeight="1">
      <c r="A739" s="328" t="s">
        <v>2249</v>
      </c>
      <c r="B739" s="328">
        <v>6.23513E7</v>
      </c>
      <c r="C739" s="328" t="s">
        <v>1219</v>
      </c>
      <c r="D739" s="328" t="s">
        <v>2250</v>
      </c>
    </row>
    <row r="740" ht="15.0" customHeight="1">
      <c r="A740" s="328" t="s">
        <v>2251</v>
      </c>
      <c r="B740" s="328">
        <v>6.24157E7</v>
      </c>
      <c r="C740" s="328" t="s">
        <v>1219</v>
      </c>
      <c r="D740" s="328" t="s">
        <v>2252</v>
      </c>
    </row>
    <row r="741" ht="15.0" customHeight="1">
      <c r="A741" s="328" t="s">
        <v>2253</v>
      </c>
      <c r="B741" s="328">
        <v>6.14988E7</v>
      </c>
      <c r="C741" s="328" t="s">
        <v>1219</v>
      </c>
      <c r="D741" s="328" t="s">
        <v>2254</v>
      </c>
    </row>
    <row r="742" ht="15.0" customHeight="1">
      <c r="A742" s="328" t="s">
        <v>2255</v>
      </c>
      <c r="B742" s="328">
        <v>6.14989E7</v>
      </c>
      <c r="C742" s="328" t="s">
        <v>1219</v>
      </c>
      <c r="D742" s="328" t="s">
        <v>2256</v>
      </c>
    </row>
    <row r="743" ht="15.0" customHeight="1">
      <c r="A743" s="328" t="s">
        <v>2257</v>
      </c>
      <c r="B743" s="328">
        <v>6.22673E7</v>
      </c>
      <c r="C743" s="328" t="s">
        <v>1219</v>
      </c>
      <c r="D743" s="328" t="s">
        <v>2258</v>
      </c>
    </row>
    <row r="744" ht="15.0" customHeight="1">
      <c r="A744" s="328" t="s">
        <v>2259</v>
      </c>
      <c r="B744" s="328">
        <v>6.23392E7</v>
      </c>
      <c r="C744" s="328" t="s">
        <v>1219</v>
      </c>
      <c r="D744" s="328" t="s">
        <v>2260</v>
      </c>
    </row>
    <row r="745" ht="15.0" customHeight="1">
      <c r="A745" s="328" t="s">
        <v>2261</v>
      </c>
      <c r="B745" s="328">
        <v>6.23519E7</v>
      </c>
      <c r="C745" s="328" t="s">
        <v>1219</v>
      </c>
      <c r="D745" s="328" t="s">
        <v>2262</v>
      </c>
    </row>
    <row r="746" ht="15.0" customHeight="1">
      <c r="A746" s="328" t="s">
        <v>2263</v>
      </c>
      <c r="B746" s="328">
        <v>6.02833E7</v>
      </c>
      <c r="C746" s="328" t="s">
        <v>1219</v>
      </c>
      <c r="D746" s="328" t="s">
        <v>2264</v>
      </c>
    </row>
    <row r="747" ht="15.0" customHeight="1">
      <c r="A747" s="328" t="s">
        <v>2265</v>
      </c>
      <c r="B747" s="328">
        <v>6.11395E7</v>
      </c>
      <c r="C747" s="328" t="s">
        <v>1219</v>
      </c>
      <c r="D747" s="328" t="s">
        <v>2266</v>
      </c>
    </row>
    <row r="748" ht="15.0" customHeight="1">
      <c r="A748" s="328" t="s">
        <v>2267</v>
      </c>
      <c r="B748" s="328">
        <v>6.02975E7</v>
      </c>
      <c r="C748" s="328" t="s">
        <v>1219</v>
      </c>
      <c r="D748" s="328" t="s">
        <v>2268</v>
      </c>
    </row>
    <row r="749" ht="15.0" customHeight="1">
      <c r="A749" s="328" t="s">
        <v>2269</v>
      </c>
      <c r="B749" s="328">
        <v>6.09225E7</v>
      </c>
      <c r="C749" s="328" t="s">
        <v>1219</v>
      </c>
      <c r="D749" s="328" t="s">
        <v>2270</v>
      </c>
    </row>
    <row r="750" ht="15.0" customHeight="1">
      <c r="A750" s="328" t="s">
        <v>2271</v>
      </c>
      <c r="B750" s="328">
        <v>6.04895E7</v>
      </c>
      <c r="C750" s="328" t="s">
        <v>1219</v>
      </c>
      <c r="D750" s="328" t="s">
        <v>2272</v>
      </c>
    </row>
    <row r="751" ht="15.0" customHeight="1">
      <c r="A751" s="328" t="s">
        <v>2273</v>
      </c>
      <c r="B751" s="328">
        <v>6.09224E7</v>
      </c>
      <c r="C751" s="328" t="s">
        <v>1219</v>
      </c>
      <c r="D751" s="328" t="s">
        <v>2274</v>
      </c>
    </row>
    <row r="752" ht="15.0" customHeight="1">
      <c r="A752" s="328" t="s">
        <v>2275</v>
      </c>
      <c r="B752" s="328">
        <v>6.11381E7</v>
      </c>
      <c r="C752" s="328" t="s">
        <v>1219</v>
      </c>
      <c r="D752" s="328" t="s">
        <v>2276</v>
      </c>
    </row>
    <row r="753" ht="15.0" customHeight="1">
      <c r="A753" s="328" t="s">
        <v>2277</v>
      </c>
      <c r="B753" s="328">
        <v>6.02961E7</v>
      </c>
      <c r="C753" s="328" t="s">
        <v>1219</v>
      </c>
      <c r="D753" s="328" t="s">
        <v>2278</v>
      </c>
    </row>
    <row r="754" ht="15.0" customHeight="1">
      <c r="A754" s="328" t="s">
        <v>2279</v>
      </c>
      <c r="B754" s="328">
        <v>6.12806E7</v>
      </c>
      <c r="C754" s="328" t="s">
        <v>1219</v>
      </c>
      <c r="D754" s="328" t="s">
        <v>2280</v>
      </c>
    </row>
    <row r="755" ht="15.0" customHeight="1">
      <c r="A755" s="328" t="s">
        <v>2281</v>
      </c>
      <c r="B755" s="328">
        <v>6.9002E7</v>
      </c>
      <c r="C755" s="328" t="s">
        <v>1219</v>
      </c>
      <c r="D755" s="328" t="s">
        <v>2282</v>
      </c>
    </row>
    <row r="756" ht="15.0" customHeight="1">
      <c r="A756" s="328" t="s">
        <v>2283</v>
      </c>
      <c r="B756" s="328">
        <v>6.2272501E7</v>
      </c>
      <c r="C756" s="328" t="s">
        <v>2284</v>
      </c>
      <c r="D756" s="328" t="s">
        <v>2285</v>
      </c>
    </row>
    <row r="757" ht="15.0" customHeight="1">
      <c r="A757" s="328" t="s">
        <v>2286</v>
      </c>
      <c r="B757" s="328">
        <v>6.0678401E7</v>
      </c>
      <c r="C757" s="328" t="s">
        <v>2284</v>
      </c>
      <c r="D757" s="328" t="s">
        <v>2287</v>
      </c>
    </row>
    <row r="758" ht="15.0" customHeight="1">
      <c r="A758" s="328" t="s">
        <v>2288</v>
      </c>
      <c r="B758" s="328">
        <v>6.0678402E7</v>
      </c>
      <c r="C758" s="328" t="s">
        <v>2284</v>
      </c>
      <c r="D758" s="328" t="s">
        <v>2289</v>
      </c>
    </row>
    <row r="759" ht="15.0" customHeight="1">
      <c r="A759" s="328" t="s">
        <v>2290</v>
      </c>
      <c r="B759" s="328">
        <v>6.15103E7</v>
      </c>
      <c r="C759" s="328" t="s">
        <v>2284</v>
      </c>
      <c r="D759" s="328" t="s">
        <v>2291</v>
      </c>
    </row>
    <row r="760" ht="15.0" customHeight="1">
      <c r="A760" s="328" t="s">
        <v>2292</v>
      </c>
      <c r="B760" s="328">
        <v>6.0106901E7</v>
      </c>
      <c r="C760" s="328" t="s">
        <v>2284</v>
      </c>
      <c r="D760" s="328" t="s">
        <v>2293</v>
      </c>
    </row>
    <row r="761" ht="15.0" customHeight="1">
      <c r="A761" s="328" t="s">
        <v>2294</v>
      </c>
      <c r="B761" s="328">
        <v>6.0106902E7</v>
      </c>
      <c r="C761" s="328" t="s">
        <v>2284</v>
      </c>
      <c r="D761" s="328" t="s">
        <v>2295</v>
      </c>
    </row>
    <row r="762" ht="15.0" customHeight="1">
      <c r="A762" s="328" t="s">
        <v>2296</v>
      </c>
      <c r="B762" s="328">
        <v>6.16867E7</v>
      </c>
      <c r="C762" s="328" t="s">
        <v>2284</v>
      </c>
      <c r="D762" s="328" t="s">
        <v>2297</v>
      </c>
    </row>
    <row r="763" ht="15.0" customHeight="1">
      <c r="A763" s="328" t="s">
        <v>2298</v>
      </c>
      <c r="B763" s="328">
        <v>6.16393E7</v>
      </c>
      <c r="C763" s="328" t="s">
        <v>2284</v>
      </c>
      <c r="D763" s="328" t="s">
        <v>2299</v>
      </c>
    </row>
    <row r="764" ht="15.0" customHeight="1">
      <c r="A764" s="328" t="s">
        <v>2300</v>
      </c>
      <c r="B764" s="328">
        <v>6.15905E7</v>
      </c>
      <c r="C764" s="328" t="s">
        <v>2284</v>
      </c>
      <c r="D764" s="328" t="s">
        <v>836</v>
      </c>
    </row>
    <row r="765" ht="15.0" customHeight="1">
      <c r="A765" s="328" t="s">
        <v>2301</v>
      </c>
      <c r="B765" s="328">
        <v>6.16532E7</v>
      </c>
      <c r="C765" s="328" t="s">
        <v>2284</v>
      </c>
      <c r="D765" s="328" t="s">
        <v>999</v>
      </c>
    </row>
    <row r="766" ht="15.0" customHeight="1">
      <c r="A766" s="328" t="s">
        <v>2302</v>
      </c>
      <c r="B766" s="328">
        <v>6.23594E7</v>
      </c>
      <c r="C766" s="328" t="s">
        <v>2284</v>
      </c>
      <c r="D766" s="328" t="s">
        <v>1130</v>
      </c>
    </row>
    <row r="767" ht="15.0" customHeight="1">
      <c r="A767" s="328" t="s">
        <v>2303</v>
      </c>
      <c r="B767" s="328">
        <v>6.15769E7</v>
      </c>
      <c r="C767" s="328" t="s">
        <v>2284</v>
      </c>
      <c r="D767" s="328" t="s">
        <v>848</v>
      </c>
    </row>
    <row r="768" ht="15.0" customHeight="1">
      <c r="A768" s="328" t="s">
        <v>2304</v>
      </c>
      <c r="B768" s="328">
        <v>6.24112E7</v>
      </c>
      <c r="C768" s="328" t="s">
        <v>2284</v>
      </c>
      <c r="D768" s="328" t="s">
        <v>850</v>
      </c>
    </row>
    <row r="769" ht="15.0" customHeight="1">
      <c r="A769" s="328" t="s">
        <v>2305</v>
      </c>
      <c r="B769" s="328">
        <v>6.21981E7</v>
      </c>
      <c r="C769" s="328" t="s">
        <v>2284</v>
      </c>
      <c r="D769" s="328" t="s">
        <v>2306</v>
      </c>
    </row>
    <row r="770" ht="15.0" customHeight="1">
      <c r="A770" s="328" t="s">
        <v>2307</v>
      </c>
      <c r="B770" s="328">
        <v>6.22587E7</v>
      </c>
      <c r="C770" s="328" t="s">
        <v>2284</v>
      </c>
      <c r="D770" s="328" t="s">
        <v>856</v>
      </c>
    </row>
    <row r="771" ht="15.0" customHeight="1">
      <c r="A771" s="328" t="s">
        <v>2308</v>
      </c>
      <c r="B771" s="328">
        <v>6.01069E7</v>
      </c>
      <c r="C771" s="328" t="s">
        <v>2284</v>
      </c>
      <c r="D771" s="328" t="s">
        <v>1488</v>
      </c>
    </row>
    <row r="772" ht="15.0" customHeight="1">
      <c r="A772" s="328" t="s">
        <v>2309</v>
      </c>
      <c r="B772" s="328">
        <v>6.00659E7</v>
      </c>
      <c r="C772" s="328" t="s">
        <v>2284</v>
      </c>
      <c r="D772" s="328" t="s">
        <v>2310</v>
      </c>
    </row>
    <row r="773" ht="15.0" customHeight="1">
      <c r="A773" s="328" t="s">
        <v>2311</v>
      </c>
      <c r="B773" s="328">
        <v>6.15102E7</v>
      </c>
      <c r="C773" s="328" t="s">
        <v>2284</v>
      </c>
      <c r="D773" s="328" t="s">
        <v>864</v>
      </c>
    </row>
    <row r="774" ht="15.0" customHeight="1">
      <c r="A774" s="328" t="s">
        <v>2312</v>
      </c>
      <c r="B774" s="328">
        <v>6.2402E7</v>
      </c>
      <c r="C774" s="328" t="s">
        <v>2284</v>
      </c>
      <c r="D774" s="328" t="s">
        <v>2313</v>
      </c>
    </row>
    <row r="775" ht="15.0" customHeight="1">
      <c r="A775" s="328" t="s">
        <v>2314</v>
      </c>
      <c r="B775" s="328">
        <v>6.00672E7</v>
      </c>
      <c r="C775" s="328" t="s">
        <v>2284</v>
      </c>
      <c r="D775" s="328" t="s">
        <v>2315</v>
      </c>
    </row>
    <row r="776" ht="15.0" customHeight="1">
      <c r="A776" s="328" t="s">
        <v>2316</v>
      </c>
      <c r="B776" s="328">
        <v>6.06382E7</v>
      </c>
      <c r="C776" s="328" t="s">
        <v>2284</v>
      </c>
      <c r="D776" s="328" t="s">
        <v>2317</v>
      </c>
    </row>
    <row r="777" ht="15.0" customHeight="1">
      <c r="A777" s="328" t="s">
        <v>2318</v>
      </c>
      <c r="B777" s="328">
        <v>6.0107E7</v>
      </c>
      <c r="C777" s="328" t="s">
        <v>2284</v>
      </c>
      <c r="D777" s="328" t="s">
        <v>2319</v>
      </c>
    </row>
    <row r="778" ht="15.0" customHeight="1">
      <c r="A778" s="328" t="s">
        <v>2320</v>
      </c>
      <c r="B778" s="328">
        <v>6.01081E7</v>
      </c>
      <c r="C778" s="328" t="s">
        <v>2284</v>
      </c>
      <c r="D778" s="328" t="s">
        <v>2321</v>
      </c>
    </row>
    <row r="779" ht="15.0" customHeight="1">
      <c r="A779" s="328" t="s">
        <v>2322</v>
      </c>
      <c r="B779" s="328">
        <v>6.0108E7</v>
      </c>
      <c r="C779" s="328" t="s">
        <v>2284</v>
      </c>
      <c r="D779" s="328" t="s">
        <v>1018</v>
      </c>
    </row>
    <row r="780" ht="15.0" customHeight="1">
      <c r="A780" s="328" t="s">
        <v>2323</v>
      </c>
      <c r="B780" s="328">
        <v>6.0067E7</v>
      </c>
      <c r="C780" s="328" t="s">
        <v>2284</v>
      </c>
      <c r="D780" s="328" t="s">
        <v>2324</v>
      </c>
    </row>
    <row r="781" ht="15.0" customHeight="1">
      <c r="A781" s="328" t="s">
        <v>2325</v>
      </c>
      <c r="B781" s="328">
        <v>6.00669E7</v>
      </c>
      <c r="C781" s="328" t="s">
        <v>2284</v>
      </c>
      <c r="D781" s="328" t="s">
        <v>2326</v>
      </c>
    </row>
    <row r="782" ht="15.0" customHeight="1">
      <c r="A782" s="328" t="s">
        <v>2327</v>
      </c>
      <c r="B782" s="328">
        <v>6.00668E7</v>
      </c>
      <c r="C782" s="328" t="s">
        <v>2284</v>
      </c>
      <c r="D782" s="328" t="s">
        <v>2328</v>
      </c>
    </row>
    <row r="783" ht="15.0" customHeight="1">
      <c r="A783" s="328" t="s">
        <v>2329</v>
      </c>
      <c r="B783" s="328">
        <v>6.01079E7</v>
      </c>
      <c r="C783" s="328" t="s">
        <v>2284</v>
      </c>
      <c r="D783" s="328" t="s">
        <v>2330</v>
      </c>
    </row>
    <row r="784" ht="15.0" customHeight="1">
      <c r="A784" s="328" t="s">
        <v>2331</v>
      </c>
      <c r="B784" s="328">
        <v>6.00667E7</v>
      </c>
      <c r="C784" s="328" t="s">
        <v>2284</v>
      </c>
      <c r="D784" s="328" t="s">
        <v>2332</v>
      </c>
    </row>
    <row r="785" ht="15.0" customHeight="1">
      <c r="A785" s="328" t="s">
        <v>2333</v>
      </c>
      <c r="B785" s="328">
        <v>6.01085E7</v>
      </c>
      <c r="C785" s="328" t="s">
        <v>2284</v>
      </c>
      <c r="D785" s="328" t="s">
        <v>2334</v>
      </c>
    </row>
    <row r="786" ht="15.0" customHeight="1">
      <c r="A786" s="328" t="s">
        <v>2335</v>
      </c>
      <c r="B786" s="328">
        <v>6.00666E7</v>
      </c>
      <c r="C786" s="328" t="s">
        <v>2284</v>
      </c>
      <c r="D786" s="328" t="s">
        <v>2336</v>
      </c>
    </row>
    <row r="787" ht="15.0" customHeight="1">
      <c r="A787" s="328" t="s">
        <v>2337</v>
      </c>
      <c r="B787" s="328">
        <v>6.00663E7</v>
      </c>
      <c r="C787" s="328" t="s">
        <v>2284</v>
      </c>
      <c r="D787" s="328" t="s">
        <v>2338</v>
      </c>
    </row>
    <row r="788" ht="15.0" customHeight="1">
      <c r="A788" s="328" t="s">
        <v>2339</v>
      </c>
      <c r="B788" s="328">
        <v>6.01077E7</v>
      </c>
      <c r="C788" s="328" t="s">
        <v>2284</v>
      </c>
      <c r="D788" s="328" t="s">
        <v>2340</v>
      </c>
    </row>
    <row r="789" ht="15.0" customHeight="1">
      <c r="A789" s="328" t="s">
        <v>2341</v>
      </c>
      <c r="B789" s="328">
        <v>6.00665E7</v>
      </c>
      <c r="C789" s="328" t="s">
        <v>2284</v>
      </c>
      <c r="D789" s="328" t="s">
        <v>2342</v>
      </c>
    </row>
    <row r="790" ht="15.0" customHeight="1">
      <c r="A790" s="328" t="s">
        <v>2343</v>
      </c>
      <c r="B790" s="328">
        <v>6.01084E7</v>
      </c>
      <c r="C790" s="328" t="s">
        <v>2284</v>
      </c>
      <c r="D790" s="328" t="s">
        <v>2344</v>
      </c>
    </row>
    <row r="791" ht="15.0" customHeight="1">
      <c r="A791" s="328" t="s">
        <v>2345</v>
      </c>
      <c r="B791" s="328">
        <v>6.00664E7</v>
      </c>
      <c r="C791" s="328" t="s">
        <v>2284</v>
      </c>
      <c r="D791" s="328" t="s">
        <v>2346</v>
      </c>
    </row>
    <row r="792" ht="15.0" customHeight="1">
      <c r="A792" s="328" t="s">
        <v>2347</v>
      </c>
      <c r="B792" s="328">
        <v>6.00662E7</v>
      </c>
      <c r="C792" s="328" t="s">
        <v>2284</v>
      </c>
      <c r="D792" s="328" t="s">
        <v>2348</v>
      </c>
    </row>
    <row r="793" ht="15.0" customHeight="1">
      <c r="A793" s="328" t="s">
        <v>2349</v>
      </c>
      <c r="B793" s="328">
        <v>6.01078E7</v>
      </c>
      <c r="C793" s="328" t="s">
        <v>2284</v>
      </c>
      <c r="D793" s="328" t="s">
        <v>2350</v>
      </c>
    </row>
    <row r="794" ht="15.0" customHeight="1">
      <c r="A794" s="328" t="s">
        <v>2351</v>
      </c>
      <c r="B794" s="328">
        <v>6.01074E7</v>
      </c>
      <c r="C794" s="328" t="s">
        <v>2284</v>
      </c>
      <c r="D794" s="328" t="s">
        <v>2352</v>
      </c>
    </row>
    <row r="795" ht="15.0" customHeight="1">
      <c r="A795" s="328" t="s">
        <v>2353</v>
      </c>
      <c r="B795" s="328">
        <v>6.06787E7</v>
      </c>
      <c r="C795" s="328" t="s">
        <v>2284</v>
      </c>
      <c r="D795" s="328" t="s">
        <v>2354</v>
      </c>
    </row>
    <row r="796" ht="15.0" customHeight="1">
      <c r="A796" s="328" t="s">
        <v>2355</v>
      </c>
      <c r="B796" s="328">
        <v>6.06786E7</v>
      </c>
      <c r="C796" s="328" t="s">
        <v>2284</v>
      </c>
      <c r="D796" s="328" t="s">
        <v>2356</v>
      </c>
    </row>
    <row r="797" ht="15.0" customHeight="1">
      <c r="A797" s="328" t="s">
        <v>2357</v>
      </c>
      <c r="B797" s="328">
        <v>6.06784E7</v>
      </c>
      <c r="C797" s="328" t="s">
        <v>2284</v>
      </c>
      <c r="D797" s="328" t="s">
        <v>2358</v>
      </c>
    </row>
    <row r="798" ht="15.0" customHeight="1">
      <c r="A798" s="328" t="s">
        <v>2359</v>
      </c>
      <c r="B798" s="328">
        <v>6.22725E7</v>
      </c>
      <c r="C798" s="328" t="s">
        <v>2284</v>
      </c>
      <c r="D798" s="328" t="s">
        <v>926</v>
      </c>
    </row>
    <row r="799" ht="15.0" customHeight="1">
      <c r="A799" s="328" t="s">
        <v>2360</v>
      </c>
      <c r="B799" s="328">
        <v>6.17776E7</v>
      </c>
      <c r="C799" s="328" t="s">
        <v>2284</v>
      </c>
      <c r="D799" s="328" t="s">
        <v>928</v>
      </c>
    </row>
    <row r="800" ht="15.0" customHeight="1">
      <c r="A800" s="328" t="s">
        <v>2361</v>
      </c>
      <c r="B800" s="328">
        <v>6.17775E7</v>
      </c>
      <c r="C800" s="328" t="s">
        <v>2284</v>
      </c>
      <c r="D800" s="328" t="s">
        <v>932</v>
      </c>
    </row>
    <row r="801" ht="15.0" customHeight="1">
      <c r="A801" s="328" t="s">
        <v>2362</v>
      </c>
      <c r="B801" s="328">
        <v>6.20405E7</v>
      </c>
      <c r="C801" s="328" t="s">
        <v>2284</v>
      </c>
      <c r="D801" s="328" t="s">
        <v>1048</v>
      </c>
    </row>
    <row r="802" ht="15.0" customHeight="1">
      <c r="A802" s="328" t="s">
        <v>2363</v>
      </c>
      <c r="B802" s="328">
        <v>6.17772E7</v>
      </c>
      <c r="C802" s="328" t="s">
        <v>2284</v>
      </c>
      <c r="D802" s="328" t="s">
        <v>2364</v>
      </c>
    </row>
    <row r="803" ht="15.0" customHeight="1">
      <c r="A803" s="328" t="s">
        <v>2365</v>
      </c>
      <c r="B803" s="328">
        <v>6.17774E7</v>
      </c>
      <c r="C803" s="328" t="s">
        <v>2284</v>
      </c>
      <c r="D803" s="328" t="s">
        <v>1053</v>
      </c>
    </row>
    <row r="804" ht="15.0" customHeight="1">
      <c r="A804" s="328" t="s">
        <v>2366</v>
      </c>
      <c r="B804" s="328">
        <v>6.17777E7</v>
      </c>
      <c r="C804" s="328" t="s">
        <v>2284</v>
      </c>
      <c r="D804" s="328" t="s">
        <v>938</v>
      </c>
    </row>
    <row r="805" ht="15.0" customHeight="1">
      <c r="A805" s="328" t="s">
        <v>2367</v>
      </c>
      <c r="B805" s="328">
        <v>6.06785E7</v>
      </c>
      <c r="C805" s="328" t="s">
        <v>2284</v>
      </c>
      <c r="D805" s="328" t="s">
        <v>2368</v>
      </c>
    </row>
    <row r="806" ht="15.0" customHeight="1">
      <c r="A806" s="328" t="s">
        <v>2369</v>
      </c>
      <c r="B806" s="328">
        <v>6.01071E7</v>
      </c>
      <c r="C806" s="328" t="s">
        <v>2284</v>
      </c>
      <c r="D806" s="328" t="s">
        <v>2370</v>
      </c>
    </row>
    <row r="807" ht="15.0" customHeight="1">
      <c r="A807" s="328" t="s">
        <v>2371</v>
      </c>
      <c r="B807" s="328">
        <v>6.01067E7</v>
      </c>
      <c r="C807" s="328" t="s">
        <v>2284</v>
      </c>
      <c r="D807" s="328" t="s">
        <v>2372</v>
      </c>
    </row>
    <row r="808" ht="15.0" customHeight="1">
      <c r="A808" s="328" t="s">
        <v>2373</v>
      </c>
      <c r="B808" s="328">
        <v>6.0106501E7</v>
      </c>
      <c r="C808" s="328" t="s">
        <v>2284</v>
      </c>
      <c r="D808" s="328" t="s">
        <v>2374</v>
      </c>
    </row>
    <row r="809" ht="15.0" customHeight="1">
      <c r="A809" s="328" t="s">
        <v>2375</v>
      </c>
      <c r="B809" s="328">
        <v>6.0678406E7</v>
      </c>
      <c r="C809" s="328" t="s">
        <v>2284</v>
      </c>
      <c r="D809" s="328" t="s">
        <v>2376</v>
      </c>
    </row>
    <row r="810" ht="15.0" customHeight="1">
      <c r="A810" s="328" t="s">
        <v>2377</v>
      </c>
      <c r="B810" s="328">
        <v>6.01065E7</v>
      </c>
      <c r="C810" s="328" t="s">
        <v>2284</v>
      </c>
      <c r="D810" s="328" t="s">
        <v>2378</v>
      </c>
    </row>
    <row r="811" ht="15.0" customHeight="1">
      <c r="A811" s="328" t="s">
        <v>2379</v>
      </c>
      <c r="B811" s="328">
        <v>6.01072E7</v>
      </c>
      <c r="C811" s="328" t="s">
        <v>2284</v>
      </c>
      <c r="D811" s="328" t="s">
        <v>2380</v>
      </c>
    </row>
    <row r="812" ht="15.0" customHeight="1">
      <c r="A812" s="328" t="s">
        <v>2381</v>
      </c>
      <c r="B812" s="328">
        <v>6.01083E7</v>
      </c>
      <c r="C812" s="328" t="s">
        <v>2284</v>
      </c>
      <c r="D812" s="328" t="s">
        <v>2382</v>
      </c>
    </row>
    <row r="813" ht="15.0" customHeight="1">
      <c r="A813" s="328" t="s">
        <v>2383</v>
      </c>
      <c r="B813" s="328">
        <v>6.00661E7</v>
      </c>
      <c r="C813" s="328" t="s">
        <v>2284</v>
      </c>
      <c r="D813" s="328" t="s">
        <v>1074</v>
      </c>
    </row>
    <row r="814" ht="15.0" customHeight="1">
      <c r="A814" s="328" t="s">
        <v>2384</v>
      </c>
      <c r="B814" s="328">
        <v>6.01075E7</v>
      </c>
      <c r="C814" s="328" t="s">
        <v>2284</v>
      </c>
      <c r="D814" s="328" t="s">
        <v>2385</v>
      </c>
    </row>
    <row r="815" ht="15.0" customHeight="1">
      <c r="A815" s="328" t="s">
        <v>2386</v>
      </c>
      <c r="B815" s="328">
        <v>6.01073E7</v>
      </c>
      <c r="C815" s="328" t="s">
        <v>2284</v>
      </c>
      <c r="D815" s="328" t="s">
        <v>2387</v>
      </c>
    </row>
    <row r="816" ht="15.0" customHeight="1">
      <c r="A816" s="328" t="s">
        <v>2388</v>
      </c>
      <c r="B816" s="328">
        <v>6.06788E7</v>
      </c>
      <c r="C816" s="328" t="s">
        <v>2284</v>
      </c>
      <c r="D816" s="328" t="s">
        <v>2389</v>
      </c>
    </row>
    <row r="817" ht="15.0" customHeight="1">
      <c r="A817" s="328" t="s">
        <v>2390</v>
      </c>
      <c r="B817" s="328">
        <v>6.06783E7</v>
      </c>
      <c r="C817" s="328" t="s">
        <v>2284</v>
      </c>
      <c r="D817" s="328" t="s">
        <v>1082</v>
      </c>
    </row>
    <row r="818" ht="15.0" customHeight="1">
      <c r="A818" s="328" t="s">
        <v>2391</v>
      </c>
      <c r="B818" s="328">
        <v>6.222E7</v>
      </c>
      <c r="C818" s="328" t="s">
        <v>2284</v>
      </c>
      <c r="D818" s="328" t="s">
        <v>1084</v>
      </c>
    </row>
    <row r="819" ht="15.0" customHeight="1">
      <c r="A819" s="328" t="s">
        <v>2392</v>
      </c>
      <c r="B819" s="328">
        <v>6.21637E7</v>
      </c>
      <c r="C819" s="328" t="s">
        <v>2284</v>
      </c>
      <c r="D819" s="328" t="s">
        <v>2393</v>
      </c>
    </row>
    <row r="820" ht="15.0" customHeight="1">
      <c r="A820" s="328" t="s">
        <v>2394</v>
      </c>
      <c r="B820" s="328">
        <v>6.21673E7</v>
      </c>
      <c r="C820" s="328" t="s">
        <v>2284</v>
      </c>
      <c r="D820" s="328" t="s">
        <v>1088</v>
      </c>
    </row>
    <row r="821" ht="15.0" customHeight="1">
      <c r="A821" s="328" t="s">
        <v>2395</v>
      </c>
      <c r="B821" s="328">
        <v>6.21638E7</v>
      </c>
      <c r="C821" s="328" t="s">
        <v>2284</v>
      </c>
      <c r="D821" s="328" t="s">
        <v>974</v>
      </c>
    </row>
    <row r="822" ht="15.0" customHeight="1">
      <c r="A822" s="328" t="s">
        <v>2396</v>
      </c>
      <c r="B822" s="328">
        <v>6.24353E7</v>
      </c>
      <c r="C822" s="328" t="s">
        <v>2284</v>
      </c>
      <c r="D822" s="328" t="s">
        <v>2397</v>
      </c>
    </row>
    <row r="823" ht="15.0" customHeight="1">
      <c r="A823" s="328" t="s">
        <v>2398</v>
      </c>
      <c r="B823" s="328">
        <v>6.24354E7</v>
      </c>
      <c r="C823" s="328" t="s">
        <v>2284</v>
      </c>
      <c r="D823" s="328" t="s">
        <v>2399</v>
      </c>
    </row>
    <row r="824" ht="15.0" customHeight="1">
      <c r="A824" s="328" t="s">
        <v>2400</v>
      </c>
      <c r="B824" s="328">
        <v>6.21547E7</v>
      </c>
      <c r="C824" s="328" t="s">
        <v>2284</v>
      </c>
      <c r="D824" s="328" t="s">
        <v>1093</v>
      </c>
    </row>
    <row r="825" ht="15.0" customHeight="1">
      <c r="A825" s="328" t="s">
        <v>2401</v>
      </c>
      <c r="B825" s="328">
        <v>6.2163E7</v>
      </c>
      <c r="C825" s="328" t="s">
        <v>2284</v>
      </c>
      <c r="D825" s="328" t="s">
        <v>1099</v>
      </c>
    </row>
    <row r="826" ht="15.0" customHeight="1">
      <c r="A826" s="328" t="s">
        <v>2402</v>
      </c>
      <c r="B826" s="328">
        <v>6.21676E7</v>
      </c>
      <c r="C826" s="328" t="s">
        <v>2284</v>
      </c>
      <c r="D826" s="328" t="s">
        <v>2403</v>
      </c>
    </row>
    <row r="827" ht="15.0" customHeight="1">
      <c r="A827" s="328" t="s">
        <v>2404</v>
      </c>
      <c r="B827" s="328">
        <v>6.20581E7</v>
      </c>
      <c r="C827" s="328" t="s">
        <v>2284</v>
      </c>
      <c r="D827" s="328" t="s">
        <v>2405</v>
      </c>
    </row>
    <row r="828" ht="15.0" customHeight="1">
      <c r="A828" s="328" t="s">
        <v>2406</v>
      </c>
      <c r="B828" s="328">
        <v>6.22131E7</v>
      </c>
      <c r="C828" s="328" t="s">
        <v>2284</v>
      </c>
      <c r="D828" s="328" t="s">
        <v>2407</v>
      </c>
    </row>
    <row r="829" ht="15.0" customHeight="1">
      <c r="A829" s="328" t="s">
        <v>2408</v>
      </c>
      <c r="B829" s="328">
        <v>6.22143E7</v>
      </c>
      <c r="C829" s="328" t="s">
        <v>2284</v>
      </c>
      <c r="D829" s="328" t="s">
        <v>2409</v>
      </c>
    </row>
    <row r="830" ht="15.0" customHeight="1">
      <c r="A830" s="328" t="s">
        <v>2410</v>
      </c>
      <c r="B830" s="328">
        <v>6.16394E7</v>
      </c>
      <c r="C830" s="328" t="s">
        <v>2411</v>
      </c>
      <c r="D830" s="328" t="s">
        <v>2412</v>
      </c>
    </row>
    <row r="831" ht="15.0" customHeight="1">
      <c r="A831" s="328" t="s">
        <v>2413</v>
      </c>
      <c r="B831" s="328">
        <v>6.23992E7</v>
      </c>
      <c r="C831" s="328" t="s">
        <v>2411</v>
      </c>
      <c r="D831" s="328" t="s">
        <v>836</v>
      </c>
    </row>
    <row r="832" ht="15.0" customHeight="1">
      <c r="A832" s="328" t="s">
        <v>2414</v>
      </c>
      <c r="B832" s="328">
        <v>6.23595E7</v>
      </c>
      <c r="C832" s="328" t="s">
        <v>2411</v>
      </c>
      <c r="D832" s="328" t="s">
        <v>1130</v>
      </c>
    </row>
    <row r="833" ht="15.0" customHeight="1">
      <c r="A833" s="328" t="s">
        <v>2415</v>
      </c>
      <c r="B833" s="328">
        <v>6.22648E7</v>
      </c>
      <c r="C833" s="328" t="s">
        <v>2411</v>
      </c>
      <c r="D833" s="328" t="s">
        <v>856</v>
      </c>
    </row>
    <row r="834" ht="15.0" customHeight="1">
      <c r="A834" s="328" t="s">
        <v>2416</v>
      </c>
      <c r="B834" s="328">
        <v>6.06381E7</v>
      </c>
      <c r="C834" s="328" t="s">
        <v>2411</v>
      </c>
      <c r="D834" s="328" t="s">
        <v>1488</v>
      </c>
    </row>
    <row r="835" ht="15.0" customHeight="1">
      <c r="A835" s="328" t="s">
        <v>2417</v>
      </c>
      <c r="B835" s="328">
        <v>6.00673E7</v>
      </c>
      <c r="C835" s="328" t="s">
        <v>2411</v>
      </c>
      <c r="D835" s="328" t="s">
        <v>2418</v>
      </c>
    </row>
    <row r="836" ht="15.0" customHeight="1">
      <c r="A836" s="328" t="s">
        <v>2419</v>
      </c>
      <c r="B836" s="328">
        <v>6.00642E7</v>
      </c>
      <c r="C836" s="328" t="s">
        <v>2411</v>
      </c>
      <c r="D836" s="328" t="s">
        <v>2420</v>
      </c>
    </row>
    <row r="837" ht="15.0" customHeight="1">
      <c r="A837" s="328" t="s">
        <v>2421</v>
      </c>
      <c r="B837" s="328">
        <v>6.06379E7</v>
      </c>
      <c r="C837" s="328" t="s">
        <v>2411</v>
      </c>
      <c r="D837" s="328" t="s">
        <v>2422</v>
      </c>
    </row>
    <row r="838" ht="15.0" customHeight="1">
      <c r="A838" s="328" t="s">
        <v>2423</v>
      </c>
      <c r="B838" s="328">
        <v>6.06378E7</v>
      </c>
      <c r="C838" s="328" t="s">
        <v>2411</v>
      </c>
      <c r="D838" s="328" t="s">
        <v>2424</v>
      </c>
    </row>
    <row r="839" ht="15.0" customHeight="1">
      <c r="A839" s="328" t="s">
        <v>2425</v>
      </c>
      <c r="B839" s="328">
        <v>6.00643E7</v>
      </c>
      <c r="C839" s="328" t="s">
        <v>2411</v>
      </c>
      <c r="D839" s="328" t="s">
        <v>2426</v>
      </c>
    </row>
    <row r="840" ht="15.0" customHeight="1">
      <c r="A840" s="328" t="s">
        <v>2427</v>
      </c>
      <c r="B840" s="328">
        <v>6.00649E7</v>
      </c>
      <c r="C840" s="328" t="s">
        <v>2411</v>
      </c>
      <c r="D840" s="328" t="s">
        <v>2428</v>
      </c>
    </row>
    <row r="841" ht="15.0" customHeight="1">
      <c r="A841" s="328" t="s">
        <v>2429</v>
      </c>
      <c r="B841" s="328">
        <v>6.14593E7</v>
      </c>
      <c r="C841" s="328" t="s">
        <v>2411</v>
      </c>
      <c r="D841" s="328" t="s">
        <v>2430</v>
      </c>
    </row>
    <row r="842" ht="15.0" customHeight="1">
      <c r="A842" s="328" t="s">
        <v>2431</v>
      </c>
      <c r="B842" s="328">
        <v>6.00646E7</v>
      </c>
      <c r="C842" s="328" t="s">
        <v>2411</v>
      </c>
      <c r="D842" s="328" t="s">
        <v>2432</v>
      </c>
    </row>
    <row r="843" ht="15.0" customHeight="1">
      <c r="A843" s="328" t="s">
        <v>2433</v>
      </c>
      <c r="B843" s="328">
        <v>6.00648E7</v>
      </c>
      <c r="C843" s="328" t="s">
        <v>2411</v>
      </c>
      <c r="D843" s="328" t="s">
        <v>2434</v>
      </c>
    </row>
    <row r="844" ht="15.0" customHeight="1">
      <c r="A844" s="328" t="s">
        <v>2435</v>
      </c>
      <c r="B844" s="328">
        <v>6.00645E7</v>
      </c>
      <c r="C844" s="328" t="s">
        <v>2411</v>
      </c>
      <c r="D844" s="328" t="s">
        <v>2436</v>
      </c>
    </row>
    <row r="845" ht="15.0" customHeight="1">
      <c r="A845" s="328" t="s">
        <v>2437</v>
      </c>
      <c r="B845" s="328">
        <v>6.00644E7</v>
      </c>
      <c r="C845" s="328" t="s">
        <v>2411</v>
      </c>
      <c r="D845" s="328" t="s">
        <v>2438</v>
      </c>
    </row>
    <row r="846" ht="15.0" customHeight="1">
      <c r="A846" s="328" t="s">
        <v>2439</v>
      </c>
      <c r="B846" s="328">
        <v>6.06965E7</v>
      </c>
      <c r="C846" s="328" t="s">
        <v>2411</v>
      </c>
      <c r="D846" s="328" t="s">
        <v>2440</v>
      </c>
    </row>
    <row r="847" ht="15.0" customHeight="1">
      <c r="A847" s="328" t="s">
        <v>2441</v>
      </c>
      <c r="B847" s="328">
        <v>6.0065E7</v>
      </c>
      <c r="C847" s="328" t="s">
        <v>2411</v>
      </c>
      <c r="D847" s="328" t="s">
        <v>2442</v>
      </c>
    </row>
    <row r="848" ht="15.0" customHeight="1">
      <c r="A848" s="328" t="s">
        <v>2443</v>
      </c>
      <c r="B848" s="328">
        <v>6.00651E7</v>
      </c>
      <c r="C848" s="328" t="s">
        <v>2411</v>
      </c>
      <c r="D848" s="328" t="s">
        <v>2444</v>
      </c>
    </row>
    <row r="849" ht="15.0" customHeight="1">
      <c r="A849" s="328" t="s">
        <v>2445</v>
      </c>
      <c r="B849" s="328">
        <v>6.00647E7</v>
      </c>
      <c r="C849" s="328" t="s">
        <v>2411</v>
      </c>
      <c r="D849" s="328" t="s">
        <v>2446</v>
      </c>
    </row>
    <row r="850" ht="15.0" customHeight="1">
      <c r="A850" s="328" t="s">
        <v>2447</v>
      </c>
      <c r="B850" s="328">
        <v>6.00652E7</v>
      </c>
      <c r="C850" s="328" t="s">
        <v>2411</v>
      </c>
      <c r="D850" s="328" t="s">
        <v>2358</v>
      </c>
    </row>
    <row r="851" ht="15.0" customHeight="1">
      <c r="A851" s="328" t="s">
        <v>2448</v>
      </c>
      <c r="B851" s="328">
        <v>6.0638E7</v>
      </c>
      <c r="C851" s="328" t="s">
        <v>2411</v>
      </c>
      <c r="D851" s="328" t="s">
        <v>2449</v>
      </c>
    </row>
    <row r="852" ht="15.0" customHeight="1">
      <c r="A852" s="328" t="s">
        <v>2450</v>
      </c>
      <c r="B852" s="328">
        <v>6.17778E7</v>
      </c>
      <c r="C852" s="328" t="s">
        <v>2411</v>
      </c>
      <c r="D852" s="328" t="s">
        <v>926</v>
      </c>
    </row>
    <row r="853" ht="15.0" customHeight="1">
      <c r="A853" s="328" t="s">
        <v>2451</v>
      </c>
      <c r="B853" s="328">
        <v>6.17779E7</v>
      </c>
      <c r="C853" s="328" t="s">
        <v>2411</v>
      </c>
      <c r="D853" s="328" t="s">
        <v>928</v>
      </c>
    </row>
    <row r="854" ht="15.0" customHeight="1">
      <c r="A854" s="328" t="s">
        <v>2452</v>
      </c>
      <c r="B854" s="328">
        <v>6.22505E7</v>
      </c>
      <c r="C854" s="328" t="s">
        <v>2411</v>
      </c>
      <c r="D854" s="328" t="s">
        <v>932</v>
      </c>
    </row>
    <row r="855" ht="15.0" customHeight="1">
      <c r="A855" s="328" t="s">
        <v>2453</v>
      </c>
      <c r="B855" s="328">
        <v>6.06383E7</v>
      </c>
      <c r="C855" s="328" t="s">
        <v>2411</v>
      </c>
      <c r="D855" s="328" t="s">
        <v>2454</v>
      </c>
    </row>
    <row r="856" ht="15.0" customHeight="1">
      <c r="A856" s="328" t="s">
        <v>2455</v>
      </c>
      <c r="B856" s="328">
        <v>6.12028E7</v>
      </c>
      <c r="C856" s="328" t="s">
        <v>2411</v>
      </c>
      <c r="D856" s="328" t="s">
        <v>2456</v>
      </c>
    </row>
    <row r="857" ht="15.0" customHeight="1">
      <c r="A857" s="328" t="s">
        <v>2457</v>
      </c>
      <c r="B857" s="328">
        <v>6.00674E7</v>
      </c>
      <c r="C857" s="328" t="s">
        <v>2411</v>
      </c>
      <c r="D857" s="328" t="s">
        <v>2458</v>
      </c>
    </row>
    <row r="858" ht="15.0" customHeight="1">
      <c r="A858" s="328" t="s">
        <v>2459</v>
      </c>
      <c r="B858" s="328">
        <v>6.00655E7</v>
      </c>
      <c r="C858" s="328" t="s">
        <v>2411</v>
      </c>
      <c r="D858" s="328" t="s">
        <v>2460</v>
      </c>
    </row>
    <row r="859" ht="15.0" customHeight="1">
      <c r="A859" s="328" t="s">
        <v>2461</v>
      </c>
      <c r="B859" s="328">
        <v>6.00656E7</v>
      </c>
      <c r="C859" s="328" t="s">
        <v>2411</v>
      </c>
      <c r="D859" s="328" t="s">
        <v>2462</v>
      </c>
    </row>
    <row r="860" ht="15.0" customHeight="1">
      <c r="A860" s="328" t="s">
        <v>2463</v>
      </c>
      <c r="B860" s="328">
        <v>6.00657E7</v>
      </c>
      <c r="C860" s="328" t="s">
        <v>2411</v>
      </c>
      <c r="D860" s="328" t="s">
        <v>2464</v>
      </c>
    </row>
    <row r="861" ht="15.0" customHeight="1">
      <c r="A861" s="328" t="s">
        <v>2465</v>
      </c>
      <c r="B861" s="328">
        <v>6.00658E7</v>
      </c>
      <c r="C861" s="328" t="s">
        <v>2411</v>
      </c>
      <c r="D861" s="328" t="s">
        <v>2466</v>
      </c>
    </row>
    <row r="862" ht="15.0" customHeight="1">
      <c r="A862" s="328" t="s">
        <v>2467</v>
      </c>
      <c r="B862" s="328">
        <v>6.21274E7</v>
      </c>
      <c r="C862" s="328" t="s">
        <v>2411</v>
      </c>
      <c r="D862" s="328" t="s">
        <v>2468</v>
      </c>
    </row>
    <row r="863" ht="15.0" customHeight="1">
      <c r="A863" s="328" t="s">
        <v>2469</v>
      </c>
      <c r="B863" s="328">
        <v>6.21607E7</v>
      </c>
      <c r="C863" s="328" t="s">
        <v>2411</v>
      </c>
      <c r="D863" s="328" t="s">
        <v>1095</v>
      </c>
    </row>
    <row r="864" ht="15.0" customHeight="1">
      <c r="A864" s="328" t="s">
        <v>2470</v>
      </c>
      <c r="B864" s="328">
        <v>6.22187E7</v>
      </c>
      <c r="C864" s="328" t="s">
        <v>2411</v>
      </c>
      <c r="D864" s="328" t="s">
        <v>1097</v>
      </c>
    </row>
    <row r="865" ht="15.0" customHeight="1">
      <c r="A865" s="328" t="s">
        <v>2471</v>
      </c>
      <c r="B865" s="328">
        <v>6.22188E7</v>
      </c>
      <c r="C865" s="328" t="s">
        <v>2411</v>
      </c>
      <c r="D865" s="328" t="s">
        <v>1099</v>
      </c>
    </row>
    <row r="866" ht="15.0" customHeight="1">
      <c r="A866" s="328" t="s">
        <v>2472</v>
      </c>
      <c r="B866" s="328">
        <v>6.229E7</v>
      </c>
      <c r="C866" s="328" t="s">
        <v>2411</v>
      </c>
      <c r="D866" s="328" t="s">
        <v>1101</v>
      </c>
    </row>
    <row r="867" ht="15.0" customHeight="1">
      <c r="A867" s="328" t="s">
        <v>2473</v>
      </c>
      <c r="B867" s="328">
        <v>6.24595E7</v>
      </c>
      <c r="C867" s="328" t="s">
        <v>2411</v>
      </c>
      <c r="D867" s="328" t="s">
        <v>2474</v>
      </c>
    </row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